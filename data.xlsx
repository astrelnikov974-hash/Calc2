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Оригинал" sheetId="1" state="visible" r:id="rId3"/>
    <sheet name="Совместимая" sheetId="2" state="visible" r:id="rId4"/>
    <sheet name="Подбор" sheetId="3" state="visible" r:id="rId5"/>
    <sheet name="Модели" sheetId="4" state="visible" r:id="rId6"/>
  </sheets>
  <definedNames>
    <definedName function="false" hidden="true" localSheetId="0" name="_xlnm._FilterDatabase" vbProcedure="false">Оригинал!$A$1:$H$1196</definedName>
    <definedName function="false" hidden="true" localSheetId="1" name="_xlnm._FilterDatabase" vbProcedure="false">Совместимая!$A$1:$I$1307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<sst xmlns="http://schemas.openxmlformats.org/spreadsheetml/2006/main" count="15858" uniqueCount="2016">
  <si>
    <t xml:space="preserve">Модель аппарата</t>
  </si>
  <si>
    <t xml:space="preserve">Производитель</t>
  </si>
  <si>
    <t xml:space="preserve">Тип расходки</t>
  </si>
  <si>
    <t xml:space="preserve">Цвет</t>
  </si>
  <si>
    <t xml:space="preserve">Артикул</t>
  </si>
  <si>
    <t xml:space="preserve">Ресурс стр.</t>
  </si>
  <si>
    <t xml:space="preserve">Цена</t>
  </si>
  <si>
    <t xml:space="preserve">Примечание</t>
  </si>
  <si>
    <t xml:space="preserve">№ в подборе</t>
  </si>
  <si>
    <t xml:space="preserve">Xerox WorkCentre 5330</t>
  </si>
  <si>
    <t xml:space="preserve">Xerox</t>
  </si>
  <si>
    <t xml:space="preserve">Тонер-картридж</t>
  </si>
  <si>
    <t xml:space="preserve">Black</t>
  </si>
  <si>
    <t xml:space="preserve">006R01160</t>
  </si>
  <si>
    <t xml:space="preserve">Драм-юнит</t>
  </si>
  <si>
    <t xml:space="preserve">—</t>
  </si>
  <si>
    <t xml:space="preserve">013R00591</t>
  </si>
  <si>
    <t xml:space="preserve">Термоузел</t>
  </si>
  <si>
    <t xml:space="preserve">126K29403</t>
  </si>
  <si>
    <t xml:space="preserve">Xerox WorkCentre 7845</t>
  </si>
  <si>
    <t xml:space="preserve">006R01517</t>
  </si>
  <si>
    <t xml:space="preserve">Cyan</t>
  </si>
  <si>
    <t xml:space="preserve">006R01520</t>
  </si>
  <si>
    <t xml:space="preserve">Magenta</t>
  </si>
  <si>
    <t xml:space="preserve">006R01519</t>
  </si>
  <si>
    <t xml:space="preserve">Yellow</t>
  </si>
  <si>
    <t xml:space="preserve">006R01518</t>
  </si>
  <si>
    <t xml:space="preserve">013R00662</t>
  </si>
  <si>
    <t xml:space="preserve">Блок проявки</t>
  </si>
  <si>
    <t xml:space="preserve">848K65672</t>
  </si>
  <si>
    <t xml:space="preserve">Бункер отработки</t>
  </si>
  <si>
    <t xml:space="preserve">008R13061</t>
  </si>
  <si>
    <t xml:space="preserve">604K62230</t>
  </si>
  <si>
    <t xml:space="preserve">Pantum BM5100ADN</t>
  </si>
  <si>
    <t xml:space="preserve">Pantum</t>
  </si>
  <si>
    <t xml:space="preserve">TL-5120X</t>
  </si>
  <si>
    <t xml:space="preserve">Драм-картридж</t>
  </si>
  <si>
    <t xml:space="preserve">DL-5120</t>
  </si>
  <si>
    <t xml:space="preserve">CWT-2000</t>
  </si>
  <si>
    <t xml:space="preserve">Konica Minolta bizhub C257i</t>
  </si>
  <si>
    <t xml:space="preserve">Konica Minolta</t>
  </si>
  <si>
    <t xml:space="preserve">TN-328K</t>
  </si>
  <si>
    <t xml:space="preserve">TN-328C</t>
  </si>
  <si>
    <t xml:space="preserve">TN-328M</t>
  </si>
  <si>
    <t xml:space="preserve">TN-328Y</t>
  </si>
  <si>
    <t xml:space="preserve">DR-316K (AAV70RD)</t>
  </si>
  <si>
    <t xml:space="preserve">Lexmark MX510de</t>
  </si>
  <si>
    <t xml:space="preserve">Lexmark</t>
  </si>
  <si>
    <t xml:space="preserve">60F5H0E</t>
  </si>
  <si>
    <t xml:space="preserve">50F0Z00</t>
  </si>
  <si>
    <t xml:space="preserve">Sharp BP-30M28</t>
  </si>
  <si>
    <t xml:space="preserve">Sharp</t>
  </si>
  <si>
    <t xml:space="preserve">BPGT300</t>
  </si>
  <si>
    <t xml:space="preserve">MX36GRSA</t>
  </si>
  <si>
    <t xml:space="preserve">MX230HB</t>
  </si>
  <si>
    <t xml:space="preserve">BPFU201</t>
  </si>
  <si>
    <t xml:space="preserve">HP LaserJet Pro MFP M428fdn</t>
  </si>
  <si>
    <t xml:space="preserve">HP</t>
  </si>
  <si>
    <t xml:space="preserve">CF258A (58A)</t>
  </si>
  <si>
    <t xml:space="preserve">CF219A</t>
  </si>
  <si>
    <t xml:space="preserve">RM2-5425</t>
  </si>
  <si>
    <t xml:space="preserve">Toshiba e-STUDIO2505</t>
  </si>
  <si>
    <t xml:space="preserve">Toshiba</t>
  </si>
  <si>
    <t xml:space="preserve">T-2505E</t>
  </si>
  <si>
    <t xml:space="preserve">OD-2505</t>
  </si>
  <si>
    <t xml:space="preserve">Девелопер</t>
  </si>
  <si>
    <t xml:space="preserve">6LJ83445000</t>
  </si>
  <si>
    <t xml:space="preserve">Kyocera TASKalfa 6500i</t>
  </si>
  <si>
    <t xml:space="preserve">Kyocera</t>
  </si>
  <si>
    <t xml:space="preserve">TK-6705</t>
  </si>
  <si>
    <t xml:space="preserve">DK-6705</t>
  </si>
  <si>
    <t xml:space="preserve">DV-6705</t>
  </si>
  <si>
    <t xml:space="preserve">WT-861</t>
  </si>
  <si>
    <t xml:space="preserve">FK-6707</t>
  </si>
  <si>
    <t xml:space="preserve">Xerox Phaser 5550DN</t>
  </si>
  <si>
    <t xml:space="preserve">113R00668</t>
  </si>
  <si>
    <t xml:space="preserve">113R00670</t>
  </si>
  <si>
    <t xml:space="preserve">HP Color LaserJet Pro M252n</t>
  </si>
  <si>
    <t xml:space="preserve">CF400A</t>
  </si>
  <si>
    <t xml:space="preserve">CF401A</t>
  </si>
  <si>
    <t xml:space="preserve">CF403A</t>
  </si>
  <si>
    <t xml:space="preserve">CF402A</t>
  </si>
  <si>
    <t xml:space="preserve">RM1-8781</t>
  </si>
  <si>
    <t xml:space="preserve">Canon i-Sensys LBP-2900</t>
  </si>
  <si>
    <t xml:space="preserve">Canon</t>
  </si>
  <si>
    <t xml:space="preserve">703 (7616A005)</t>
  </si>
  <si>
    <t xml:space="preserve">HP LaserJet M4345</t>
  </si>
  <si>
    <t xml:space="preserve">Q5945A</t>
  </si>
  <si>
    <t xml:space="preserve">HP LaserJet M1005</t>
  </si>
  <si>
    <t xml:space="preserve">Q2612A</t>
  </si>
  <si>
    <t xml:space="preserve">HP Color LaserJet CP1215</t>
  </si>
  <si>
    <t xml:space="preserve">CB540A</t>
  </si>
  <si>
    <t xml:space="preserve">CB541A</t>
  </si>
  <si>
    <t xml:space="preserve">CB543A</t>
  </si>
  <si>
    <t xml:space="preserve">CB542A</t>
  </si>
  <si>
    <t xml:space="preserve">RM1-4431</t>
  </si>
  <si>
    <t xml:space="preserve">HP LaserJet Pro P1102</t>
  </si>
  <si>
    <t xml:space="preserve">CE285A</t>
  </si>
  <si>
    <t xml:space="preserve">RM1-6405</t>
  </si>
  <si>
    <t xml:space="preserve">Xerox AltaLink C8045</t>
  </si>
  <si>
    <t xml:space="preserve">006R01701</t>
  </si>
  <si>
    <t xml:space="preserve">006R01702</t>
  </si>
  <si>
    <t xml:space="preserve">006R01703</t>
  </si>
  <si>
    <t xml:space="preserve">006R01704</t>
  </si>
  <si>
    <t xml:space="preserve">013R00681</t>
  </si>
  <si>
    <t xml:space="preserve">948K13034</t>
  </si>
  <si>
    <t xml:space="preserve">607K08993</t>
  </si>
  <si>
    <t xml:space="preserve">HP LaserJet P4515n</t>
  </si>
  <si>
    <t xml:space="preserve">CC364X</t>
  </si>
  <si>
    <t xml:space="preserve">Samsung Xpress SL-M2830DW</t>
  </si>
  <si>
    <t xml:space="preserve">Samsung</t>
  </si>
  <si>
    <t xml:space="preserve">MLT-D115L</t>
  </si>
  <si>
    <t xml:space="preserve">JC91-01034B</t>
  </si>
  <si>
    <t xml:space="preserve">HP LaserJet Pro M426fdn</t>
  </si>
  <si>
    <t xml:space="preserve">CF226A</t>
  </si>
  <si>
    <t xml:space="preserve">HP LaserJet Enterprise M630dn</t>
  </si>
  <si>
    <t xml:space="preserve">CF281A</t>
  </si>
  <si>
    <t xml:space="preserve">Xerox WorkCentre 5020B</t>
  </si>
  <si>
    <t xml:space="preserve">106R01277</t>
  </si>
  <si>
    <t xml:space="preserve">HP LaserJet M2727nf</t>
  </si>
  <si>
    <t xml:space="preserve">Q7553A</t>
  </si>
  <si>
    <t xml:space="preserve">Samsung ML-3051ND</t>
  </si>
  <si>
    <t xml:space="preserve">ML-D3050A</t>
  </si>
  <si>
    <t xml:space="preserve">HP LaserJet 8150</t>
  </si>
  <si>
    <t xml:space="preserve">C4182X</t>
  </si>
  <si>
    <t xml:space="preserve">HP LaserJet 1022</t>
  </si>
  <si>
    <t xml:space="preserve">HP LaserJet P3005d</t>
  </si>
  <si>
    <t xml:space="preserve">Q7551A</t>
  </si>
  <si>
    <t xml:space="preserve">HP Color LaserJet 5500</t>
  </si>
  <si>
    <t xml:space="preserve">C9730A</t>
  </si>
  <si>
    <t xml:space="preserve">C9731A</t>
  </si>
  <si>
    <t xml:space="preserve">C9733A</t>
  </si>
  <si>
    <t xml:space="preserve">C9732A</t>
  </si>
  <si>
    <t xml:space="preserve">HP LaserJet M4345x</t>
  </si>
  <si>
    <t xml:space="preserve">HP LaserJet M1319f</t>
  </si>
  <si>
    <t xml:space="preserve">HP LaserJet 4250</t>
  </si>
  <si>
    <t xml:space="preserve">Q5942A</t>
  </si>
  <si>
    <t xml:space="preserve">HP Color LaserJet CM2320fxi</t>
  </si>
  <si>
    <t xml:space="preserve">CC530A</t>
  </si>
  <si>
    <t xml:space="preserve">CC531A</t>
  </si>
  <si>
    <t xml:space="preserve">CC533A</t>
  </si>
  <si>
    <t xml:space="preserve">CC532A</t>
  </si>
  <si>
    <t xml:space="preserve">HP LaserJet 3055</t>
  </si>
  <si>
    <t xml:space="preserve">Xerox WorkCentre PE120</t>
  </si>
  <si>
    <t xml:space="preserve">013R00606</t>
  </si>
  <si>
    <t xml:space="preserve">Xerox WorkCentre 5225A</t>
  </si>
  <si>
    <t xml:space="preserve">106R01305</t>
  </si>
  <si>
    <t xml:space="preserve">101R00434</t>
  </si>
  <si>
    <t xml:space="preserve">Kyocera KM-1635</t>
  </si>
  <si>
    <t xml:space="preserve">TK-410</t>
  </si>
  <si>
    <t xml:space="preserve">DV-410</t>
  </si>
  <si>
    <t xml:space="preserve">Xerox WorkCentre 3220</t>
  </si>
  <si>
    <t xml:space="preserve">106R01487</t>
  </si>
  <si>
    <t xml:space="preserve">HP LaserJet M5035xs</t>
  </si>
  <si>
    <t xml:space="preserve">Q7570A</t>
  </si>
  <si>
    <t xml:space="preserve">Panasonic KX-MB2061</t>
  </si>
  <si>
    <t xml:space="preserve">Panasonic</t>
  </si>
  <si>
    <t xml:space="preserve">KX-FAT411A</t>
  </si>
  <si>
    <t xml:space="preserve">KX-FAD412A</t>
  </si>
  <si>
    <t xml:space="preserve">Canon i-Sensys LBP7200C</t>
  </si>
  <si>
    <t xml:space="preserve">2662B002</t>
  </si>
  <si>
    <t xml:space="preserve">2661B002</t>
  </si>
  <si>
    <t xml:space="preserve">2660B002</t>
  </si>
  <si>
    <t xml:space="preserve">2659B002</t>
  </si>
  <si>
    <t xml:space="preserve">Kyocera TASKalfa 3510i</t>
  </si>
  <si>
    <t xml:space="preserve">TK-7105</t>
  </si>
  <si>
    <t xml:space="preserve">DK-7105</t>
  </si>
  <si>
    <t xml:space="preserve">DV-7105</t>
  </si>
  <si>
    <t xml:space="preserve">FK-7105</t>
  </si>
  <si>
    <t xml:space="preserve">Xerox WorkCentre 5020DN</t>
  </si>
  <si>
    <t xml:space="preserve">Kyocera M2835dw</t>
  </si>
  <si>
    <t xml:space="preserve">TK-1200</t>
  </si>
  <si>
    <t xml:space="preserve">HP LaserJet 1320</t>
  </si>
  <si>
    <t xml:space="preserve">Q5949A</t>
  </si>
  <si>
    <t xml:space="preserve">HP LaserJet 1160</t>
  </si>
  <si>
    <t xml:space="preserve">HP LaserJet 1020</t>
  </si>
  <si>
    <t xml:space="preserve">HP Color LaserJet 2605</t>
  </si>
  <si>
    <t xml:space="preserve">Q6000A</t>
  </si>
  <si>
    <t xml:space="preserve">Q6001A</t>
  </si>
  <si>
    <t xml:space="preserve">Q6003A</t>
  </si>
  <si>
    <t xml:space="preserve">Q6002A</t>
  </si>
  <si>
    <t xml:space="preserve">HP LaserJet P1505</t>
  </si>
  <si>
    <t xml:space="preserve">CB436A</t>
  </si>
  <si>
    <t xml:space="preserve">HP Color LaserJet Enterprise M775z</t>
  </si>
  <si>
    <t xml:space="preserve">CE340A</t>
  </si>
  <si>
    <t xml:space="preserve">CE341A</t>
  </si>
  <si>
    <t xml:space="preserve">CE343A</t>
  </si>
  <si>
    <t xml:space="preserve">CE342A</t>
  </si>
  <si>
    <t xml:space="preserve">CE515A</t>
  </si>
  <si>
    <t xml:space="preserve">Xerox WorkCentre 5019</t>
  </si>
  <si>
    <t xml:space="preserve">006R01573</t>
  </si>
  <si>
    <t xml:space="preserve">Samsung Xpress SL-M2070</t>
  </si>
  <si>
    <t xml:space="preserve">MLT-D111S</t>
  </si>
  <si>
    <t xml:space="preserve">Kyocera FS 6525MFP</t>
  </si>
  <si>
    <t xml:space="preserve">TK-475</t>
  </si>
  <si>
    <t xml:space="preserve">DK-475</t>
  </si>
  <si>
    <t xml:space="preserve">DV-475</t>
  </si>
  <si>
    <t xml:space="preserve">FK-475</t>
  </si>
  <si>
    <t xml:space="preserve">Kyocera ECOSYS M6230cidn</t>
  </si>
  <si>
    <t xml:space="preserve">TK-5270K</t>
  </si>
  <si>
    <t xml:space="preserve">TK-5270C</t>
  </si>
  <si>
    <t xml:space="preserve">TK-5270M</t>
  </si>
  <si>
    <t xml:space="preserve">TK-5270Y</t>
  </si>
  <si>
    <t xml:space="preserve">Samsung ProXpress SL-M4020ND</t>
  </si>
  <si>
    <t xml:space="preserve">MLT-D203E</t>
  </si>
  <si>
    <t xml:space="preserve">JC91-01024A</t>
  </si>
  <si>
    <t xml:space="preserve">HP LaserJet Pro 400 M401dn</t>
  </si>
  <si>
    <t xml:space="preserve">CF280A</t>
  </si>
  <si>
    <t xml:space="preserve">RM1-8809</t>
  </si>
  <si>
    <t xml:space="preserve">HP LaserJet 1150</t>
  </si>
  <si>
    <t xml:space="preserve">Q2624A</t>
  </si>
  <si>
    <t xml:space="preserve">Kyocera FS-1120MFP</t>
  </si>
  <si>
    <t xml:space="preserve">TK-1120</t>
  </si>
  <si>
    <t xml:space="preserve">Kyocera ECOSYS M5526cdw</t>
  </si>
  <si>
    <t xml:space="preserve">TK-5240K</t>
  </si>
  <si>
    <t xml:space="preserve">TK-5240C</t>
  </si>
  <si>
    <t xml:space="preserve">TK-5240M</t>
  </si>
  <si>
    <t xml:space="preserve">TK-5240Y</t>
  </si>
  <si>
    <t xml:space="preserve">HP LaserJet Managed E60075dn</t>
  </si>
  <si>
    <t xml:space="preserve">W9004MC</t>
  </si>
  <si>
    <t xml:space="preserve">HP LaserJet Enterprise 700 M725dn</t>
  </si>
  <si>
    <t xml:space="preserve">CF214X</t>
  </si>
  <si>
    <t xml:space="preserve">CF235-67922</t>
  </si>
  <si>
    <t xml:space="preserve">Kyocera ECOSYS MA4500X</t>
  </si>
  <si>
    <t xml:space="preserve">TK-3400</t>
  </si>
  <si>
    <t xml:space="preserve">DK-3200</t>
  </si>
  <si>
    <t xml:space="preserve">HP LaserJet M5025</t>
  </si>
  <si>
    <t xml:space="preserve">RM1-3008</t>
  </si>
  <si>
    <t xml:space="preserve">Canon imageRUNNER ADVANCE DX C3720i</t>
  </si>
  <si>
    <t xml:space="preserve">C-EXV54 BK</t>
  </si>
  <si>
    <t xml:space="preserve">C-EXV54 C</t>
  </si>
  <si>
    <t xml:space="preserve">C-EXV54 M</t>
  </si>
  <si>
    <t xml:space="preserve">C-EXV54 Y</t>
  </si>
  <si>
    <t xml:space="preserve">Canon i-Sensys MF4350d</t>
  </si>
  <si>
    <t xml:space="preserve">FX-10</t>
  </si>
  <si>
    <t xml:space="preserve">Xerox Phaser 3100</t>
  </si>
  <si>
    <t xml:space="preserve">106R01379</t>
  </si>
  <si>
    <t xml:space="preserve">Canon i-Sensys MF421dw</t>
  </si>
  <si>
    <t xml:space="preserve">CRG 051 Drum</t>
  </si>
  <si>
    <t xml:space="preserve">Canon i-Sensys LBP7210cdn</t>
  </si>
  <si>
    <t xml:space="preserve">Canon i-Sensys MF746CX</t>
  </si>
  <si>
    <t xml:space="preserve">3020C002 (055H BK)</t>
  </si>
  <si>
    <t xml:space="preserve">055H C</t>
  </si>
  <si>
    <t xml:space="preserve">055H M</t>
  </si>
  <si>
    <t xml:space="preserve">055H Y</t>
  </si>
  <si>
    <t xml:space="preserve">Canon i-Sensys MF4430</t>
  </si>
  <si>
    <t xml:space="preserve">C-728</t>
  </si>
  <si>
    <t xml:space="preserve">Xerox WorkCentre B315V_DNI</t>
  </si>
  <si>
    <t xml:space="preserve">006R04403</t>
  </si>
  <si>
    <t xml:space="preserve">Canon iR 3035</t>
  </si>
  <si>
    <t xml:space="preserve">C-EXV11</t>
  </si>
  <si>
    <t xml:space="preserve">Xerox AltaLink B8145</t>
  </si>
  <si>
    <t xml:space="preserve">006R01683</t>
  </si>
  <si>
    <t xml:space="preserve">013R00686</t>
  </si>
  <si>
    <t xml:space="preserve">113R00779</t>
  </si>
  <si>
    <t xml:space="preserve">008R08101</t>
  </si>
  <si>
    <t xml:space="preserve">126K39667</t>
  </si>
  <si>
    <t xml:space="preserve">Xerox WorkCentre 3615</t>
  </si>
  <si>
    <t xml:space="preserve">106R02732</t>
  </si>
  <si>
    <t xml:space="preserve">113R00773</t>
  </si>
  <si>
    <t xml:space="preserve">Xerox WorkCentre 6505n</t>
  </si>
  <si>
    <t xml:space="preserve">106R01604</t>
  </si>
  <si>
    <t xml:space="preserve">106R01601</t>
  </si>
  <si>
    <t xml:space="preserve">106R01602</t>
  </si>
  <si>
    <t xml:space="preserve">106R01603</t>
  </si>
  <si>
    <t xml:space="preserve">Xerox Phaser 6600DN</t>
  </si>
  <si>
    <t xml:space="preserve">106R02236</t>
  </si>
  <si>
    <t xml:space="preserve">106R02233</t>
  </si>
  <si>
    <t xml:space="preserve">106R02234</t>
  </si>
  <si>
    <t xml:space="preserve">106R02235</t>
  </si>
  <si>
    <t xml:space="preserve">Xerox WorkCentre 6015NI</t>
  </si>
  <si>
    <t xml:space="preserve">106R01634</t>
  </si>
  <si>
    <t xml:space="preserve">106R01631</t>
  </si>
  <si>
    <t xml:space="preserve">106R01632</t>
  </si>
  <si>
    <t xml:space="preserve">106R01633</t>
  </si>
  <si>
    <t xml:space="preserve">Xerox WorkCentre 3045NI</t>
  </si>
  <si>
    <t xml:space="preserve">106R02183</t>
  </si>
  <si>
    <t xml:space="preserve">Xerox WorkCentre 3325</t>
  </si>
  <si>
    <t xml:space="preserve">106R02310</t>
  </si>
  <si>
    <t xml:space="preserve">Xerox Phaser 3635 MFP</t>
  </si>
  <si>
    <t xml:space="preserve">108R00794</t>
  </si>
  <si>
    <t xml:space="preserve">Xerox Phaser 3320</t>
  </si>
  <si>
    <t xml:space="preserve">106R02312</t>
  </si>
  <si>
    <t xml:space="preserve">Xerox Phaser 3250DN</t>
  </si>
  <si>
    <t xml:space="preserve">106R01374</t>
  </si>
  <si>
    <t xml:space="preserve">Xerox WorkCentre 4265</t>
  </si>
  <si>
    <t xml:space="preserve">106R02735</t>
  </si>
  <si>
    <t xml:space="preserve">113R00776</t>
  </si>
  <si>
    <t xml:space="preserve">Xerox Phaser 4622</t>
  </si>
  <si>
    <t xml:space="preserve">106R01536</t>
  </si>
  <si>
    <t xml:space="preserve">Xerox WorkCentre 3550X</t>
  </si>
  <si>
    <t xml:space="preserve">106R01529</t>
  </si>
  <si>
    <t xml:space="preserve">Xerox Phaser 3300MFP</t>
  </si>
  <si>
    <t xml:space="preserve">106R01412</t>
  </si>
  <si>
    <t xml:space="preserve">Xerox Phaser 4620dn</t>
  </si>
  <si>
    <t xml:space="preserve">Xerox WorkCentre 4260</t>
  </si>
  <si>
    <t xml:space="preserve">106R01410</t>
  </si>
  <si>
    <t xml:space="preserve">Xerox WorkCentre 4250d</t>
  </si>
  <si>
    <t xml:space="preserve">113R00755</t>
  </si>
  <si>
    <t xml:space="preserve">Xerox WorkCentre 7132</t>
  </si>
  <si>
    <t xml:space="preserve">006R01270</t>
  </si>
  <si>
    <t xml:space="preserve">006R01273</t>
  </si>
  <si>
    <t xml:space="preserve">006R01272</t>
  </si>
  <si>
    <t xml:space="preserve">006R01271</t>
  </si>
  <si>
    <t xml:space="preserve">013R00622</t>
  </si>
  <si>
    <t xml:space="preserve">Xerox WorkCentre Pro 123</t>
  </si>
  <si>
    <t xml:space="preserve">006R01182</t>
  </si>
  <si>
    <t xml:space="preserve">Xerox WorkCentre 5230</t>
  </si>
  <si>
    <t xml:space="preserve">Xerox WorkCentre 5016</t>
  </si>
  <si>
    <t xml:space="preserve">101R00432</t>
  </si>
  <si>
    <t xml:space="preserve">Xerox WorkCentre 5222</t>
  </si>
  <si>
    <t xml:space="preserve">106R01413</t>
  </si>
  <si>
    <t xml:space="preserve">Xerox WorkCentre 7120</t>
  </si>
  <si>
    <t xml:space="preserve">006R01461</t>
  </si>
  <si>
    <t xml:space="preserve">006R01464</t>
  </si>
  <si>
    <t xml:space="preserve">006R01463</t>
  </si>
  <si>
    <t xml:space="preserve">006R01462</t>
  </si>
  <si>
    <t xml:space="preserve">013R00657</t>
  </si>
  <si>
    <t xml:space="preserve">Xerox WorkCentre 5325C</t>
  </si>
  <si>
    <t xml:space="preserve">Xerox WorkCentre 5335C</t>
  </si>
  <si>
    <t xml:space="preserve">Xerox Phaser 7100</t>
  </si>
  <si>
    <t xml:space="preserve">106R02612</t>
  </si>
  <si>
    <t xml:space="preserve">106R02606</t>
  </si>
  <si>
    <t xml:space="preserve">106R02607</t>
  </si>
  <si>
    <t xml:space="preserve">106R02608</t>
  </si>
  <si>
    <t xml:space="preserve">108R01151</t>
  </si>
  <si>
    <t xml:space="preserve">106R02624</t>
  </si>
  <si>
    <t xml:space="preserve">Xerox WorkCentre 7220</t>
  </si>
  <si>
    <t xml:space="preserve">008R13089</t>
  </si>
  <si>
    <t xml:space="preserve">Xerox Phaser 3260</t>
  </si>
  <si>
    <t xml:space="preserve">106R02778</t>
  </si>
  <si>
    <t xml:space="preserve">101R00474</t>
  </si>
  <si>
    <t xml:space="preserve">Xerox WorkCentre 3225</t>
  </si>
  <si>
    <t xml:space="preserve">Xerox Phaser 6020</t>
  </si>
  <si>
    <t xml:space="preserve">106R02763</t>
  </si>
  <si>
    <t xml:space="preserve">106R02760</t>
  </si>
  <si>
    <t xml:space="preserve">106R02761</t>
  </si>
  <si>
    <t xml:space="preserve">106R02762</t>
  </si>
  <si>
    <t xml:space="preserve">Xerox WorkCentre 6027</t>
  </si>
  <si>
    <t xml:space="preserve">Xerox WorkCentre 6515N</t>
  </si>
  <si>
    <t xml:space="preserve">106R03484</t>
  </si>
  <si>
    <t xml:space="preserve">106R03485</t>
  </si>
  <si>
    <t xml:space="preserve">106R03486</t>
  </si>
  <si>
    <t xml:space="preserve">106R03487</t>
  </si>
  <si>
    <t xml:space="preserve">108R01420</t>
  </si>
  <si>
    <t xml:space="preserve">108R01416</t>
  </si>
  <si>
    <t xml:space="preserve">126K36440</t>
  </si>
  <si>
    <t xml:space="preserve">Xerox WorkCentre 6515</t>
  </si>
  <si>
    <t xml:space="preserve">Xerox Phaser 3330</t>
  </si>
  <si>
    <t xml:space="preserve">106R03623</t>
  </si>
  <si>
    <t xml:space="preserve">101R00555</t>
  </si>
  <si>
    <t xml:space="preserve">Xerox WorkCentre 3335</t>
  </si>
  <si>
    <t xml:space="preserve">Xerox WorkCentre 3345</t>
  </si>
  <si>
    <t xml:space="preserve">Xerox VersaLink B7025</t>
  </si>
  <si>
    <t xml:space="preserve">106R03395</t>
  </si>
  <si>
    <t xml:space="preserve">115R00115</t>
  </si>
  <si>
    <t xml:space="preserve">Xerox VersaLink B7030</t>
  </si>
  <si>
    <t xml:space="preserve">Xerox VersaLink C7020</t>
  </si>
  <si>
    <t xml:space="preserve">106R03745</t>
  </si>
  <si>
    <t xml:space="preserve">106R03748</t>
  </si>
  <si>
    <t xml:space="preserve">106R03747</t>
  </si>
  <si>
    <t xml:space="preserve">106R03746</t>
  </si>
  <si>
    <t xml:space="preserve">113R00780</t>
  </si>
  <si>
    <t xml:space="preserve">115R00128</t>
  </si>
  <si>
    <t xml:space="preserve">Xerox VersaLink B600DN</t>
  </si>
  <si>
    <t xml:space="preserve">106R03945</t>
  </si>
  <si>
    <t xml:space="preserve">101R00554</t>
  </si>
  <si>
    <t xml:space="preserve">108R01490</t>
  </si>
  <si>
    <t xml:space="preserve">Xerox VersaLink B610dn</t>
  </si>
  <si>
    <t xml:space="preserve">Xerox VersaLink B605</t>
  </si>
  <si>
    <t xml:space="preserve">Xerox VersaLink C605</t>
  </si>
  <si>
    <t xml:space="preserve">106R03915</t>
  </si>
  <si>
    <t xml:space="preserve">106R03912</t>
  </si>
  <si>
    <t xml:space="preserve">106R03913</t>
  </si>
  <si>
    <t xml:space="preserve">106R03914</t>
  </si>
  <si>
    <t xml:space="preserve">108R01488</t>
  </si>
  <si>
    <t xml:space="preserve">Lexmark MB2236adw</t>
  </si>
  <si>
    <t xml:space="preserve">56F5U0E</t>
  </si>
  <si>
    <t xml:space="preserve">56F0Z00</t>
  </si>
  <si>
    <t xml:space="preserve">Xerox B210</t>
  </si>
  <si>
    <t xml:space="preserve">106R04349</t>
  </si>
  <si>
    <t xml:space="preserve">101R00664</t>
  </si>
  <si>
    <t xml:space="preserve">Sharp BP-20M22</t>
  </si>
  <si>
    <t xml:space="preserve">Pantum CM2200FDW</t>
  </si>
  <si>
    <t xml:space="preserve">CTL-2000HK</t>
  </si>
  <si>
    <t xml:space="preserve">CTL-2000HC</t>
  </si>
  <si>
    <t xml:space="preserve">CTL-2000HM</t>
  </si>
  <si>
    <t xml:space="preserve">CTL-2000HY</t>
  </si>
  <si>
    <t xml:space="preserve">HP LaserJet Managed MFP E52645dn</t>
  </si>
  <si>
    <t xml:space="preserve">W9008MC</t>
  </si>
  <si>
    <t xml:space="preserve">Lexmark X363dn</t>
  </si>
  <si>
    <t xml:space="preserve">Xerox CopyCentre 128</t>
  </si>
  <si>
    <t xml:space="preserve">HP LaserJet Pro MFP M127fn</t>
  </si>
  <si>
    <t xml:space="preserve">CF283A</t>
  </si>
  <si>
    <t xml:space="preserve">Xerox WorkCentre PE114</t>
  </si>
  <si>
    <t xml:space="preserve">013R00607</t>
  </si>
  <si>
    <t xml:space="preserve">Sindoh N511</t>
  </si>
  <si>
    <t xml:space="preserve">Sindoh</t>
  </si>
  <si>
    <t xml:space="preserve">N500T23KH</t>
  </si>
  <si>
    <t xml:space="preserve">N500R80K</t>
  </si>
  <si>
    <t xml:space="preserve">Sindoh N512</t>
  </si>
  <si>
    <t xml:space="preserve">Lexmark X464de</t>
  </si>
  <si>
    <t xml:space="preserve">Xerox WorkCentre 5638</t>
  </si>
  <si>
    <t xml:space="preserve">113R00673</t>
  </si>
  <si>
    <t xml:space="preserve">Xerox WorkCentre 5632</t>
  </si>
  <si>
    <t xml:space="preserve">Xerox WorkCentre 5755</t>
  </si>
  <si>
    <t xml:space="preserve">006R01175</t>
  </si>
  <si>
    <t xml:space="preserve">Lexmark MX321</t>
  </si>
  <si>
    <t xml:space="preserve">Xerox WorkCentre 5845</t>
  </si>
  <si>
    <t xml:space="preserve">006R01606</t>
  </si>
  <si>
    <t xml:space="preserve">Xerox WorkCentre 5945</t>
  </si>
  <si>
    <t xml:space="preserve">013R00669</t>
  </si>
  <si>
    <t xml:space="preserve">Xerox AltaLink B8045</t>
  </si>
  <si>
    <t xml:space="preserve">Xerox AltaLink C8035</t>
  </si>
  <si>
    <t xml:space="preserve">Xerox AltaLink C8030</t>
  </si>
  <si>
    <t xml:space="preserve">Xerox VersaLink B405</t>
  </si>
  <si>
    <t xml:space="preserve">106R03581</t>
  </si>
  <si>
    <t xml:space="preserve">Xerox VersaLink B405DN</t>
  </si>
  <si>
    <t xml:space="preserve">Lexmark MX721ade</t>
  </si>
  <si>
    <t xml:space="preserve">58D5X0E</t>
  </si>
  <si>
    <t xml:space="preserve">58D0Z0E</t>
  </si>
  <si>
    <t xml:space="preserve">Xerox VersaLink B7130</t>
  </si>
  <si>
    <t xml:space="preserve">006R01819</t>
  </si>
  <si>
    <t xml:space="preserve">013R00688</t>
  </si>
  <si>
    <t xml:space="preserve">Xerox AltaLink C8155</t>
  </si>
  <si>
    <t xml:space="preserve">006R01758</t>
  </si>
  <si>
    <t xml:space="preserve">006R01759</t>
  </si>
  <si>
    <t xml:space="preserve">006R01760</t>
  </si>
  <si>
    <t xml:space="preserve">006R01761</t>
  </si>
  <si>
    <t xml:space="preserve">607K22320</t>
  </si>
  <si>
    <t xml:space="preserve">Xerox WorkCentre M118</t>
  </si>
  <si>
    <t xml:space="preserve">006R01179</t>
  </si>
  <si>
    <t xml:space="preserve">Xerox WorkCentre 4118</t>
  </si>
  <si>
    <t xml:space="preserve">006R01278</t>
  </si>
  <si>
    <t xml:space="preserve">Sindoh D330e</t>
  </si>
  <si>
    <t xml:space="preserve">D320T24KK</t>
  </si>
  <si>
    <t xml:space="preserve">D320T24KC</t>
  </si>
  <si>
    <t xml:space="preserve">D320T24KM</t>
  </si>
  <si>
    <t xml:space="preserve">D320T24KY</t>
  </si>
  <si>
    <t xml:space="preserve">D320R105KK</t>
  </si>
  <si>
    <t xml:space="preserve">D320D600KK</t>
  </si>
  <si>
    <t xml:space="preserve">A8JJWY1FR</t>
  </si>
  <si>
    <t xml:space="preserve">ACM1A722FR</t>
  </si>
  <si>
    <t xml:space="preserve">Sindoh D332e</t>
  </si>
  <si>
    <t xml:space="preserve">Xerox Phaser 3140</t>
  </si>
  <si>
    <t xml:space="preserve">108R00909</t>
  </si>
  <si>
    <t xml:space="preserve">Xerox Phaser 3160N</t>
  </si>
  <si>
    <t xml:space="preserve">Xerox WorkCentre 7530</t>
  </si>
  <si>
    <t xml:space="preserve">Xerox WorkCentre 7556</t>
  </si>
  <si>
    <t xml:space="preserve">Xerox Phaser D125</t>
  </si>
  <si>
    <t xml:space="preserve">006R01561</t>
  </si>
  <si>
    <t xml:space="preserve">Xerox WorkCentre 7830</t>
  </si>
  <si>
    <t xml:space="preserve">Xerox WorkCentre 7835</t>
  </si>
  <si>
    <t xml:space="preserve">Xerox WorkCentre 7855</t>
  </si>
  <si>
    <t xml:space="preserve">Xerox WorkCentre 3315</t>
  </si>
  <si>
    <t xml:space="preserve">Xerox WorkCentre 3315DN</t>
  </si>
  <si>
    <t xml:space="preserve">Катюша M348</t>
  </si>
  <si>
    <t xml:space="preserve">Катюша</t>
  </si>
  <si>
    <t xml:space="preserve">THM348</t>
  </si>
  <si>
    <t xml:space="preserve">PCM348</t>
  </si>
  <si>
    <t xml:space="preserve">TBM348</t>
  </si>
  <si>
    <t xml:space="preserve">HP LaserJet P2055</t>
  </si>
  <si>
    <t xml:space="preserve">CE505A</t>
  </si>
  <si>
    <t xml:space="preserve">RM1-6406</t>
  </si>
  <si>
    <t xml:space="preserve">Panasonic KX-FLM663</t>
  </si>
  <si>
    <t xml:space="preserve">KX-FAT88A</t>
  </si>
  <si>
    <t xml:space="preserve">KX-FAD89A</t>
  </si>
  <si>
    <t xml:space="preserve">Lexmark MS811dn</t>
  </si>
  <si>
    <t xml:space="preserve">60F5X0E</t>
  </si>
  <si>
    <t xml:space="preserve">Lexmark MS510dn</t>
  </si>
  <si>
    <t xml:space="preserve">Lexmark MS417dn</t>
  </si>
  <si>
    <t xml:space="preserve">Ricoh Aficio M C2000</t>
  </si>
  <si>
    <t xml:space="preserve">Ricoh</t>
  </si>
  <si>
    <t xml:space="preserve">Lexmark MS421dn</t>
  </si>
  <si>
    <t xml:space="preserve">56F5H0E</t>
  </si>
  <si>
    <t xml:space="preserve">Lexmark MX622ade</t>
  </si>
  <si>
    <t xml:space="preserve">Lexmark MX421ade</t>
  </si>
  <si>
    <t xml:space="preserve">Lexmark MB2338adw</t>
  </si>
  <si>
    <t xml:space="preserve">Lexmark MS521dn</t>
  </si>
  <si>
    <t xml:space="preserve">Lexmark MS431adn</t>
  </si>
  <si>
    <t xml:space="preserve">55B5X00</t>
  </si>
  <si>
    <t xml:space="preserve">Samsung SCX-4200</t>
  </si>
  <si>
    <t xml:space="preserve">SCX-D4200A</t>
  </si>
  <si>
    <t xml:space="preserve">Panasonic KX-MB2030</t>
  </si>
  <si>
    <t xml:space="preserve">HP Color LaserJet Managed MFP E77822dn</t>
  </si>
  <si>
    <t xml:space="preserve">W9190MC</t>
  </si>
  <si>
    <t xml:space="preserve">W9191MC</t>
  </si>
  <si>
    <t xml:space="preserve">W9193MC</t>
  </si>
  <si>
    <t xml:space="preserve">W9192MC</t>
  </si>
  <si>
    <t xml:space="preserve">W9044MC</t>
  </si>
  <si>
    <t xml:space="preserve">W9048MC</t>
  </si>
  <si>
    <t xml:space="preserve">Xerox Phaser B215</t>
  </si>
  <si>
    <t xml:space="preserve">Ricoh M C250FW</t>
  </si>
  <si>
    <t xml:space="preserve">HP LaserJet Pro 400 M425dn</t>
  </si>
  <si>
    <t xml:space="preserve">Sharp AR-M205</t>
  </si>
  <si>
    <t xml:space="preserve">AR202LT</t>
  </si>
  <si>
    <t xml:space="preserve">AR202DM</t>
  </si>
  <si>
    <t xml:space="preserve">Brother DCP-7010R</t>
  </si>
  <si>
    <t xml:space="preserve">Brother</t>
  </si>
  <si>
    <t xml:space="preserve">TN-2075</t>
  </si>
  <si>
    <t xml:space="preserve">DR-2075</t>
  </si>
  <si>
    <t xml:space="preserve">Ricoh MP 2014AD</t>
  </si>
  <si>
    <t xml:space="preserve">Lexmark MX511de</t>
  </si>
  <si>
    <t xml:space="preserve">Lexmark MX410de</t>
  </si>
  <si>
    <t xml:space="preserve">Lexmark MX611dhe</t>
  </si>
  <si>
    <t xml:space="preserve">Lexmark MX521de</t>
  </si>
  <si>
    <t xml:space="preserve">Lexmark MX431adn</t>
  </si>
  <si>
    <t xml:space="preserve">F+ лазерное M40adn</t>
  </si>
  <si>
    <t xml:space="preserve">F+</t>
  </si>
  <si>
    <t xml:space="preserve">Lexmark MX910de</t>
  </si>
  <si>
    <t xml:space="preserve">Lexmark MX711dhe</t>
  </si>
  <si>
    <t xml:space="preserve">Lexmark MX722ade</t>
  </si>
  <si>
    <t xml:space="preserve">Lexmark MX822ade</t>
  </si>
  <si>
    <t xml:space="preserve">Lexmark CX510de</t>
  </si>
  <si>
    <t xml:space="preserve">Lexmark CX725dhe</t>
  </si>
  <si>
    <t xml:space="preserve">Lexmark CX622ade</t>
  </si>
  <si>
    <t xml:space="preserve">78C5XKE</t>
  </si>
  <si>
    <t xml:space="preserve">78C0ZK0</t>
  </si>
  <si>
    <t xml:space="preserve">Lexmark CX522ade</t>
  </si>
  <si>
    <t xml:space="preserve">Lexmark X950dhe</t>
  </si>
  <si>
    <t xml:space="preserve">Lexmark CX921de</t>
  </si>
  <si>
    <t xml:space="preserve">HP LaserJet M5035x</t>
  </si>
  <si>
    <t xml:space="preserve">Panasonic KX-FLB883</t>
  </si>
  <si>
    <t xml:space="preserve">Oki C9656</t>
  </si>
  <si>
    <t xml:space="preserve">Oki</t>
  </si>
  <si>
    <t xml:space="preserve">Катюша М247</t>
  </si>
  <si>
    <t xml:space="preserve">THM247</t>
  </si>
  <si>
    <t xml:space="preserve">PCM247</t>
  </si>
  <si>
    <t xml:space="preserve">Катюша М247e</t>
  </si>
  <si>
    <t xml:space="preserve">P247-11-0001-00</t>
  </si>
  <si>
    <t xml:space="preserve">Konica Minolta bizhub 223</t>
  </si>
  <si>
    <t xml:space="preserve">A202051 (TN-217)</t>
  </si>
  <si>
    <t xml:space="preserve">Konica Minolta bizhub C250i</t>
  </si>
  <si>
    <t xml:space="preserve">Konica Minolta bizhub 558e</t>
  </si>
  <si>
    <t xml:space="preserve">TN-512K</t>
  </si>
  <si>
    <t xml:space="preserve">Oki CC8600dn</t>
  </si>
  <si>
    <t xml:space="preserve">Konica-Minolta bizhub C251i</t>
  </si>
  <si>
    <t xml:space="preserve">Kyocera KM-1620</t>
  </si>
  <si>
    <t xml:space="preserve">Kyocera KM-2050</t>
  </si>
  <si>
    <t xml:space="preserve">Kyocera KM-1650</t>
  </si>
  <si>
    <t xml:space="preserve">Oki B412</t>
  </si>
  <si>
    <t xml:space="preserve">Oki C9655</t>
  </si>
  <si>
    <t xml:space="preserve">Oki Pro9431</t>
  </si>
  <si>
    <t xml:space="preserve">Xerox Phaser 4510N</t>
  </si>
  <si>
    <t xml:space="preserve">113R00712</t>
  </si>
  <si>
    <t xml:space="preserve">Xerox Phaser 7800N</t>
  </si>
  <si>
    <t xml:space="preserve">106R01573</t>
  </si>
  <si>
    <t xml:space="preserve">106R01570</t>
  </si>
  <si>
    <t xml:space="preserve">106R01571</t>
  </si>
  <si>
    <t xml:space="preserve">106R01572</t>
  </si>
  <si>
    <t xml:space="preserve">108R00861</t>
  </si>
  <si>
    <t xml:space="preserve">Avision AM7640i</t>
  </si>
  <si>
    <t xml:space="preserve">Avision</t>
  </si>
  <si>
    <t xml:space="preserve">015-0298-21</t>
  </si>
  <si>
    <t xml:space="preserve">HP LaserJet Enterprise 500 M527dn</t>
  </si>
  <si>
    <t xml:space="preserve">CF287A</t>
  </si>
  <si>
    <t xml:space="preserve">Samsung ML-1750</t>
  </si>
  <si>
    <t xml:space="preserve">ML-1710D3</t>
  </si>
  <si>
    <t xml:space="preserve">Samsung SCX-4521F</t>
  </si>
  <si>
    <t xml:space="preserve">SCX-4521D3</t>
  </si>
  <si>
    <t xml:space="preserve">Samsung SCX-4100</t>
  </si>
  <si>
    <t xml:space="preserve">SCX-4100D3</t>
  </si>
  <si>
    <t xml:space="preserve">HP LaserJet P4014</t>
  </si>
  <si>
    <t xml:space="preserve">CC364A</t>
  </si>
  <si>
    <t xml:space="preserve">Samsung SCX-4824FN</t>
  </si>
  <si>
    <t xml:space="preserve">MLT-D209L</t>
  </si>
  <si>
    <t xml:space="preserve">HP OfficeJet Pro X451dw</t>
  </si>
  <si>
    <t xml:space="preserve">Картридж струйный</t>
  </si>
  <si>
    <t xml:space="preserve">CN625AE</t>
  </si>
  <si>
    <t xml:space="preserve">Pantum P2200</t>
  </si>
  <si>
    <t xml:space="preserve">PC-211EV</t>
  </si>
  <si>
    <t xml:space="preserve">Canon imageRUNNER 2420</t>
  </si>
  <si>
    <t xml:space="preserve">C-EXV14</t>
  </si>
  <si>
    <t xml:space="preserve">Xerox Phaser P3125</t>
  </si>
  <si>
    <t xml:space="preserve">106R01159</t>
  </si>
  <si>
    <t xml:space="preserve">Pantum P3300dn</t>
  </si>
  <si>
    <t xml:space="preserve">TL-420X</t>
  </si>
  <si>
    <t xml:space="preserve">Pantum M6500</t>
  </si>
  <si>
    <t xml:space="preserve">Pantum M6550NW</t>
  </si>
  <si>
    <t xml:space="preserve">Canon i-Sensys MF4018</t>
  </si>
  <si>
    <t xml:space="preserve">HP LaserJet Pro M125ra</t>
  </si>
  <si>
    <t xml:space="preserve">Pantum BP5100dn</t>
  </si>
  <si>
    <t xml:space="preserve">Pantum BM5100FDN</t>
  </si>
  <si>
    <t xml:space="preserve">Pantum BM5100</t>
  </si>
  <si>
    <t xml:space="preserve">Canon iR 2016</t>
  </si>
  <si>
    <t xml:space="preserve">Pantum M6507W</t>
  </si>
  <si>
    <t xml:space="preserve">Pantum CM1100ADN</t>
  </si>
  <si>
    <t xml:space="preserve">CTL-1100XK</t>
  </si>
  <si>
    <t xml:space="preserve">CTL-1100XC</t>
  </si>
  <si>
    <t xml:space="preserve">CTL-1100XM</t>
  </si>
  <si>
    <t xml:space="preserve">CTL-1100XY</t>
  </si>
  <si>
    <t xml:space="preserve">Pantum CM1100ADW</t>
  </si>
  <si>
    <t xml:space="preserve">HP LaserJet P2015</t>
  </si>
  <si>
    <t xml:space="preserve">HP LaserJet Mngd Flow E62565h</t>
  </si>
  <si>
    <t xml:space="preserve">W9005MC</t>
  </si>
  <si>
    <t xml:space="preserve">HP OfficeJet Pro 8500A eAiO A910a</t>
  </si>
  <si>
    <t xml:space="preserve">C4906AE</t>
  </si>
  <si>
    <t xml:space="preserve">HP OfficeJet Pro 8500A Plus</t>
  </si>
  <si>
    <t xml:space="preserve">HP OfficeJet Pro 8500</t>
  </si>
  <si>
    <t xml:space="preserve">HP LaserJet M5035</t>
  </si>
  <si>
    <t xml:space="preserve">HP OfficeJet 6500</t>
  </si>
  <si>
    <t xml:space="preserve">CD975AE</t>
  </si>
  <si>
    <t xml:space="preserve">HP Color LaserJet 3800</t>
  </si>
  <si>
    <t xml:space="preserve">Q6470A</t>
  </si>
  <si>
    <t xml:space="preserve">HP OfficeJet Pro 8600 Plus</t>
  </si>
  <si>
    <t xml:space="preserve">CN045AE</t>
  </si>
  <si>
    <t xml:space="preserve">HP Offisejet 6000 E609a</t>
  </si>
  <si>
    <t xml:space="preserve">HP OfficeJet Pro X576dw</t>
  </si>
  <si>
    <t xml:space="preserve">HP OfficeJet Pro 276dw</t>
  </si>
  <si>
    <t xml:space="preserve">HP OfficeJet Pro 8100</t>
  </si>
  <si>
    <t xml:space="preserve">HP OfficeJet Pro X551dw</t>
  </si>
  <si>
    <t xml:space="preserve">HP Color OfficeJet Enterprise X585dn</t>
  </si>
  <si>
    <t xml:space="preserve">D8J10A</t>
  </si>
  <si>
    <t xml:space="preserve">HP Color OfficeJet Enterprise Flow X585z</t>
  </si>
  <si>
    <t xml:space="preserve">HP OfficeJet Pro X476dw</t>
  </si>
  <si>
    <t xml:space="preserve">HP OfficeJet 7612 Wide Format</t>
  </si>
  <si>
    <t xml:space="preserve">HP Color LaserJet Pro 500 M570dn</t>
  </si>
  <si>
    <t xml:space="preserve">CF360A</t>
  </si>
  <si>
    <t xml:space="preserve">HP PageWide Managed Color Flow E586dn</t>
  </si>
  <si>
    <t xml:space="preserve">L0R16A</t>
  </si>
  <si>
    <t xml:space="preserve">HP OfficeJet Pro 8210</t>
  </si>
  <si>
    <t xml:space="preserve">F6U19AE</t>
  </si>
  <si>
    <t xml:space="preserve">HP PageWide Pro 452dw</t>
  </si>
  <si>
    <t xml:space="preserve">L0S07AE</t>
  </si>
  <si>
    <t xml:space="preserve">HP PageWide Pro 477dw</t>
  </si>
  <si>
    <t xml:space="preserve">HP PageWide Managed Color Flow E58650dn</t>
  </si>
  <si>
    <t xml:space="preserve">L0R20YC</t>
  </si>
  <si>
    <t xml:space="preserve">HP Color LaserJet Enterprise M750dn</t>
  </si>
  <si>
    <t xml:space="preserve">CE270A</t>
  </si>
  <si>
    <t xml:space="preserve">HP LaserJet 1300</t>
  </si>
  <si>
    <t xml:space="preserve">Q2613A</t>
  </si>
  <si>
    <t xml:space="preserve">HP Color LaserJet Managed MFP E77825dn</t>
  </si>
  <si>
    <t xml:space="preserve">HP LaserJet M436nda</t>
  </si>
  <si>
    <t xml:space="preserve">CF256X</t>
  </si>
  <si>
    <t xml:space="preserve">HP LaserJet E77422dv</t>
  </si>
  <si>
    <t xml:space="preserve">W9100MC</t>
  </si>
  <si>
    <t xml:space="preserve">HP LaserJet Managed MFP E72425dv</t>
  </si>
  <si>
    <t xml:space="preserve">W9025MC</t>
  </si>
  <si>
    <t xml:space="preserve">HP Laser 432fdn</t>
  </si>
  <si>
    <t xml:space="preserve">W1335X</t>
  </si>
  <si>
    <t xml:space="preserve">HP LaserJet M42625dn</t>
  </si>
  <si>
    <t xml:space="preserve">W1336X</t>
  </si>
  <si>
    <t xml:space="preserve">HP Color LaserJet Managed MFP E78325dn</t>
  </si>
  <si>
    <t xml:space="preserve">W9210MC</t>
  </si>
  <si>
    <t xml:space="preserve">HP Color LaserJet Managed E78330dn</t>
  </si>
  <si>
    <t xml:space="preserve">HP Laser 137fnw</t>
  </si>
  <si>
    <t xml:space="preserve">W1106A</t>
  </si>
  <si>
    <t xml:space="preserve">HP LaserJet Pro M225rdn</t>
  </si>
  <si>
    <t xml:space="preserve">HP LaserJet Pro 400 M425dw</t>
  </si>
  <si>
    <t xml:space="preserve">HP LaserJet Enterprise 500 M525dn</t>
  </si>
  <si>
    <t xml:space="preserve">CE255X</t>
  </si>
  <si>
    <t xml:space="preserve">HP Color LaserJet Pro M476dn</t>
  </si>
  <si>
    <t xml:space="preserve">CF380A</t>
  </si>
  <si>
    <t xml:space="preserve">HP LaserJet Pro M521dn</t>
  </si>
  <si>
    <t xml:space="preserve">HP LaserJet Pro M125rnw</t>
  </si>
  <si>
    <t xml:space="preserve">HP Color LaserJet CM1312</t>
  </si>
  <si>
    <t xml:space="preserve">HP Color LaserJet 400 M475dn</t>
  </si>
  <si>
    <t xml:space="preserve">CE410A</t>
  </si>
  <si>
    <t xml:space="preserve">HP LaserJet Pro 400 M435nw</t>
  </si>
  <si>
    <t xml:space="preserve">CZ192A</t>
  </si>
  <si>
    <t xml:space="preserve">HP LaserJet Pro MFP M127fw</t>
  </si>
  <si>
    <t xml:space="preserve">HP LaserJet Managed MFP E72530z</t>
  </si>
  <si>
    <t xml:space="preserve">HP LaserJet Managed MFP E72525dn</t>
  </si>
  <si>
    <t xml:space="preserve">HP LaserJet Managed MFP E72530dn</t>
  </si>
  <si>
    <t xml:space="preserve">HP LaserJet Managed MFP E82540dn</t>
  </si>
  <si>
    <t xml:space="preserve">W9014MC</t>
  </si>
  <si>
    <t xml:space="preserve">HP Managed Flow MFP E82560dn</t>
  </si>
  <si>
    <t xml:space="preserve">HP Color LaserJet Managed MFP E77830dn</t>
  </si>
  <si>
    <t xml:space="preserve">HP LaserJet Pro M1132</t>
  </si>
  <si>
    <t xml:space="preserve">HP LaserJet Pro M1536dnf</t>
  </si>
  <si>
    <t xml:space="preserve">CE278A</t>
  </si>
  <si>
    <t xml:space="preserve">HP LaserJet Enterprise M635</t>
  </si>
  <si>
    <t xml:space="preserve">CF281X</t>
  </si>
  <si>
    <t xml:space="preserve">HP LaserJet M1120</t>
  </si>
  <si>
    <t xml:space="preserve">HP LaserJet 3020</t>
  </si>
  <si>
    <t xml:space="preserve">HP LaserJet 3015</t>
  </si>
  <si>
    <t xml:space="preserve">HP LaserJet 3030</t>
  </si>
  <si>
    <t xml:space="preserve">HP LaserJet 1200</t>
  </si>
  <si>
    <t xml:space="preserve">C7115A</t>
  </si>
  <si>
    <t xml:space="preserve">HP LaserJet 5200</t>
  </si>
  <si>
    <t xml:space="preserve">Q7516A</t>
  </si>
  <si>
    <t xml:space="preserve">HP LaserJet 5100</t>
  </si>
  <si>
    <t xml:space="preserve">C4129X</t>
  </si>
  <si>
    <t xml:space="preserve">HP LaserJet P3005</t>
  </si>
  <si>
    <t xml:space="preserve">HP LaserJet Pro MFP M428dw</t>
  </si>
  <si>
    <t xml:space="preserve">CF258A</t>
  </si>
  <si>
    <t xml:space="preserve">HP Color LaserJet Pro M479fdn</t>
  </si>
  <si>
    <t xml:space="preserve">W2030A</t>
  </si>
  <si>
    <t xml:space="preserve">W2031A</t>
  </si>
  <si>
    <t xml:space="preserve">W2033A</t>
  </si>
  <si>
    <t xml:space="preserve">W2032A</t>
  </si>
  <si>
    <t xml:space="preserve">HP LaserJet M4345xm</t>
  </si>
  <si>
    <t xml:space="preserve">HP Neverstop Laser 1000a</t>
  </si>
  <si>
    <t xml:space="preserve">W1103A</t>
  </si>
  <si>
    <t xml:space="preserve">HP Neverstop Laser MFP 1200w</t>
  </si>
  <si>
    <t xml:space="preserve">HP Neverstop Laser 1000n</t>
  </si>
  <si>
    <t xml:space="preserve">HP LaserJet Enterprise M430f</t>
  </si>
  <si>
    <t xml:space="preserve">HP Color LaserJet CP5520</t>
  </si>
  <si>
    <t xml:space="preserve">HP Color LaserJet Enterprise 500 M551n</t>
  </si>
  <si>
    <t xml:space="preserve">CE400A</t>
  </si>
  <si>
    <t xml:space="preserve">HP Color LaserJet Enterprise 500 M551</t>
  </si>
  <si>
    <t xml:space="preserve">HP Color LaserJet 500 M575c</t>
  </si>
  <si>
    <t xml:space="preserve">HP Color LaserJet Enterprise 500 M551dn</t>
  </si>
  <si>
    <t xml:space="preserve">HP Color LaserJet 3550</t>
  </si>
  <si>
    <t xml:space="preserve">Q2670A</t>
  </si>
  <si>
    <t xml:space="preserve">HP Color LaserJet CP3505</t>
  </si>
  <si>
    <t xml:space="preserve">HP LaserJet Enterprise 600 M603xh</t>
  </si>
  <si>
    <t xml:space="preserve">CE390X</t>
  </si>
  <si>
    <t xml:space="preserve">HP LaserJet Enterprise 600 M603dn</t>
  </si>
  <si>
    <t xml:space="preserve">HP LaserJet Enterprise 600 M602</t>
  </si>
  <si>
    <t xml:space="preserve">CE390A</t>
  </si>
  <si>
    <t xml:space="preserve">HP LaserJet Enterprise 600 M602n</t>
  </si>
  <si>
    <t xml:space="preserve">HP LaserJet Enterprise 600 M601n</t>
  </si>
  <si>
    <t xml:space="preserve">HP LaserJet Enterprise 600 M602dn</t>
  </si>
  <si>
    <t xml:space="preserve">HP Color LaserJet Enterprise M855dn</t>
  </si>
  <si>
    <t xml:space="preserve">CF310A</t>
  </si>
  <si>
    <t xml:space="preserve">HP LaserJet Enterprise 600 M605dn</t>
  </si>
  <si>
    <t xml:space="preserve">HP Color LaserJet Enterprise M552dn</t>
  </si>
  <si>
    <t xml:space="preserve">HP LaserJet Enterprise 600 M605x</t>
  </si>
  <si>
    <t xml:space="preserve">HP LaserJet Enterprise M606dn</t>
  </si>
  <si>
    <t xml:space="preserve">HP LaserJet M609</t>
  </si>
  <si>
    <t xml:space="preserve">CF237A</t>
  </si>
  <si>
    <t xml:space="preserve">HP LaserJet Enterprise M608dn</t>
  </si>
  <si>
    <t xml:space="preserve">HP LaserJet Enterprise M631</t>
  </si>
  <si>
    <t xml:space="preserve">HP LaserJet Enterprise M607dn</t>
  </si>
  <si>
    <t xml:space="preserve">HP LaserJet Enterprise M609x</t>
  </si>
  <si>
    <t xml:space="preserve">CF237X</t>
  </si>
  <si>
    <t xml:space="preserve">HP LaserJet Enterprise M611</t>
  </si>
  <si>
    <t xml:space="preserve">W1470A</t>
  </si>
  <si>
    <t xml:space="preserve">HP LaserJet 3390</t>
  </si>
  <si>
    <t xml:space="preserve">HP Color LaserJet 2605dn</t>
  </si>
  <si>
    <t xml:space="preserve">HP LaserJet P2015dn</t>
  </si>
  <si>
    <t xml:space="preserve">HP LaserJet P2015d</t>
  </si>
  <si>
    <t xml:space="preserve">HP Color LaserJet Pro 400 M451nw</t>
  </si>
  <si>
    <t xml:space="preserve">HP LaserJet P2035</t>
  </si>
  <si>
    <t xml:space="preserve">HP LaserJet P2035n</t>
  </si>
  <si>
    <t xml:space="preserve">HP LaserJet P2055dn</t>
  </si>
  <si>
    <t xml:space="preserve">CE505X</t>
  </si>
  <si>
    <t xml:space="preserve">HP LaserJet 1018</t>
  </si>
  <si>
    <t xml:space="preserve">HP LaserJet P2055d</t>
  </si>
  <si>
    <t xml:space="preserve">HP Color LaserJet Managed MFP E87640dn</t>
  </si>
  <si>
    <t xml:space="preserve">W9050MC</t>
  </si>
  <si>
    <t xml:space="preserve">HP Color LaserJet Pro 200 M251n</t>
  </si>
  <si>
    <t xml:space="preserve">CF210A</t>
  </si>
  <si>
    <t xml:space="preserve">HP Color LaserJet Managed MFPE87640du</t>
  </si>
  <si>
    <t xml:space="preserve">HP LaserJet Managed E72535dn</t>
  </si>
  <si>
    <t xml:space="preserve">HP LaserJet Managed E82540du</t>
  </si>
  <si>
    <t xml:space="preserve">HP Color LaserJet CP1515n</t>
  </si>
  <si>
    <t xml:space="preserve">HP LaserJet 4350</t>
  </si>
  <si>
    <t xml:space="preserve">HP Color LaserJet Pro 100 M175nw</t>
  </si>
  <si>
    <t xml:space="preserve">CE310A</t>
  </si>
  <si>
    <t xml:space="preserve">HP Color LaserJet Pro 300 MFP M375nw</t>
  </si>
  <si>
    <t xml:space="preserve">HP Color LaserJet Pro 100 M175a</t>
  </si>
  <si>
    <t xml:space="preserve">HP Color LaserJet Pro CP1525N</t>
  </si>
  <si>
    <t xml:space="preserve">CE320A</t>
  </si>
  <si>
    <t xml:space="preserve">HP LaserJet 1220</t>
  </si>
  <si>
    <t xml:space="preserve">HP Color LaserJet Pro 400 M451dn</t>
  </si>
  <si>
    <t xml:space="preserve">HP Color LaserJet Pro CP1025</t>
  </si>
  <si>
    <t xml:space="preserve">HP LaserJet 2300</t>
  </si>
  <si>
    <t xml:space="preserve">Q2610A</t>
  </si>
  <si>
    <t xml:space="preserve">HP Color LaserJet Pro M177fw</t>
  </si>
  <si>
    <t xml:space="preserve">CF350A</t>
  </si>
  <si>
    <t xml:space="preserve">HP LaserJet 3050</t>
  </si>
  <si>
    <t xml:space="preserve">HP LaserJet 3052</t>
  </si>
  <si>
    <t xml:space="preserve">HP LaserJet P2014</t>
  </si>
  <si>
    <t xml:space="preserve">HP Color LaserJet Pro 300 M351a</t>
  </si>
  <si>
    <t xml:space="preserve">HP Color LaserJet CM2320nf</t>
  </si>
  <si>
    <t xml:space="preserve">HP Color LaserJet Pro MFP M479fdn</t>
  </si>
  <si>
    <t xml:space="preserve">HP LaserJet Pro 4103fdn</t>
  </si>
  <si>
    <t xml:space="preserve">W1510A</t>
  </si>
  <si>
    <t xml:space="preserve">HP LaserJet Pro 4103fdw</t>
  </si>
  <si>
    <t xml:space="preserve">HP Color LaserJet CP2025</t>
  </si>
  <si>
    <t xml:space="preserve">HP LaserJet M1522n</t>
  </si>
  <si>
    <t xml:space="preserve">HP LaserJet M1522nf</t>
  </si>
  <si>
    <t xml:space="preserve">HP Color LaserJet CP3525dn</t>
  </si>
  <si>
    <t xml:space="preserve">CE250A</t>
  </si>
  <si>
    <t xml:space="preserve">HP Color LaserJet CP1210</t>
  </si>
  <si>
    <t xml:space="preserve">HP Color LaserJet Professional CP5225dn</t>
  </si>
  <si>
    <t xml:space="preserve">CE740A</t>
  </si>
  <si>
    <t xml:space="preserve">HP Color LaserJet Enterprise CP5525n</t>
  </si>
  <si>
    <t xml:space="preserve">HP Color LaserJet CP3525n</t>
  </si>
  <si>
    <t xml:space="preserve">HP Color LaserJet Enterprise 700 M775dn</t>
  </si>
  <si>
    <t xml:space="preserve">HP LaserJet Enterprise M4555h</t>
  </si>
  <si>
    <t xml:space="preserve">HP LaserJet Enterprise M4555</t>
  </si>
  <si>
    <t xml:space="preserve">HP LaserJet Enterprise M4555f</t>
  </si>
  <si>
    <t xml:space="preserve">HP LaserJet Enterprise 700 M712dn</t>
  </si>
  <si>
    <t xml:space="preserve">CF214A</t>
  </si>
  <si>
    <t xml:space="preserve">HP Color LaserJet Enterprise M880z+</t>
  </si>
  <si>
    <t xml:space="preserve">CF300A</t>
  </si>
  <si>
    <t xml:space="preserve">HP LaserJet Enterprise 700 M712xh</t>
  </si>
  <si>
    <t xml:space="preserve">HP LaserJet Enterprise 700 M725z+</t>
  </si>
  <si>
    <t xml:space="preserve">HP LaserJet Pro M426dw</t>
  </si>
  <si>
    <t xml:space="preserve">HP LaserJet Enterprise M632</t>
  </si>
  <si>
    <t xml:space="preserve">HP LaserJet P3005n</t>
  </si>
  <si>
    <t xml:space="preserve">HP Color LaserJet 1600</t>
  </si>
  <si>
    <t xml:space="preserve">HP LaserJet 4200n</t>
  </si>
  <si>
    <t xml:space="preserve">Q1338A</t>
  </si>
  <si>
    <t xml:space="preserve">HP LaserJet 4250n</t>
  </si>
  <si>
    <t xml:space="preserve">HP Color LaserJet CM1017</t>
  </si>
  <si>
    <t xml:space="preserve">HP PageWide Managed 556dn</t>
  </si>
  <si>
    <t xml:space="preserve">HP PageWide Managed Color Flow E58650z</t>
  </si>
  <si>
    <t xml:space="preserve">HP LaserJet Pro M1212nf</t>
  </si>
  <si>
    <t xml:space="preserve">HP Color LaserJet Pro 200 MFP M276nw</t>
  </si>
  <si>
    <t xml:space="preserve">HP Color LaserJet 400 M475dw</t>
  </si>
  <si>
    <t xml:space="preserve">HP LaserJet M3027x</t>
  </si>
  <si>
    <t xml:space="preserve">HP LaserJet M2727nfs</t>
  </si>
  <si>
    <t xml:space="preserve">HP Color LaserJet CM6030</t>
  </si>
  <si>
    <t xml:space="preserve">CB390A</t>
  </si>
  <si>
    <t xml:space="preserve">HP Color LaserJet CM6040f</t>
  </si>
  <si>
    <t xml:space="preserve">HP Color LaserJet CM6040</t>
  </si>
  <si>
    <t xml:space="preserve">HP Color LaserJet CM6030f</t>
  </si>
  <si>
    <t xml:space="preserve">HP LaserJet M4349x</t>
  </si>
  <si>
    <t xml:space="preserve">HP Color LaserJet 3600n</t>
  </si>
  <si>
    <t xml:space="preserve">HP LaserJet Enterprise 700 M725f</t>
  </si>
  <si>
    <t xml:space="preserve">HP LaserJet M1120n</t>
  </si>
  <si>
    <t xml:space="preserve">Kyocera FS 1025MFP</t>
  </si>
  <si>
    <t xml:space="preserve">HP LaserJet Pro M1214nfh</t>
  </si>
  <si>
    <t xml:space="preserve">HP LaserJet 1010</t>
  </si>
  <si>
    <t xml:space="preserve">HP Color LaserJet CM1015 MFP</t>
  </si>
  <si>
    <t xml:space="preserve">HP LaserJet MC1015</t>
  </si>
  <si>
    <t xml:space="preserve">HP LaserJet 1015</t>
  </si>
  <si>
    <t xml:space="preserve">HP LaserJet 2420</t>
  </si>
  <si>
    <t xml:space="preserve">Q6511A</t>
  </si>
  <si>
    <t xml:space="preserve">HP LaserJet 2430</t>
  </si>
  <si>
    <t xml:space="preserve">HP LaserJet 2410</t>
  </si>
  <si>
    <t xml:space="preserve">HP LaserJet 2420n</t>
  </si>
  <si>
    <t xml:space="preserve">HP LaserJet M3027</t>
  </si>
  <si>
    <t xml:space="preserve">HP LaserJet 3200</t>
  </si>
  <si>
    <t xml:space="preserve">C4092A</t>
  </si>
  <si>
    <t xml:space="preserve">HP Color LaserJet CP2025dn</t>
  </si>
  <si>
    <t xml:space="preserve">HP Color LaserJet Enterprise CP5525dn</t>
  </si>
  <si>
    <t xml:space="preserve">HP Color LaserJet Professional CP5225n</t>
  </si>
  <si>
    <t xml:space="preserve">HP LaserJet 1320n</t>
  </si>
  <si>
    <t xml:space="preserve">HP LaserJet 5200dtn</t>
  </si>
  <si>
    <t xml:space="preserve">HP LaserJet P4015n</t>
  </si>
  <si>
    <t xml:space="preserve">HP LaserJet P4015dn</t>
  </si>
  <si>
    <t xml:space="preserve">HP LaserJet Pro M1217nfw</t>
  </si>
  <si>
    <t xml:space="preserve">HP Color LaserJet Pro CM1415fn</t>
  </si>
  <si>
    <t xml:space="preserve">HP LaserJet P1005</t>
  </si>
  <si>
    <t xml:space="preserve">CB435A</t>
  </si>
  <si>
    <t xml:space="preserve">HP Color LaserJet 2550L</t>
  </si>
  <si>
    <t xml:space="preserve">Q3960A</t>
  </si>
  <si>
    <t xml:space="preserve">HP Color LaserJet Enterprise 700 M775f</t>
  </si>
  <si>
    <t xml:space="preserve">HP Color LaserJet 2600n</t>
  </si>
  <si>
    <t xml:space="preserve">HP LaserJet 4350n</t>
  </si>
  <si>
    <t xml:space="preserve">HP LaserJet 4350dtnsl</t>
  </si>
  <si>
    <t xml:space="preserve">HP LaserJet Pro m1132</t>
  </si>
  <si>
    <t xml:space="preserve">HP LaserJet P3005dn</t>
  </si>
  <si>
    <t xml:space="preserve">HP LaserJet M3035xs</t>
  </si>
  <si>
    <t xml:space="preserve">HP LaserJet Managed E60065dn</t>
  </si>
  <si>
    <t xml:space="preserve">HP LaserJet Managed E60055dn</t>
  </si>
  <si>
    <t xml:space="preserve">HP LaserJet Managed E60155dn</t>
  </si>
  <si>
    <t xml:space="preserve">HP LaserJet Managed E60165dn</t>
  </si>
  <si>
    <t xml:space="preserve">HP LaserJet 4100</t>
  </si>
  <si>
    <t xml:space="preserve">C8061X</t>
  </si>
  <si>
    <t xml:space="preserve">HP LaserJet Managed MFP E62555dn</t>
  </si>
  <si>
    <t xml:space="preserve">HP LaserJet Managed MFP E62665hs</t>
  </si>
  <si>
    <t xml:space="preserve">HP Color LaserJet 2840</t>
  </si>
  <si>
    <t xml:space="preserve">HP Color LaserJet 3600</t>
  </si>
  <si>
    <t xml:space="preserve">HP Color LaserJet 3000dn</t>
  </si>
  <si>
    <t xml:space="preserve">Q7560A</t>
  </si>
  <si>
    <t xml:space="preserve">Pantum CP1100DN</t>
  </si>
  <si>
    <t xml:space="preserve">Canon LaserJet MF3228</t>
  </si>
  <si>
    <t xml:space="preserve">EP-27</t>
  </si>
  <si>
    <t xml:space="preserve">Pantum CM270ADN</t>
  </si>
  <si>
    <t xml:space="preserve">CTO-2600K</t>
  </si>
  <si>
    <t xml:space="preserve">CTO-2600C</t>
  </si>
  <si>
    <t xml:space="preserve">CTO-2600M</t>
  </si>
  <si>
    <t xml:space="preserve">CTO-2600Y</t>
  </si>
  <si>
    <t xml:space="preserve">Pantum BM270ADN</t>
  </si>
  <si>
    <t xml:space="preserve">TO-2600H</t>
  </si>
  <si>
    <t xml:space="preserve">DO-2600</t>
  </si>
  <si>
    <t xml:space="preserve">Samsung SCX-4300</t>
  </si>
  <si>
    <t xml:space="preserve">MLT-D109S</t>
  </si>
  <si>
    <t xml:space="preserve">Pantum BM5201ADW</t>
  </si>
  <si>
    <t xml:space="preserve">Pantum CM230ADN</t>
  </si>
  <si>
    <t xml:space="preserve">CTL-2300K</t>
  </si>
  <si>
    <t xml:space="preserve">CTL-2300C</t>
  </si>
  <si>
    <t xml:space="preserve">CTL-2300M</t>
  </si>
  <si>
    <t xml:space="preserve">CTL-2300Y</t>
  </si>
  <si>
    <t xml:space="preserve">Canon i-Sensys MF4270</t>
  </si>
  <si>
    <t xml:space="preserve">Brother MFC-8370DN</t>
  </si>
  <si>
    <t xml:space="preserve">TN-3230</t>
  </si>
  <si>
    <t xml:space="preserve">DR-3200</t>
  </si>
  <si>
    <t xml:space="preserve">TSC термо TDP-244</t>
  </si>
  <si>
    <t xml:space="preserve">TSC</t>
  </si>
  <si>
    <t xml:space="preserve">Konica Minolta bizhub 25е</t>
  </si>
  <si>
    <t xml:space="preserve">Canon iR1024F</t>
  </si>
  <si>
    <t xml:space="preserve">C-EXV18</t>
  </si>
  <si>
    <t xml:space="preserve">Canon iR1024I</t>
  </si>
  <si>
    <t xml:space="preserve">Xerox Phaser 6180DN</t>
  </si>
  <si>
    <t xml:space="preserve">113R00722</t>
  </si>
  <si>
    <t xml:space="preserve">113R00723</t>
  </si>
  <si>
    <t xml:space="preserve">113R00724</t>
  </si>
  <si>
    <t xml:space="preserve">113R00725</t>
  </si>
  <si>
    <t xml:space="preserve">Canon i-Sensys MF4410</t>
  </si>
  <si>
    <t xml:space="preserve">Ricoh Aficio MP C2503SP</t>
  </si>
  <si>
    <t xml:space="preserve">Ricoh Aficio MP 2501SP</t>
  </si>
  <si>
    <t xml:space="preserve">Brother HL-L2300DR</t>
  </si>
  <si>
    <t xml:space="preserve">TN-2335</t>
  </si>
  <si>
    <t xml:space="preserve">Brother DCP-L2500DR</t>
  </si>
  <si>
    <t xml:space="preserve">DR-2335</t>
  </si>
  <si>
    <t xml:space="preserve">Brother DCP-L5500DN</t>
  </si>
  <si>
    <t xml:space="preserve">TN-3480</t>
  </si>
  <si>
    <t xml:space="preserve">DR-3400</t>
  </si>
  <si>
    <t xml:space="preserve">Brother DCP-L6600DW</t>
  </si>
  <si>
    <t xml:space="preserve">TN-3512</t>
  </si>
  <si>
    <t xml:space="preserve">Brother MFC-L5750DW</t>
  </si>
  <si>
    <t xml:space="preserve">TN-3430</t>
  </si>
  <si>
    <t xml:space="preserve">Brother MFC-L6900DW</t>
  </si>
  <si>
    <t xml:space="preserve">TN-3520</t>
  </si>
  <si>
    <t xml:space="preserve">Brother HL-1202R</t>
  </si>
  <si>
    <t xml:space="preserve">TN-1095</t>
  </si>
  <si>
    <t xml:space="preserve">Brother MFC-L3770CDW</t>
  </si>
  <si>
    <t xml:space="preserve">TN-241BK</t>
  </si>
  <si>
    <t xml:space="preserve">TN-241C</t>
  </si>
  <si>
    <t xml:space="preserve">TN-241M</t>
  </si>
  <si>
    <t xml:space="preserve">TN-241Y</t>
  </si>
  <si>
    <t xml:space="preserve">Canon i-SENSYS MF4660PL</t>
  </si>
  <si>
    <t xml:space="preserve">Canon i-Sensys MF4370dn</t>
  </si>
  <si>
    <t xml:space="preserve">Canon i-Sensys MF4340d</t>
  </si>
  <si>
    <t xml:space="preserve">Canon i-SENSYS MF4320d</t>
  </si>
  <si>
    <t xml:space="preserve">Kyocera ECOSYS M2040dn</t>
  </si>
  <si>
    <t xml:space="preserve">TK-1170</t>
  </si>
  <si>
    <t xml:space="preserve">Kyocera ECOSYS M2540</t>
  </si>
  <si>
    <t xml:space="preserve">Canon i-Sensys LBP3010</t>
  </si>
  <si>
    <t xml:space="preserve">C-712</t>
  </si>
  <si>
    <t xml:space="preserve">Canon i-Sensys MF3010</t>
  </si>
  <si>
    <t xml:space="preserve">HP LaserJet Pro P1606dn</t>
  </si>
  <si>
    <t xml:space="preserve">Canon LaserBase MF6560PL</t>
  </si>
  <si>
    <t xml:space="preserve">C-706</t>
  </si>
  <si>
    <t xml:space="preserve">Epson термо M188d</t>
  </si>
  <si>
    <t xml:space="preserve">Epson</t>
  </si>
  <si>
    <t xml:space="preserve">Canon imageRUNNER 2520</t>
  </si>
  <si>
    <t xml:space="preserve">C-EXV33</t>
  </si>
  <si>
    <t xml:space="preserve">HP LaserJet 1100</t>
  </si>
  <si>
    <t xml:space="preserve">HP LaserJet 2200d</t>
  </si>
  <si>
    <t xml:space="preserve">C4096A</t>
  </si>
  <si>
    <t xml:space="preserve">HP LaserJet 2100</t>
  </si>
  <si>
    <t xml:space="preserve">Brother MFC-8880DN</t>
  </si>
  <si>
    <t xml:space="preserve">Ricoh MP C2011SP</t>
  </si>
  <si>
    <t xml:space="preserve">Canon i-Sensys MF5840dn</t>
  </si>
  <si>
    <t xml:space="preserve">C-719</t>
  </si>
  <si>
    <t xml:space="preserve">Canon i-Sensys MF4010</t>
  </si>
  <si>
    <t xml:space="preserve">Canon iR ADVANCE C5250</t>
  </si>
  <si>
    <t xml:space="preserve">C-EXV28Bk</t>
  </si>
  <si>
    <t xml:space="preserve">Canon iR ADVANCE C5030</t>
  </si>
  <si>
    <t xml:space="preserve">C-EXV29Bk</t>
  </si>
  <si>
    <t xml:space="preserve">Xerox Phaser 6180N</t>
  </si>
  <si>
    <t xml:space="preserve">Canon imageRUNNER 2320</t>
  </si>
  <si>
    <t xml:space="preserve">Canon imageRUNNER 2318</t>
  </si>
  <si>
    <t xml:space="preserve">Canon imageRUNNER 2018</t>
  </si>
  <si>
    <t xml:space="preserve">Kyocera ECOSYS MA3500cix</t>
  </si>
  <si>
    <t xml:space="preserve">TK-5370K</t>
  </si>
  <si>
    <t xml:space="preserve">TK-5370C</t>
  </si>
  <si>
    <t xml:space="preserve">TK-5370M</t>
  </si>
  <si>
    <t xml:space="preserve">TK-5370Y</t>
  </si>
  <si>
    <t xml:space="preserve">Canon i-Sensys MF4570</t>
  </si>
  <si>
    <t xml:space="preserve">Canon i-Sensys MF4570dn</t>
  </si>
  <si>
    <t xml:space="preserve">Canon i-Sensys MF4550d</t>
  </si>
  <si>
    <t xml:space="preserve">Canon i-Sensys MF4450</t>
  </si>
  <si>
    <t xml:space="preserve">Canon i-Sensys MF5940dn</t>
  </si>
  <si>
    <t xml:space="preserve">Canon PIXMA iP2700</t>
  </si>
  <si>
    <t xml:space="preserve">PG-512</t>
  </si>
  <si>
    <t xml:space="preserve">Canon i-Sensys canon MF8340dn</t>
  </si>
  <si>
    <t xml:space="preserve">C-718</t>
  </si>
  <si>
    <t xml:space="preserve">HP Color LaserJet 4700n</t>
  </si>
  <si>
    <t xml:space="preserve">Q5950A</t>
  </si>
  <si>
    <t xml:space="preserve">HP Color LaserJet 4700dn</t>
  </si>
  <si>
    <t xml:space="preserve">HP Color LaserJet CM4730</t>
  </si>
  <si>
    <t xml:space="preserve">Q6460A</t>
  </si>
  <si>
    <t xml:space="preserve">Canon iR ADVANCE C5240</t>
  </si>
  <si>
    <t xml:space="preserve">HP LaserJet Enterprise 800 M806x+</t>
  </si>
  <si>
    <t xml:space="preserve">CF325X</t>
  </si>
  <si>
    <t xml:space="preserve">HP LaserJet Enterprise 800 M806dn</t>
  </si>
  <si>
    <t xml:space="preserve">HP LaserJet Enterprise flow M830z</t>
  </si>
  <si>
    <t xml:space="preserve">HP Color LaserJet Enterprise M652</t>
  </si>
  <si>
    <t xml:space="preserve">CF460X</t>
  </si>
  <si>
    <t xml:space="preserve">HP LaserJet M9050</t>
  </si>
  <si>
    <t xml:space="preserve">C8543X</t>
  </si>
  <si>
    <t xml:space="preserve">HP LaserJet M9059</t>
  </si>
  <si>
    <t xml:space="preserve">HP Color LaserJet Enterprise CP4525n</t>
  </si>
  <si>
    <t xml:space="preserve">CE260A</t>
  </si>
  <si>
    <t xml:space="preserve">HP Color LaserJet Enterprise M577dn</t>
  </si>
  <si>
    <t xml:space="preserve">HP Color LaserJet Enterprise M553</t>
  </si>
  <si>
    <t xml:space="preserve">HP Color LaserJet Managed E57540dn</t>
  </si>
  <si>
    <t xml:space="preserve">W9060MC</t>
  </si>
  <si>
    <t xml:space="preserve">HP Color LaserJet Enterprise Flow MFP M776z</t>
  </si>
  <si>
    <t xml:space="preserve">W2010A</t>
  </si>
  <si>
    <t xml:space="preserve">HP Color LaserJet Enterprise Flow MFP 578dn</t>
  </si>
  <si>
    <t xml:space="preserve">HP Color LaserJet Enterprise Flow MFP M776zs</t>
  </si>
  <si>
    <t xml:space="preserve">HP Color LaserJet Enterprise 500 M554dn</t>
  </si>
  <si>
    <t xml:space="preserve">W2120X</t>
  </si>
  <si>
    <t xml:space="preserve">HP LaserJet 9050dn</t>
  </si>
  <si>
    <t xml:space="preserve">HP LaserJet 9040</t>
  </si>
  <si>
    <t xml:space="preserve">HP Color LaserJet Enterprise CP4025</t>
  </si>
  <si>
    <t xml:space="preserve">HP Color LaserJet CM4540f</t>
  </si>
  <si>
    <t xml:space="preserve">HP Color LaserJet CP4520</t>
  </si>
  <si>
    <t xml:space="preserve">HP Color LaserJet Enterprise CP4525</t>
  </si>
  <si>
    <t xml:space="preserve">HP Color LaserJet Enterprise CM4540</t>
  </si>
  <si>
    <t xml:space="preserve">HP Color LaserJet 5550</t>
  </si>
  <si>
    <t xml:space="preserve">HP Color LaserJet 5550dn</t>
  </si>
  <si>
    <t xml:space="preserve">HP Color LaserJet 5550n</t>
  </si>
  <si>
    <t xml:space="preserve">HP Color LaserJet 4600</t>
  </si>
  <si>
    <t xml:space="preserve">C9720A</t>
  </si>
  <si>
    <t xml:space="preserve">HP Color LaserJet 4650dn</t>
  </si>
  <si>
    <t xml:space="preserve">HP LaserJet M9040</t>
  </si>
  <si>
    <t xml:space="preserve">HP Color LaserJet 5550dtn</t>
  </si>
  <si>
    <t xml:space="preserve">HP Color LaserJet CP4005dn</t>
  </si>
  <si>
    <t xml:space="preserve">CB400A</t>
  </si>
  <si>
    <t xml:space="preserve">HP Color LaserJet CP6015dn</t>
  </si>
  <si>
    <t xml:space="preserve">CB380A</t>
  </si>
  <si>
    <t xml:space="preserve">Epson FX-890</t>
  </si>
  <si>
    <t xml:space="preserve">Картридж матричный</t>
  </si>
  <si>
    <t xml:space="preserve">C13S015329</t>
  </si>
  <si>
    <t xml:space="preserve">Epson LQ 630</t>
  </si>
  <si>
    <t xml:space="preserve">C13S015610</t>
  </si>
  <si>
    <t xml:space="preserve">Катюша М240</t>
  </si>
  <si>
    <t xml:space="preserve">TK240XL</t>
  </si>
  <si>
    <t xml:space="preserve">DR240</t>
  </si>
  <si>
    <t xml:space="preserve">Canon imageRUNNER 2270</t>
  </si>
  <si>
    <t xml:space="preserve">Canon PIXMA MG3640</t>
  </si>
  <si>
    <t xml:space="preserve">PG-440</t>
  </si>
  <si>
    <t xml:space="preserve">Canon PIXMA G2400</t>
  </si>
  <si>
    <t xml:space="preserve">GI-490BK</t>
  </si>
  <si>
    <t xml:space="preserve">Canon PIXMA G1410</t>
  </si>
  <si>
    <t xml:space="preserve">Xerox Phaser 5550DT</t>
  </si>
  <si>
    <t xml:space="preserve">Canon i-Sensys MF4150</t>
  </si>
  <si>
    <t xml:space="preserve">Canon i-SENSYS MF4120</t>
  </si>
  <si>
    <t xml:space="preserve">Kyocera TASKalfa 180</t>
  </si>
  <si>
    <t xml:space="preserve">TK-435</t>
  </si>
  <si>
    <t xml:space="preserve">Kyocera FS-1125MFP</t>
  </si>
  <si>
    <t xml:space="preserve">Kyocera FS-1320D</t>
  </si>
  <si>
    <t xml:space="preserve">TK-170</t>
  </si>
  <si>
    <t xml:space="preserve">Ricoh Aficio MP1600</t>
  </si>
  <si>
    <t xml:space="preserve">Kyocera FS 1060dn</t>
  </si>
  <si>
    <t xml:space="preserve">Kyocera TASKalfa 4501i</t>
  </si>
  <si>
    <t xml:space="preserve">TK-6305</t>
  </si>
  <si>
    <t xml:space="preserve">Xerox Phaser 6125N</t>
  </si>
  <si>
    <t xml:space="preserve">106R01338</t>
  </si>
  <si>
    <t xml:space="preserve">106R01335</t>
  </si>
  <si>
    <t xml:space="preserve">106R01336</t>
  </si>
  <si>
    <t xml:space="preserve">106R01337</t>
  </si>
  <si>
    <t xml:space="preserve">Kyocera TASKalfa 2201</t>
  </si>
  <si>
    <t xml:space="preserve">TK-4105</t>
  </si>
  <si>
    <t xml:space="preserve">Kyocera TASKalfa 3010i</t>
  </si>
  <si>
    <t xml:space="preserve">Kyocera FS 1120D</t>
  </si>
  <si>
    <t xml:space="preserve">TK-160</t>
  </si>
  <si>
    <t xml:space="preserve">Kyocera TASKalfa 2551ci</t>
  </si>
  <si>
    <t xml:space="preserve">TK-8325K</t>
  </si>
  <si>
    <t xml:space="preserve">TK-8325C</t>
  </si>
  <si>
    <t xml:space="preserve">TK-8325M</t>
  </si>
  <si>
    <t xml:space="preserve">TK-8325Y</t>
  </si>
  <si>
    <t xml:space="preserve">Kyocera ECOSYS M3040 idn</t>
  </si>
  <si>
    <t xml:space="preserve">TK-3150</t>
  </si>
  <si>
    <t xml:space="preserve">Kyocera FS-3040MFP</t>
  </si>
  <si>
    <t xml:space="preserve">TK-350</t>
  </si>
  <si>
    <t xml:space="preserve">Kyocera FS-C8600DN</t>
  </si>
  <si>
    <t xml:space="preserve">TK-8600K</t>
  </si>
  <si>
    <t xml:space="preserve">Kyocera ECOSYS M3540dn</t>
  </si>
  <si>
    <t xml:space="preserve">Kyocera ECOSYS M3550idn</t>
  </si>
  <si>
    <t xml:space="preserve">TK-3170</t>
  </si>
  <si>
    <t xml:space="preserve">Kyocera ECOSYS M2030DN</t>
  </si>
  <si>
    <t xml:space="preserve">TK-1130</t>
  </si>
  <si>
    <t xml:space="preserve">Kyocera ECOSYS M2035DN</t>
  </si>
  <si>
    <t xml:space="preserve">TK-1140</t>
  </si>
  <si>
    <t xml:space="preserve">Kyocera ECOSYS P2035d</t>
  </si>
  <si>
    <t xml:space="preserve">Kyocera ECOSYS P2135dn</t>
  </si>
  <si>
    <t xml:space="preserve">Kyocera ECOSYS M2535dn</t>
  </si>
  <si>
    <t xml:space="preserve">Kyocera ECOSYS P2235dn</t>
  </si>
  <si>
    <t xml:space="preserve">TK-1150</t>
  </si>
  <si>
    <t xml:space="preserve">Kyocera ECOSYS P6021cdn</t>
  </si>
  <si>
    <t xml:space="preserve">TK-5140K</t>
  </si>
  <si>
    <t xml:space="preserve">Kyocera Ecosys M6026 cdn</t>
  </si>
  <si>
    <t xml:space="preserve">TK-590K</t>
  </si>
  <si>
    <t xml:space="preserve">Kyocera ECOSYS M6526cdn</t>
  </si>
  <si>
    <t xml:space="preserve">Kyocera ECOSYS P6030cdn</t>
  </si>
  <si>
    <t xml:space="preserve">Canon iR ADVANCE C2220L</t>
  </si>
  <si>
    <t xml:space="preserve">C-EXV34BK</t>
  </si>
  <si>
    <t xml:space="preserve">Canon i-Sensys LBP 5050</t>
  </si>
  <si>
    <t xml:space="preserve">C-716Bk</t>
  </si>
  <si>
    <t xml:space="preserve">Canon iR ADVANCE С2220</t>
  </si>
  <si>
    <t xml:space="preserve">Brother DCP-7057R</t>
  </si>
  <si>
    <t xml:space="preserve">TN-2090</t>
  </si>
  <si>
    <t xml:space="preserve">DR-2275</t>
  </si>
  <si>
    <t xml:space="preserve">Kyocera ECOSYS 1030</t>
  </si>
  <si>
    <t xml:space="preserve">Canon LaserBase MF3228</t>
  </si>
  <si>
    <t xml:space="preserve">TSC MH641</t>
  </si>
  <si>
    <t xml:space="preserve">Canon i-Sensys LBP7660C</t>
  </si>
  <si>
    <t xml:space="preserve">Canon i-Sensys LBP6780</t>
  </si>
  <si>
    <t xml:space="preserve">HP OfficeJet 7500A Wide Format</t>
  </si>
  <si>
    <t xml:space="preserve">HP PageWide Managed Color E75160dn</t>
  </si>
  <si>
    <t xml:space="preserve">M0K02AE</t>
  </si>
  <si>
    <t xml:space="preserve">Kyocera TASKalfa 5550ci</t>
  </si>
  <si>
    <t xml:space="preserve">TK-8505K</t>
  </si>
  <si>
    <t xml:space="preserve">Canon imageRUNNER 2530</t>
  </si>
  <si>
    <t xml:space="preserve">Kyocera TASKalfa 8000i</t>
  </si>
  <si>
    <t xml:space="preserve">Epson Stylus Photo R3000</t>
  </si>
  <si>
    <t xml:space="preserve">C13T15714010</t>
  </si>
  <si>
    <t xml:space="preserve">Kyocera FS 6025</t>
  </si>
  <si>
    <t xml:space="preserve">Canon i-Sensys LBP6020</t>
  </si>
  <si>
    <t xml:space="preserve">Canon i-Sensys LBP252dw</t>
  </si>
  <si>
    <t xml:space="preserve">719H</t>
  </si>
  <si>
    <t xml:space="preserve">Canon i-Sensys LBP612C</t>
  </si>
  <si>
    <t xml:space="preserve">C-731H</t>
  </si>
  <si>
    <t xml:space="preserve">HP PageWide Managed MFP P77740dn</t>
  </si>
  <si>
    <t xml:space="preserve">X4D19AC</t>
  </si>
  <si>
    <t xml:space="preserve">HP PageWide Managed MFP P77740z</t>
  </si>
  <si>
    <t xml:space="preserve">HP PageWide Pro 772dn</t>
  </si>
  <si>
    <t xml:space="preserve">HP PageWide Managed E77650dn</t>
  </si>
  <si>
    <t xml:space="preserve">M0K29XC</t>
  </si>
  <si>
    <t xml:space="preserve">HP PageWide Managed MFP P77440dn</t>
  </si>
  <si>
    <t xml:space="preserve">HP LaserJet MFP M528</t>
  </si>
  <si>
    <t xml:space="preserve">CF289X</t>
  </si>
  <si>
    <t xml:space="preserve">Canon i-Sensys LBP351x</t>
  </si>
  <si>
    <t xml:space="preserve">CRG-039H</t>
  </si>
  <si>
    <t xml:space="preserve">HP LaserJet Managed MFP E62655dn</t>
  </si>
  <si>
    <t xml:space="preserve">HP LaserJet Managed MFP E62665h</t>
  </si>
  <si>
    <t xml:space="preserve">HP LaserJet 5000</t>
  </si>
  <si>
    <t xml:space="preserve">Canon iR ADVANCE 6275i</t>
  </si>
  <si>
    <t xml:space="preserve">C-EXV36</t>
  </si>
  <si>
    <t xml:space="preserve">Kyocera FS 3540MFP</t>
  </si>
  <si>
    <t xml:space="preserve">HP LaserJet Pro M230dw</t>
  </si>
  <si>
    <t xml:space="preserve">CF230A</t>
  </si>
  <si>
    <t xml:space="preserve">Kyocera FS 1130MFP</t>
  </si>
  <si>
    <t xml:space="preserve">Kyocera FS-1035MFP/DP</t>
  </si>
  <si>
    <t xml:space="preserve">Kyocera ECOSYS FS-1135MFP</t>
  </si>
  <si>
    <t xml:space="preserve">Canon i-Sensys MF4870dn</t>
  </si>
  <si>
    <t xml:space="preserve">Kyocera FS-2100D</t>
  </si>
  <si>
    <t xml:space="preserve">TK-3100</t>
  </si>
  <si>
    <t xml:space="preserve">Kyocera FS-2100DN</t>
  </si>
  <si>
    <t xml:space="preserve">Kyocera ECOSYS FS-4100DN</t>
  </si>
  <si>
    <t xml:space="preserve">TK-3110</t>
  </si>
  <si>
    <t xml:space="preserve">Canon i-Sensys MF4750</t>
  </si>
  <si>
    <t xml:space="preserve">Panasonic KX-MB2051RU</t>
  </si>
  <si>
    <t xml:space="preserve">Kyocera KM-2035</t>
  </si>
  <si>
    <t xml:space="preserve">Kyocera FS-9530DN</t>
  </si>
  <si>
    <t xml:space="preserve">TK-710</t>
  </si>
  <si>
    <t xml:space="preserve">Samsung SCX-3400</t>
  </si>
  <si>
    <t xml:space="preserve">MLT-D101S</t>
  </si>
  <si>
    <t xml:space="preserve">Panasonic KX-MB763</t>
  </si>
  <si>
    <t xml:space="preserve">KX-FAT92A</t>
  </si>
  <si>
    <t xml:space="preserve">HP LaserJet Pro M426m</t>
  </si>
  <si>
    <t xml:space="preserve">HP LaserJet M506</t>
  </si>
  <si>
    <t xml:space="preserve">HP LaserJet Pro M402dn</t>
  </si>
  <si>
    <t xml:space="preserve">HP LaserJet M402dne</t>
  </si>
  <si>
    <t xml:space="preserve">HP LaserJet Pro M402m</t>
  </si>
  <si>
    <t xml:space="preserve">HP LaserJet Pro M404dn</t>
  </si>
  <si>
    <t xml:space="preserve">CF259A</t>
  </si>
  <si>
    <t xml:space="preserve">HP LaserJet Pro M404dw</t>
  </si>
  <si>
    <t xml:space="preserve">HP LaserJet Enterprise M507dn</t>
  </si>
  <si>
    <t xml:space="preserve">HP LaserJet Pro 400 M401a</t>
  </si>
  <si>
    <t xml:space="preserve">HP LaserJet Pro 400 M401dne</t>
  </si>
  <si>
    <t xml:space="preserve">Xerox Phaser 4500</t>
  </si>
  <si>
    <t xml:space="preserve">108R00645</t>
  </si>
  <si>
    <t xml:space="preserve">Panasonic DP-MB545RU</t>
  </si>
  <si>
    <t xml:space="preserve">DQ-TCD025A7</t>
  </si>
  <si>
    <t xml:space="preserve">Kyocera FS C5150DN</t>
  </si>
  <si>
    <t xml:space="preserve">TK-580K</t>
  </si>
  <si>
    <t xml:space="preserve">Kyocera FS-1370DN</t>
  </si>
  <si>
    <t xml:space="preserve">Kyocera KM-3040</t>
  </si>
  <si>
    <t xml:space="preserve">TK-675</t>
  </si>
  <si>
    <t xml:space="preserve">Canon i-Sensys MF6140dn</t>
  </si>
  <si>
    <t xml:space="preserve">Canon iR ADVANCE 4235i</t>
  </si>
  <si>
    <t xml:space="preserve">C-EXV39</t>
  </si>
  <si>
    <t xml:space="preserve">Kyocera TASKalfa 1800</t>
  </si>
  <si>
    <t xml:space="preserve">Canon imageRUNNER 2202</t>
  </si>
  <si>
    <t xml:space="preserve">C-EXV42</t>
  </si>
  <si>
    <t xml:space="preserve">Kyocera FS-1028MFP</t>
  </si>
  <si>
    <t xml:space="preserve">TK-130</t>
  </si>
  <si>
    <t xml:space="preserve">Kyocera FS-1128MFP</t>
  </si>
  <si>
    <t xml:space="preserve">Canon iR ADVANCE C3330i</t>
  </si>
  <si>
    <t xml:space="preserve">C-EXV49 BK</t>
  </si>
  <si>
    <t xml:space="preserve">Canon iR ADVANCE C4245</t>
  </si>
  <si>
    <t xml:space="preserve">Canon iR1133</t>
  </si>
  <si>
    <t xml:space="preserve">C-EXV40</t>
  </si>
  <si>
    <t xml:space="preserve">Canon imageRUNNER 1133iF</t>
  </si>
  <si>
    <t xml:space="preserve">Kyocera TASKalfa 300i</t>
  </si>
  <si>
    <t xml:space="preserve">TK-685</t>
  </si>
  <si>
    <t xml:space="preserve">Datamax E-4205A</t>
  </si>
  <si>
    <t xml:space="preserve">Datamax</t>
  </si>
  <si>
    <t xml:space="preserve">Kyocera TASKalfa 4012i</t>
  </si>
  <si>
    <t xml:space="preserve">TK-7225</t>
  </si>
  <si>
    <t xml:space="preserve">Kyocera ECOSYS M3145dn</t>
  </si>
  <si>
    <t xml:space="preserve">TK-3160</t>
  </si>
  <si>
    <t xml:space="preserve">Kyocera ECOSYS M3645dn</t>
  </si>
  <si>
    <t xml:space="preserve">Kyocera ECOSYS M2235dn</t>
  </si>
  <si>
    <t xml:space="preserve">Kyocera ECOSYS M2735dn</t>
  </si>
  <si>
    <t xml:space="preserve">Kyocera ECOSYS P6235cdn</t>
  </si>
  <si>
    <t xml:space="preserve">TK-5280K</t>
  </si>
  <si>
    <t xml:space="preserve">Xerox Phaser 5500dn</t>
  </si>
  <si>
    <t xml:space="preserve">Kyocera TASKalfa 3253ci</t>
  </si>
  <si>
    <t xml:space="preserve">TK-8335K</t>
  </si>
  <si>
    <t xml:space="preserve">TK-8335C</t>
  </si>
  <si>
    <t xml:space="preserve">TK-8335M</t>
  </si>
  <si>
    <t xml:space="preserve">TK-8335Y</t>
  </si>
  <si>
    <t xml:space="preserve">Kyocera TASKalfa 5003i</t>
  </si>
  <si>
    <t xml:space="preserve">TK-6345</t>
  </si>
  <si>
    <t xml:space="preserve">Canon imageRUNNER C1335IF</t>
  </si>
  <si>
    <t xml:space="preserve">C-EXV47</t>
  </si>
  <si>
    <t xml:space="preserve">HP OfficeJet J5520</t>
  </si>
  <si>
    <t xml:space="preserve">Canon i-Sensys Canon MF226dn</t>
  </si>
  <si>
    <t xml:space="preserve">C-737</t>
  </si>
  <si>
    <t xml:space="preserve">Kyocera TASKalfa 4054ci</t>
  </si>
  <si>
    <t xml:space="preserve">TK-8365K</t>
  </si>
  <si>
    <t xml:space="preserve">TK-8365C</t>
  </si>
  <si>
    <t xml:space="preserve">TK-8365M</t>
  </si>
  <si>
    <t xml:space="preserve">TK-8365Y</t>
  </si>
  <si>
    <t xml:space="preserve">Canon i-Sensys MF211</t>
  </si>
  <si>
    <t xml:space="preserve">Pantum PT-D160N</t>
  </si>
  <si>
    <t xml:space="preserve">Epson Фабрика печати L110</t>
  </si>
  <si>
    <t xml:space="preserve">T6641</t>
  </si>
  <si>
    <t xml:space="preserve">Epson Фабрика печати L550</t>
  </si>
  <si>
    <t xml:space="preserve">Ricoh Aficio SP 3400SF</t>
  </si>
  <si>
    <t xml:space="preserve">Ricoh Aficio SP3410SF</t>
  </si>
  <si>
    <t xml:space="preserve">Ricoh Aficio SP C320DN</t>
  </si>
  <si>
    <t xml:space="preserve">Epson WorkForce Pro WF-7610</t>
  </si>
  <si>
    <t xml:space="preserve">T2701</t>
  </si>
  <si>
    <t xml:space="preserve">HP DeskJet 1050A</t>
  </si>
  <si>
    <t xml:space="preserve">CH563HE</t>
  </si>
  <si>
    <t xml:space="preserve">Epson WorkForce Pro WF-5620DWF</t>
  </si>
  <si>
    <t xml:space="preserve">T7891</t>
  </si>
  <si>
    <t xml:space="preserve">HP LaserJet 3330</t>
  </si>
  <si>
    <t xml:space="preserve">Canon MF6540PL</t>
  </si>
  <si>
    <t xml:space="preserve">Canon MF6580PL</t>
  </si>
  <si>
    <t xml:space="preserve">Sewoo SLK-TL100</t>
  </si>
  <si>
    <t xml:space="preserve">Sewoo</t>
  </si>
  <si>
    <t xml:space="preserve">TSC термо TTP-245C</t>
  </si>
  <si>
    <t xml:space="preserve">Ricoh SP3610SF</t>
  </si>
  <si>
    <t xml:space="preserve">TSC TE200</t>
  </si>
  <si>
    <t xml:space="preserve">HP DeskJet Ink Advantage 6475</t>
  </si>
  <si>
    <t xml:space="preserve">F6V25AE</t>
  </si>
  <si>
    <t xml:space="preserve">HP OfficeJet Pro 6230</t>
  </si>
  <si>
    <t xml:space="preserve">HP OfficeJet 252</t>
  </si>
  <si>
    <t xml:space="preserve">F6V17AE</t>
  </si>
  <si>
    <t xml:space="preserve">HP OfficeJet 202 Mobile Printer</t>
  </si>
  <si>
    <t xml:space="preserve">HP Color LaserJet Pro MFP 4303dw</t>
  </si>
  <si>
    <t xml:space="preserve">W2300X</t>
  </si>
  <si>
    <t xml:space="preserve">Canon i-Sensys MF623Cn</t>
  </si>
  <si>
    <t xml:space="preserve">Canon i-Sensys MF724Cdw</t>
  </si>
  <si>
    <t xml:space="preserve">Xerox Phaser 6121 MFP</t>
  </si>
  <si>
    <t xml:space="preserve">106R01476</t>
  </si>
  <si>
    <t xml:space="preserve">Epson L 1300</t>
  </si>
  <si>
    <t xml:space="preserve">T00V14A</t>
  </si>
  <si>
    <t xml:space="preserve">Canon PC-860</t>
  </si>
  <si>
    <t xml:space="preserve">E-16</t>
  </si>
  <si>
    <t xml:space="preserve">Canon i-Sensys MF419x</t>
  </si>
  <si>
    <t xml:space="preserve">Canon i-Sensys MF411dw</t>
  </si>
  <si>
    <t xml:space="preserve">Canon i-Sensys MF4100</t>
  </si>
  <si>
    <t xml:space="preserve">Epson WorkForce Pro WF-M5690DWF</t>
  </si>
  <si>
    <t xml:space="preserve">C13T865140</t>
  </si>
  <si>
    <t xml:space="preserve">Ricoh Aficio MP C2800</t>
  </si>
  <si>
    <t xml:space="preserve">Kyocera FS 4300DN</t>
  </si>
  <si>
    <t xml:space="preserve">TK-3130</t>
  </si>
  <si>
    <t xml:space="preserve">Kyocera ECOSYS M6530cdn</t>
  </si>
  <si>
    <t xml:space="preserve">Kyocera FS C8520 MFP</t>
  </si>
  <si>
    <t xml:space="preserve">TK-895K</t>
  </si>
  <si>
    <t xml:space="preserve">Kyocera FS-4200DN</t>
  </si>
  <si>
    <t xml:space="preserve">Kyocera ECOSYS P4040dn</t>
  </si>
  <si>
    <t xml:space="preserve">TK-7300</t>
  </si>
  <si>
    <t xml:space="preserve">Kyocera ECOSYS P6130cdn</t>
  </si>
  <si>
    <t xml:space="preserve">Kyocera ECOSYS M6035cidn</t>
  </si>
  <si>
    <t xml:space="preserve">TK-5150K</t>
  </si>
  <si>
    <t xml:space="preserve">Ricoh Aficio MP 2851</t>
  </si>
  <si>
    <t xml:space="preserve">Kyocera ECOSYS P3060dn</t>
  </si>
  <si>
    <t xml:space="preserve">TK-3190</t>
  </si>
  <si>
    <t xml:space="preserve">Canon LaserBase MF8180C</t>
  </si>
  <si>
    <t xml:space="preserve">EP-87</t>
  </si>
  <si>
    <t xml:space="preserve">Kyocera ECOSYS M2635dn</t>
  </si>
  <si>
    <t xml:space="preserve">Kyocera ECOSYS P5026cdn</t>
  </si>
  <si>
    <t xml:space="preserve">Kyocera ECOSYS P5026cdw</t>
  </si>
  <si>
    <t xml:space="preserve">Kyocera ECOSYS M5521cdw</t>
  </si>
  <si>
    <t xml:space="preserve">TK-5230K</t>
  </si>
  <si>
    <t xml:space="preserve">Epson L132</t>
  </si>
  <si>
    <t xml:space="preserve">Kyocera ECOSYS M4132idn</t>
  </si>
  <si>
    <t xml:space="preserve">Kyocera ECOSYS M4125idn</t>
  </si>
  <si>
    <t xml:space="preserve">HP LaserJet Enterprise 500 M525f</t>
  </si>
  <si>
    <t xml:space="preserve">HP LaserJet Pro MFP M28w</t>
  </si>
  <si>
    <t xml:space="preserve">CF244A</t>
  </si>
  <si>
    <t xml:space="preserve">HP Color LaserJet Pro M277dw</t>
  </si>
  <si>
    <t xml:space="preserve">HP Color LaserJet Pro MFP M477fdn</t>
  </si>
  <si>
    <t xml:space="preserve">CF410A</t>
  </si>
  <si>
    <t xml:space="preserve">HP Color LaserJet M377dw</t>
  </si>
  <si>
    <t xml:space="preserve">HP Color LaserJet Pro M274n</t>
  </si>
  <si>
    <t xml:space="preserve">HP Color LaserJet Pro M283fdn</t>
  </si>
  <si>
    <t xml:space="preserve">CF540A</t>
  </si>
  <si>
    <t xml:space="preserve">HP Color LaserJet Pro MFP M281fdn</t>
  </si>
  <si>
    <t xml:space="preserve">HP LaserJet Enterprise P3015</t>
  </si>
  <si>
    <t xml:space="preserve">CE255A</t>
  </si>
  <si>
    <t xml:space="preserve">HP LaserJet Enterprise P3015dn</t>
  </si>
  <si>
    <t xml:space="preserve">HP Color LaserJet Pro MFP M283fdn</t>
  </si>
  <si>
    <t xml:space="preserve">HP LaserJet Enterprise P3010</t>
  </si>
  <si>
    <t xml:space="preserve">HP LaserJet P3015</t>
  </si>
  <si>
    <t xml:space="preserve">HP LaserJet Enterprise P3015d</t>
  </si>
  <si>
    <t xml:space="preserve">HP LaserJet P1006</t>
  </si>
  <si>
    <t xml:space="preserve">HP LaserJet Pro M227sdn</t>
  </si>
  <si>
    <t xml:space="preserve">HP LaserJet Pro M201n</t>
  </si>
  <si>
    <t xml:space="preserve">HP LaserJet Pro M104a</t>
  </si>
  <si>
    <t xml:space="preserve">CF218A</t>
  </si>
  <si>
    <t xml:space="preserve">HP Color LaserJet Pro M452dn</t>
  </si>
  <si>
    <t xml:space="preserve">HP LaserJet Pro M203dn</t>
  </si>
  <si>
    <t xml:space="preserve">HP LaserJet P1505n</t>
  </si>
  <si>
    <t xml:space="preserve">HP LaserJet Ultra M206DN</t>
  </si>
  <si>
    <t xml:space="preserve">CF230X</t>
  </si>
  <si>
    <t xml:space="preserve">HP Color LaserJet Pro M452nw</t>
  </si>
  <si>
    <t xml:space="preserve">HP LaserJet Pro M104w</t>
  </si>
  <si>
    <t xml:space="preserve">HP Color LaserJet MFP M181fw</t>
  </si>
  <si>
    <t xml:space="preserve">CF530A</t>
  </si>
  <si>
    <t xml:space="preserve">HP LaserJet Pro M227fdw</t>
  </si>
  <si>
    <t xml:space="preserve">HP LaserJet Pro 400 M401d</t>
  </si>
  <si>
    <t xml:space="preserve">HP LaserJet Pro P1566</t>
  </si>
  <si>
    <t xml:space="preserve">HP Color LaserJet Pro M255dw</t>
  </si>
  <si>
    <t xml:space="preserve">W2210A</t>
  </si>
  <si>
    <t xml:space="preserve">HP Color LaserJet Pro 4203</t>
  </si>
  <si>
    <t xml:space="preserve">HP LaserJet Pro MFP M132nw</t>
  </si>
  <si>
    <t xml:space="preserve">HP LaserJet Enterprise 500 M525c</t>
  </si>
  <si>
    <t xml:space="preserve">HP LaserJet Pro P1102s</t>
  </si>
  <si>
    <t xml:space="preserve">HP LaserJet Pro MFP M132fw</t>
  </si>
  <si>
    <t xml:space="preserve">Kyocera ECOSYS M8130cidn</t>
  </si>
  <si>
    <t xml:space="preserve">TK-8115K</t>
  </si>
  <si>
    <t xml:space="preserve">Kyocera ECOSYS M8124cidn</t>
  </si>
  <si>
    <t xml:space="preserve">Kyocera TASKalfa 2552ci</t>
  </si>
  <si>
    <t xml:space="preserve">TK-8345K</t>
  </si>
  <si>
    <t xml:space="preserve">TK-8345C</t>
  </si>
  <si>
    <t xml:space="preserve">TK-8345M</t>
  </si>
  <si>
    <t xml:space="preserve">TK-8345Y</t>
  </si>
  <si>
    <t xml:space="preserve">Kyocera TASKalfa 3252ci</t>
  </si>
  <si>
    <t xml:space="preserve">Ricoh Aficio MP 171LN</t>
  </si>
  <si>
    <t xml:space="preserve">Epson L805</t>
  </si>
  <si>
    <t xml:space="preserve">C13T67314A</t>
  </si>
  <si>
    <t xml:space="preserve">Canon i-Sensys MF4690PL</t>
  </si>
  <si>
    <t xml:space="preserve">Canon iR ADVANCE C5540</t>
  </si>
  <si>
    <t xml:space="preserve">C-EXV51 Bk</t>
  </si>
  <si>
    <t xml:space="preserve">Canon i-Sensys MF249dw</t>
  </si>
  <si>
    <t xml:space="preserve">Canon imageRUNNER C3320i</t>
  </si>
  <si>
    <t xml:space="preserve">Konica Minolta bizhub 163</t>
  </si>
  <si>
    <t xml:space="preserve">TN-217</t>
  </si>
  <si>
    <t xml:space="preserve">Epson L1455</t>
  </si>
  <si>
    <t xml:space="preserve">T6710</t>
  </si>
  <si>
    <t xml:space="preserve">Kyocera FS-6970DN</t>
  </si>
  <si>
    <t xml:space="preserve">TK-450</t>
  </si>
  <si>
    <t xml:space="preserve">Kyocera FS-3920DN</t>
  </si>
  <si>
    <t xml:space="preserve">Kyocera FS-4020DN</t>
  </si>
  <si>
    <t xml:space="preserve">TK-360</t>
  </si>
  <si>
    <t xml:space="preserve">Kyocera ECOSYS FS-920</t>
  </si>
  <si>
    <t xml:space="preserve">TK-110</t>
  </si>
  <si>
    <t xml:space="preserve">Kyocera FS-4000DN</t>
  </si>
  <si>
    <t xml:space="preserve">TK-320</t>
  </si>
  <si>
    <t xml:space="preserve">Canon iR ADVANCE 8505P Series</t>
  </si>
  <si>
    <t xml:space="preserve">Samsung MultiXpress SCX-6545N</t>
  </si>
  <si>
    <t xml:space="preserve">SCX-D6555A</t>
  </si>
  <si>
    <t xml:space="preserve">Samsung ML-2160</t>
  </si>
  <si>
    <t xml:space="preserve">Samsung CLX-6260</t>
  </si>
  <si>
    <t xml:space="preserve">CLT-K506L</t>
  </si>
  <si>
    <t xml:space="preserve">Samsung MultiXpress CLX-9251NA</t>
  </si>
  <si>
    <t xml:space="preserve">CLT-K809S</t>
  </si>
  <si>
    <t xml:space="preserve">Samsung MultiXpress SCX-8128NA</t>
  </si>
  <si>
    <t xml:space="preserve">MLT-D709S</t>
  </si>
  <si>
    <t xml:space="preserve">Samsung MultiXpress SCX-8123NA</t>
  </si>
  <si>
    <t xml:space="preserve">Samsung CLP-415</t>
  </si>
  <si>
    <t xml:space="preserve">CLT-K504S</t>
  </si>
  <si>
    <t xml:space="preserve">Samsung CLX-4195FW</t>
  </si>
  <si>
    <t xml:space="preserve">Samsung Xpress M2820ND</t>
  </si>
  <si>
    <t xml:space="preserve">Samsung Xpress SL-M2870FW</t>
  </si>
  <si>
    <t xml:space="preserve">Samsung SL-M4070FR</t>
  </si>
  <si>
    <t xml:space="preserve">Canon imageRUNNER 2204N</t>
  </si>
  <si>
    <t xml:space="preserve">HP DeskJet Ink Advantage 3635</t>
  </si>
  <si>
    <t xml:space="preserve">HP DeskJet 3920</t>
  </si>
  <si>
    <t xml:space="preserve">C9351AE</t>
  </si>
  <si>
    <t xml:space="preserve">Xerox WorkCentre 3025</t>
  </si>
  <si>
    <t xml:space="preserve">106R02773</t>
  </si>
  <si>
    <t xml:space="preserve">Epson L566</t>
  </si>
  <si>
    <t xml:space="preserve">Pantum M6700DW</t>
  </si>
  <si>
    <t xml:space="preserve">Pantum P2518</t>
  </si>
  <si>
    <t xml:space="preserve">Samsung Xpress M2020</t>
  </si>
  <si>
    <t xml:space="preserve">Xerox Phaser 3052</t>
  </si>
  <si>
    <t xml:space="preserve">Pantum P2000W</t>
  </si>
  <si>
    <t xml:space="preserve">PC-110</t>
  </si>
  <si>
    <t xml:space="preserve">Canon PIXMA iP1200</t>
  </si>
  <si>
    <t xml:space="preserve">PG-40</t>
  </si>
  <si>
    <t xml:space="preserve">Canon PIXMA G1411</t>
  </si>
  <si>
    <t xml:space="preserve">HP DeskJet Ink Advantage Ultra 4729</t>
  </si>
  <si>
    <t xml:space="preserve">F6T40AE</t>
  </si>
  <si>
    <t xml:space="preserve">Ricoh SP 150w</t>
  </si>
  <si>
    <t xml:space="preserve">Samsung SCX-4833FD</t>
  </si>
  <si>
    <t xml:space="preserve">MLT-D205E</t>
  </si>
  <si>
    <t xml:space="preserve">Datamax-O'Neil E-4305A Mark III</t>
  </si>
  <si>
    <t xml:space="preserve">Avision AM 76x0i</t>
  </si>
  <si>
    <t xml:space="preserve">Samsung ML-1865</t>
  </si>
  <si>
    <t xml:space="preserve">MLT-D104S</t>
  </si>
  <si>
    <t xml:space="preserve">HP LaserJet 135w</t>
  </si>
  <si>
    <t xml:space="preserve">Canon imageRUNNER 500i</t>
  </si>
  <si>
    <t xml:space="preserve">C-EXV43</t>
  </si>
  <si>
    <t xml:space="preserve">Xerox CopyCentre 123</t>
  </si>
  <si>
    <t xml:space="preserve">Часть продавцов указывает код 006R01184 — сверить</t>
  </si>
  <si>
    <t xml:space="preserve">108R01417</t>
  </si>
  <si>
    <t xml:space="preserve">108R01418</t>
  </si>
  <si>
    <t xml:space="preserve">108R01419</t>
  </si>
  <si>
    <t xml:space="preserve">TK-8115C</t>
  </si>
  <si>
    <t xml:space="preserve">TK-8115M</t>
  </si>
  <si>
    <t xml:space="preserve">TK-8115Y</t>
  </si>
  <si>
    <t xml:space="preserve">Бренд</t>
  </si>
  <si>
    <t xml:space="preserve">CS-WC5325</t>
  </si>
  <si>
    <t xml:space="preserve">Cactus</t>
  </si>
  <si>
    <t xml:space="preserve">CS-WC5325X</t>
  </si>
  <si>
    <t xml:space="preserve">CS-FU-XER-WC5330</t>
  </si>
  <si>
    <t xml:space="preserve">CS-WC7525BK</t>
  </si>
  <si>
    <t xml:space="preserve">CS-WC7525C</t>
  </si>
  <si>
    <t xml:space="preserve">CS-WC7525M</t>
  </si>
  <si>
    <t xml:space="preserve">CS-WC7525Y</t>
  </si>
  <si>
    <t xml:space="preserve">CS-DU7525</t>
  </si>
  <si>
    <t xml:space="preserve">CS-DU7525RU</t>
  </si>
  <si>
    <t xml:space="preserve">CS-WB7425</t>
  </si>
  <si>
    <t xml:space="preserve">CS-FU-XER-WC7545</t>
  </si>
  <si>
    <t xml:space="preserve">CS-TL-5120X</t>
  </si>
  <si>
    <t xml:space="preserve">Ресурс по оригиналу — уточнить</t>
  </si>
  <si>
    <t xml:space="preserve">GG-TL5120X</t>
  </si>
  <si>
    <t xml:space="preserve">G&amp;G</t>
  </si>
  <si>
    <t xml:space="preserve">CS-DL-5120</t>
  </si>
  <si>
    <t xml:space="preserve">GG-DL5120</t>
  </si>
  <si>
    <t xml:space="preserve">HB-DL-5120</t>
  </si>
  <si>
    <t xml:space="preserve">HiBlack</t>
  </si>
  <si>
    <t xml:space="preserve">NV-DL-5120</t>
  </si>
  <si>
    <t xml:space="preserve">NV-Print</t>
  </si>
  <si>
    <t xml:space="preserve">CS-TN512K</t>
  </si>
  <si>
    <t xml:space="preserve">CS-TN512C</t>
  </si>
  <si>
    <t xml:space="preserve">CS-TN512M</t>
  </si>
  <si>
    <t xml:space="preserve">CS-TN512Y</t>
  </si>
  <si>
    <t xml:space="preserve">AAV70RD</t>
  </si>
  <si>
    <t xml:space="preserve">GG-56F5U00</t>
  </si>
  <si>
    <t xml:space="preserve">NV-56F5U0ENC</t>
  </si>
  <si>
    <t xml:space="preserve">SFR-56F0Z00</t>
  </si>
  <si>
    <t xml:space="preserve">SuperFine</t>
  </si>
  <si>
    <t xml:space="preserve">CSP-CF259X</t>
  </si>
  <si>
    <t xml:space="preserve">HB-CF259X</t>
  </si>
  <si>
    <t xml:space="preserve">GG-CF259X</t>
  </si>
  <si>
    <t xml:space="preserve">CS-CF219A</t>
  </si>
  <si>
    <t xml:space="preserve">HB-CF219A</t>
  </si>
  <si>
    <t xml:space="preserve">CS-FU-HP-M428</t>
  </si>
  <si>
    <t xml:space="preserve">CS-TK6705</t>
  </si>
  <si>
    <t xml:space="preserve">Аналог Cactus не подобран — заполнить</t>
  </si>
  <si>
    <t xml:space="preserve">HB-113R00668</t>
  </si>
  <si>
    <t xml:space="preserve">CS-CF400A</t>
  </si>
  <si>
    <t xml:space="preserve">HB-CF400X</t>
  </si>
  <si>
    <t xml:space="preserve">CS-CF401A</t>
  </si>
  <si>
    <t xml:space="preserve">CS-CF403A</t>
  </si>
  <si>
    <t xml:space="preserve">CS-CF402A</t>
  </si>
  <si>
    <t xml:space="preserve">CS-FU-HP-M252</t>
  </si>
  <si>
    <t xml:space="preserve">CS-C703</t>
  </si>
  <si>
    <t xml:space="preserve">MT-C703</t>
  </si>
  <si>
    <t xml:space="preserve">MyToner</t>
  </si>
  <si>
    <t xml:space="preserve">HB-Q5945A</t>
  </si>
  <si>
    <t xml:space="preserve">CS-Q2612A</t>
  </si>
  <si>
    <t xml:space="preserve">HB-Q2612A</t>
  </si>
  <si>
    <t xml:space="preserve">NV-Q2612A</t>
  </si>
  <si>
    <t xml:space="preserve">GG-Q2612A</t>
  </si>
  <si>
    <t xml:space="preserve">CS-CB540A</t>
  </si>
  <si>
    <t xml:space="preserve">HB-CB540A</t>
  </si>
  <si>
    <t xml:space="preserve">CS-CB541A</t>
  </si>
  <si>
    <t xml:space="preserve">CS-CB543A</t>
  </si>
  <si>
    <t xml:space="preserve">CS-CB542A</t>
  </si>
  <si>
    <t xml:space="preserve">CS-FU-HP-CP1215</t>
  </si>
  <si>
    <t xml:space="preserve">CS-CE285A</t>
  </si>
  <si>
    <t xml:space="preserve">HB-CE285A</t>
  </si>
  <si>
    <t xml:space="preserve">NV-CE285A</t>
  </si>
  <si>
    <t xml:space="preserve">GG-CE285A</t>
  </si>
  <si>
    <t xml:space="preserve">CS-FU-HP-P1102</t>
  </si>
  <si>
    <t xml:space="preserve">CS-ALC8030BK</t>
  </si>
  <si>
    <t xml:space="preserve">CS-ALC8030C</t>
  </si>
  <si>
    <t xml:space="preserve">CS-ALC8030M</t>
  </si>
  <si>
    <t xml:space="preserve">CS-ALC8030Y</t>
  </si>
  <si>
    <t xml:space="preserve">CET471082</t>
  </si>
  <si>
    <t xml:space="preserve">CET</t>
  </si>
  <si>
    <t xml:space="preserve">CS-WBB8145</t>
  </si>
  <si>
    <t xml:space="preserve">EMRXAL8030010</t>
  </si>
  <si>
    <t xml:space="preserve">Булат</t>
  </si>
  <si>
    <t xml:space="preserve">CS-CC364X</t>
  </si>
  <si>
    <t xml:space="preserve">HB-CC364X</t>
  </si>
  <si>
    <t xml:space="preserve">GG-CC364A</t>
  </si>
  <si>
    <t xml:space="preserve">CS-D115L</t>
  </si>
  <si>
    <t xml:space="preserve">HB-MLT-D115L</t>
  </si>
  <si>
    <t xml:space="preserve">GG-D115L</t>
  </si>
  <si>
    <t xml:space="preserve">CET421034</t>
  </si>
  <si>
    <t xml:space="preserve">CS-CF226A</t>
  </si>
  <si>
    <t xml:space="preserve">CS-CF226X</t>
  </si>
  <si>
    <t xml:space="preserve">HB-CF226X</t>
  </si>
  <si>
    <t xml:space="preserve">GG-CF226X</t>
  </si>
  <si>
    <t xml:space="preserve">CS-FU-HP-M426</t>
  </si>
  <si>
    <t xml:space="preserve">CS-CF281X</t>
  </si>
  <si>
    <t xml:space="preserve">HB-CF281X</t>
  </si>
  <si>
    <t xml:space="preserve">GG-CF281A</t>
  </si>
  <si>
    <t xml:space="preserve">CS-WC5016</t>
  </si>
  <si>
    <t xml:space="preserve">CS-Q7553A</t>
  </si>
  <si>
    <t xml:space="preserve">HB-Q7553A</t>
  </si>
  <si>
    <t xml:space="preserve">NV-Q7553A</t>
  </si>
  <si>
    <t xml:space="preserve">CS-D3050</t>
  </si>
  <si>
    <t xml:space="preserve">HB-SCX-D3050</t>
  </si>
  <si>
    <t xml:space="preserve">CS-C4182X</t>
  </si>
  <si>
    <t xml:space="preserve">CS-Q7551A</t>
  </si>
  <si>
    <t xml:space="preserve">HB-Q7551X</t>
  </si>
  <si>
    <t xml:space="preserve">CS-C9730A</t>
  </si>
  <si>
    <t xml:space="preserve">CS-C9731A</t>
  </si>
  <si>
    <t xml:space="preserve">CS-C9733A</t>
  </si>
  <si>
    <t xml:space="preserve">CS-C9732A</t>
  </si>
  <si>
    <t xml:space="preserve">CS-Q5942A</t>
  </si>
  <si>
    <t xml:space="preserve">HB-Q5942A</t>
  </si>
  <si>
    <t xml:space="preserve">CS-CC530A</t>
  </si>
  <si>
    <t xml:space="preserve">CS-CC531A</t>
  </si>
  <si>
    <t xml:space="preserve">CS-CC533A</t>
  </si>
  <si>
    <t xml:space="preserve">CS-CC532A</t>
  </si>
  <si>
    <t xml:space="preserve">CS-PE120</t>
  </si>
  <si>
    <t xml:space="preserve">CS-WC5225</t>
  </si>
  <si>
    <t xml:space="preserve">CS-DU5225</t>
  </si>
  <si>
    <t xml:space="preserve">CS-TK410</t>
  </si>
  <si>
    <t xml:space="preserve">CS-WC3210</t>
  </si>
  <si>
    <t xml:space="preserve">CS-Q7570A</t>
  </si>
  <si>
    <t xml:space="preserve">NV-Q7570A</t>
  </si>
  <si>
    <t xml:space="preserve">CS-P411</t>
  </si>
  <si>
    <t xml:space="preserve">CS-FAD412A</t>
  </si>
  <si>
    <t xml:space="preserve">CS-C718BK</t>
  </si>
  <si>
    <t xml:space="preserve">CS-C718C</t>
  </si>
  <si>
    <t xml:space="preserve">CS-C718M</t>
  </si>
  <si>
    <t xml:space="preserve">CS-C718Y</t>
  </si>
  <si>
    <t xml:space="preserve">CS-TK7105</t>
  </si>
  <si>
    <t xml:space="preserve">HB-TK-7105</t>
  </si>
  <si>
    <t xml:space="preserve">CS-TK1200</t>
  </si>
  <si>
    <t xml:space="preserve">TK-1200C</t>
  </si>
  <si>
    <t xml:space="preserve">CS-Q5949A</t>
  </si>
  <si>
    <t xml:space="preserve">HB-Q5949A</t>
  </si>
  <si>
    <t xml:space="preserve">NV-Q5949A</t>
  </si>
  <si>
    <t xml:space="preserve">CS-Q6000A</t>
  </si>
  <si>
    <t xml:space="preserve">CS-Q6001A</t>
  </si>
  <si>
    <t xml:space="preserve">CS-Q6003A</t>
  </si>
  <si>
    <t xml:space="preserve">CS-Q6002A</t>
  </si>
  <si>
    <t xml:space="preserve">CS-CB436A</t>
  </si>
  <si>
    <t xml:space="preserve">HB-CB436A</t>
  </si>
  <si>
    <t xml:space="preserve">CS-CE340A</t>
  </si>
  <si>
    <t xml:space="preserve">GG-CE340A</t>
  </si>
  <si>
    <t xml:space="preserve">CS-CE341A</t>
  </si>
  <si>
    <t xml:space="preserve">CS-CE343A</t>
  </si>
  <si>
    <t xml:space="preserve">CS-CE342A</t>
  </si>
  <si>
    <t xml:space="preserve">ELP-FUS-HP-CC522-679</t>
  </si>
  <si>
    <t xml:space="preserve">CS-WC5019</t>
  </si>
  <si>
    <t xml:space="preserve">CS-D111S</t>
  </si>
  <si>
    <t xml:space="preserve">HB-MLT-D111S</t>
  </si>
  <si>
    <t xml:space="preserve">NV-MLTD111S</t>
  </si>
  <si>
    <t xml:space="preserve">CS-TK475</t>
  </si>
  <si>
    <t xml:space="preserve">CS-TK5270BK</t>
  </si>
  <si>
    <t xml:space="preserve">CS-TK5270C</t>
  </si>
  <si>
    <t xml:space="preserve">CS-TK5270M</t>
  </si>
  <si>
    <t xml:space="preserve">CS-TK5270Y</t>
  </si>
  <si>
    <t xml:space="preserve">CS-D203E</t>
  </si>
  <si>
    <t xml:space="preserve">HB-MLT-D203E</t>
  </si>
  <si>
    <t xml:space="preserve">NV-MLTD203U</t>
  </si>
  <si>
    <t xml:space="preserve">CS-CF280A</t>
  </si>
  <si>
    <t xml:space="preserve">CS-CF280X</t>
  </si>
  <si>
    <t xml:space="preserve">HB-CF280X</t>
  </si>
  <si>
    <t xml:space="preserve">GG-CF280X</t>
  </si>
  <si>
    <t xml:space="preserve">CS-FU-HP-M401</t>
  </si>
  <si>
    <t xml:space="preserve">CS-Q2624A</t>
  </si>
  <si>
    <t xml:space="preserve">CS-TK1120</t>
  </si>
  <si>
    <t xml:space="preserve">GG-TK1120</t>
  </si>
  <si>
    <t xml:space="preserve">HB-TK-1120</t>
  </si>
  <si>
    <t xml:space="preserve">CS-TK5240BK</t>
  </si>
  <si>
    <t xml:space="preserve">CS-TK5240C</t>
  </si>
  <si>
    <t xml:space="preserve">CS-TK5240M</t>
  </si>
  <si>
    <t xml:space="preserve">CS-TK5240Y</t>
  </si>
  <si>
    <t xml:space="preserve">CS-W9004MC</t>
  </si>
  <si>
    <t xml:space="preserve">CS-CF214X</t>
  </si>
  <si>
    <t xml:space="preserve">HB-CF214X</t>
  </si>
  <si>
    <t xml:space="preserve">CS-FU-HP-M725</t>
  </si>
  <si>
    <t xml:space="preserve">CS-TK3400</t>
  </si>
  <si>
    <t xml:space="preserve">HB-TK-3400</t>
  </si>
  <si>
    <t xml:space="preserve">ELP-FUS-HP-RM1-2524</t>
  </si>
  <si>
    <t xml:space="preserve">CS-EXV54K</t>
  </si>
  <si>
    <t xml:space="preserve">CS-EXV54C</t>
  </si>
  <si>
    <t xml:space="preserve">CS-EXV54M</t>
  </si>
  <si>
    <t xml:space="preserve">CS-EXV54Y</t>
  </si>
  <si>
    <t xml:space="preserve">CS-FX10</t>
  </si>
  <si>
    <t xml:space="preserve">HB-FX-10</t>
  </si>
  <si>
    <t xml:space="preserve">CS-PH3100</t>
  </si>
  <si>
    <t xml:space="preserve">CS-C051H</t>
  </si>
  <si>
    <t xml:space="preserve">CS-C055HBK</t>
  </si>
  <si>
    <t xml:space="preserve">CS-C055HC</t>
  </si>
  <si>
    <t xml:space="preserve">CS-C055HM</t>
  </si>
  <si>
    <t xml:space="preserve">CS-C055HY</t>
  </si>
  <si>
    <t xml:space="preserve">CS-C728S</t>
  </si>
  <si>
    <t xml:space="preserve">NV-728</t>
  </si>
  <si>
    <t xml:space="preserve">HB-C728</t>
  </si>
  <si>
    <t xml:space="preserve">CS-B315</t>
  </si>
  <si>
    <t xml:space="preserve">CS-EXV11</t>
  </si>
  <si>
    <t xml:space="preserve">CS-ALB8145</t>
  </si>
  <si>
    <t xml:space="preserve">CS-FU-XER-ALB8145</t>
  </si>
  <si>
    <t xml:space="preserve">CS-PH3610XL</t>
  </si>
  <si>
    <t xml:space="preserve">CS-DR3610</t>
  </si>
  <si>
    <t xml:space="preserve">CS-PH6500BK</t>
  </si>
  <si>
    <t xml:space="preserve">CS-PH6500C</t>
  </si>
  <si>
    <t xml:space="preserve">CS-PH6500M</t>
  </si>
  <si>
    <t xml:space="preserve">CS-PH6500Y</t>
  </si>
  <si>
    <t xml:space="preserve">CS-PH6600BK</t>
  </si>
  <si>
    <t xml:space="preserve">CS-PH6600C</t>
  </si>
  <si>
    <t xml:space="preserve">CS-PH6600М</t>
  </si>
  <si>
    <t xml:space="preserve">CS-PH6600Y</t>
  </si>
  <si>
    <t xml:space="preserve">CS-PH6000BK</t>
  </si>
  <si>
    <t xml:space="preserve">CS-PH6000C</t>
  </si>
  <si>
    <t xml:space="preserve">CS-PH6000M</t>
  </si>
  <si>
    <t xml:space="preserve">CS-PH6000Y</t>
  </si>
  <si>
    <t xml:space="preserve">CS-PH3010X</t>
  </si>
  <si>
    <t xml:space="preserve">CS-WC3325</t>
  </si>
  <si>
    <t xml:space="preserve">NV-106R02312</t>
  </si>
  <si>
    <t xml:space="preserve">CS-PH3635</t>
  </si>
  <si>
    <t xml:space="preserve">CS-PH3320</t>
  </si>
  <si>
    <t xml:space="preserve">CS-PH3250</t>
  </si>
  <si>
    <t xml:space="preserve">CS-WC4265</t>
  </si>
  <si>
    <t xml:space="preserve">CS-PH4622</t>
  </si>
  <si>
    <t xml:space="preserve">CS-WC3550</t>
  </si>
  <si>
    <t xml:space="preserve">CS-PH3300</t>
  </si>
  <si>
    <t xml:space="preserve">CS-PH4620</t>
  </si>
  <si>
    <t xml:space="preserve">CS-WC4260</t>
  </si>
  <si>
    <t xml:space="preserve">CS-WC4250</t>
  </si>
  <si>
    <t xml:space="preserve">CS-WC7132</t>
  </si>
  <si>
    <t xml:space="preserve">CS-WC7132C</t>
  </si>
  <si>
    <t xml:space="preserve">CS-WC7132M</t>
  </si>
  <si>
    <t xml:space="preserve">CS-WC7132Y</t>
  </si>
  <si>
    <t xml:space="preserve">CS-WC123</t>
  </si>
  <si>
    <t xml:space="preserve">CS-WC5222</t>
  </si>
  <si>
    <t xml:space="preserve">CS-WC7120</t>
  </si>
  <si>
    <t xml:space="preserve">CS-WC7120C</t>
  </si>
  <si>
    <t xml:space="preserve">CS-WC7120M</t>
  </si>
  <si>
    <t xml:space="preserve">CS-WC7120Y</t>
  </si>
  <si>
    <t xml:space="preserve">CS-DU7120BK</t>
  </si>
  <si>
    <t xml:space="preserve">CS-PH7100BK</t>
  </si>
  <si>
    <t xml:space="preserve">CS-PH7100C</t>
  </si>
  <si>
    <t xml:space="preserve">CS-PH7100M</t>
  </si>
  <si>
    <t xml:space="preserve">CS-PH7100Y</t>
  </si>
  <si>
    <t xml:space="preserve">CS-PH3260</t>
  </si>
  <si>
    <t xml:space="preserve">CS-DR3260</t>
  </si>
  <si>
    <t xml:space="preserve">CS-PH6022BK</t>
  </si>
  <si>
    <t xml:space="preserve">CS-PH6022C</t>
  </si>
  <si>
    <t xml:space="preserve">CS-PH6022M</t>
  </si>
  <si>
    <t xml:space="preserve">CS-PH6022Y</t>
  </si>
  <si>
    <t xml:space="preserve">CS-PH6510BK</t>
  </si>
  <si>
    <t xml:space="preserve">CS-PH6510C</t>
  </si>
  <si>
    <t xml:space="preserve">CS-PH6510M</t>
  </si>
  <si>
    <t xml:space="preserve">CS-PH6510Y</t>
  </si>
  <si>
    <t xml:space="preserve">CS-DU6510BK</t>
  </si>
  <si>
    <t xml:space="preserve">CS-DU6510C</t>
  </si>
  <si>
    <t xml:space="preserve">CS-DU6510M</t>
  </si>
  <si>
    <t xml:space="preserve">CS-DU6510Y</t>
  </si>
  <si>
    <t xml:space="preserve">CS-WB6510</t>
  </si>
  <si>
    <t xml:space="preserve">CS-PH3330X</t>
  </si>
  <si>
    <t xml:space="preserve">HB-106R03623</t>
  </si>
  <si>
    <t xml:space="preserve">GG-106R03623-MPS</t>
  </si>
  <si>
    <t xml:space="preserve">CS-DR3330</t>
  </si>
  <si>
    <t xml:space="preserve">CS-B7025XL</t>
  </si>
  <si>
    <t xml:space="preserve">HB-106R03396</t>
  </si>
  <si>
    <t xml:space="preserve">CS-DUVLB7035</t>
  </si>
  <si>
    <t xml:space="preserve">CS-FU-XER-VLC7020</t>
  </si>
  <si>
    <t xml:space="preserve">CS-VL7020BK</t>
  </si>
  <si>
    <t xml:space="preserve">CS-VL7020C</t>
  </si>
  <si>
    <t xml:space="preserve">CS-VL7020M</t>
  </si>
  <si>
    <t xml:space="preserve">CS-VL7020Y</t>
  </si>
  <si>
    <t xml:space="preserve">CS-DU7020</t>
  </si>
  <si>
    <t xml:space="preserve">CS-VLB600X</t>
  </si>
  <si>
    <t xml:space="preserve">CS-DUB600</t>
  </si>
  <si>
    <t xml:space="preserve">CS-VLC605K</t>
  </si>
  <si>
    <t xml:space="preserve">CS-VLC605C</t>
  </si>
  <si>
    <t xml:space="preserve">CS-VLC605M</t>
  </si>
  <si>
    <t xml:space="preserve">CS-VLC605Y</t>
  </si>
  <si>
    <t xml:space="preserve">CS-DUVLC600M</t>
  </si>
  <si>
    <t xml:space="preserve">CS-DUVLC600Y</t>
  </si>
  <si>
    <t xml:space="preserve">CS-B205D</t>
  </si>
  <si>
    <t xml:space="preserve">CS-DRB205</t>
  </si>
  <si>
    <t xml:space="preserve">CS-CTL-1100XK</t>
  </si>
  <si>
    <t xml:space="preserve">GG-CTL-1100XK</t>
  </si>
  <si>
    <t xml:space="preserve">NV-CTL-1100XK</t>
  </si>
  <si>
    <t xml:space="preserve">CS-CTL-1100XC</t>
  </si>
  <si>
    <t xml:space="preserve">CS-CTL-1100XM</t>
  </si>
  <si>
    <t xml:space="preserve">CS-CTL-1100XY</t>
  </si>
  <si>
    <t xml:space="preserve">CS-WB-PTM-CP1100</t>
  </si>
  <si>
    <t xml:space="preserve">CS-W9008MC</t>
  </si>
  <si>
    <t xml:space="preserve">CS-CF283A</t>
  </si>
  <si>
    <t xml:space="preserve">GG-CF283A</t>
  </si>
  <si>
    <t xml:space="preserve">HB-CF283A</t>
  </si>
  <si>
    <t xml:space="preserve">CS-PE114</t>
  </si>
  <si>
    <t xml:space="preserve">CS-WC5845</t>
  </si>
  <si>
    <t xml:space="preserve">CS-WC5945</t>
  </si>
  <si>
    <t xml:space="preserve">CS-ALB8045</t>
  </si>
  <si>
    <t xml:space="preserve">CS-B400</t>
  </si>
  <si>
    <t xml:space="preserve">CS-B400X</t>
  </si>
  <si>
    <t xml:space="preserve">HB-101R00554</t>
  </si>
  <si>
    <t xml:space="preserve">CS-DUB400</t>
  </si>
  <si>
    <t xml:space="preserve">CS-VLB7130</t>
  </si>
  <si>
    <t xml:space="preserve">CS-ALC8145BK</t>
  </si>
  <si>
    <t xml:space="preserve">CS-ALC8145C</t>
  </si>
  <si>
    <t xml:space="preserve">CS-ALC8145M</t>
  </si>
  <si>
    <t xml:space="preserve">CS-ALC8145Y</t>
  </si>
  <si>
    <t xml:space="preserve">CS-WC118X</t>
  </si>
  <si>
    <t xml:space="preserve">CS-WC4118</t>
  </si>
  <si>
    <t xml:space="preserve">CS-PH3140X</t>
  </si>
  <si>
    <t xml:space="preserve">CS-WC3315X</t>
  </si>
  <si>
    <t xml:space="preserve">THM348A</t>
  </si>
  <si>
    <t xml:space="preserve">CS-CE505A</t>
  </si>
  <si>
    <t xml:space="preserve">HB-CE505A</t>
  </si>
  <si>
    <t xml:space="preserve">GG-CE505A</t>
  </si>
  <si>
    <t xml:space="preserve">CS-FU-HP-P2055</t>
  </si>
  <si>
    <t xml:space="preserve">CS-P83A</t>
  </si>
  <si>
    <t xml:space="preserve">SA50F0ZA0/50F0Z00</t>
  </si>
  <si>
    <t xml:space="preserve">Sakura</t>
  </si>
  <si>
    <t xml:space="preserve">CS-MPC305EC</t>
  </si>
  <si>
    <t xml:space="preserve">CS-MPC305EM</t>
  </si>
  <si>
    <t xml:space="preserve">CS-S4200</t>
  </si>
  <si>
    <t xml:space="preserve">SCX-4200 Bion</t>
  </si>
  <si>
    <t xml:space="preserve">Bion</t>
  </si>
  <si>
    <t xml:space="preserve">CS-W9190MC</t>
  </si>
  <si>
    <t xml:space="preserve">GG-W9190MC</t>
  </si>
  <si>
    <t xml:space="preserve">HB-W9190MC</t>
  </si>
  <si>
    <t xml:space="preserve">CS-W9191MC</t>
  </si>
  <si>
    <t xml:space="preserve">CS-W9193MC</t>
  </si>
  <si>
    <t xml:space="preserve">CS-W9192MC</t>
  </si>
  <si>
    <t xml:space="preserve">GG-W9044MC</t>
  </si>
  <si>
    <t xml:space="preserve">HB-W9044MC</t>
  </si>
  <si>
    <t xml:space="preserve">HB-CF280A</t>
  </si>
  <si>
    <t xml:space="preserve">CS-FU-HP-M425</t>
  </si>
  <si>
    <t xml:space="preserve">CS-MX235GT</t>
  </si>
  <si>
    <t xml:space="preserve">CS-TN2075</t>
  </si>
  <si>
    <t xml:space="preserve">TN2075-Printmax</t>
  </si>
  <si>
    <t xml:space="preserve">Printmax</t>
  </si>
  <si>
    <t xml:space="preserve">CS-DR2275</t>
  </si>
  <si>
    <t xml:space="preserve">CS-MP2014H</t>
  </si>
  <si>
    <t xml:space="preserve">HB-TN-217</t>
  </si>
  <si>
    <t xml:space="preserve">GG-TN512K</t>
  </si>
  <si>
    <t xml:space="preserve">HB-44917602</t>
  </si>
  <si>
    <t xml:space="preserve">CS-PH7800BK</t>
  </si>
  <si>
    <t xml:space="preserve">CS-PH7800C</t>
  </si>
  <si>
    <t xml:space="preserve">CS-PH7800M</t>
  </si>
  <si>
    <t xml:space="preserve">CS-PH7800Y</t>
  </si>
  <si>
    <t xml:space="preserve">CS-DU7500RU</t>
  </si>
  <si>
    <t xml:space="preserve">CS-CF287X</t>
  </si>
  <si>
    <t xml:space="preserve">CS-S2010</t>
  </si>
  <si>
    <t xml:space="preserve">CS-S4521</t>
  </si>
  <si>
    <t xml:space="preserve">CS-S4100</t>
  </si>
  <si>
    <t xml:space="preserve">CS-CC364A</t>
  </si>
  <si>
    <t xml:space="preserve">LS-209L</t>
  </si>
  <si>
    <t xml:space="preserve">EasyPrint</t>
  </si>
  <si>
    <t xml:space="preserve">CS-CN625AE</t>
  </si>
  <si>
    <t xml:space="preserve">CS-PC-211EV</t>
  </si>
  <si>
    <t xml:space="preserve">CS-EXV14</t>
  </si>
  <si>
    <t xml:space="preserve">CS-PH3117</t>
  </si>
  <si>
    <t xml:space="preserve">CS-TL-420X</t>
  </si>
  <si>
    <t xml:space="preserve">CS-W9005MC</t>
  </si>
  <si>
    <t xml:space="preserve">GG-W9005MC</t>
  </si>
  <si>
    <t xml:space="preserve">CS-C6470A</t>
  </si>
  <si>
    <t xml:space="preserve">CS-Q2613A</t>
  </si>
  <si>
    <t xml:space="preserve">CS-CF256X</t>
  </si>
  <si>
    <t xml:space="preserve">HB-CF256X</t>
  </si>
  <si>
    <t xml:space="preserve">CS-W9100MC</t>
  </si>
  <si>
    <t xml:space="preserve">HB-W9100MC</t>
  </si>
  <si>
    <t xml:space="preserve">CS-W9025MC</t>
  </si>
  <si>
    <t xml:space="preserve">CS-W1335X</t>
  </si>
  <si>
    <t xml:space="preserve">CS-W1336X</t>
  </si>
  <si>
    <t xml:space="preserve">CS-W9210MC</t>
  </si>
  <si>
    <t xml:space="preserve">GG-W9210MC</t>
  </si>
  <si>
    <t xml:space="preserve">CS-W1106</t>
  </si>
  <si>
    <t xml:space="preserve">GG-W1106A</t>
  </si>
  <si>
    <t xml:space="preserve">CS-CE255X</t>
  </si>
  <si>
    <t xml:space="preserve">HB-CE255X</t>
  </si>
  <si>
    <t xml:space="preserve">CS-CF380X</t>
  </si>
  <si>
    <t xml:space="preserve">CS-CE410A</t>
  </si>
  <si>
    <t xml:space="preserve">CS-CZ192A</t>
  </si>
  <si>
    <t xml:space="preserve">HB-CZ192A</t>
  </si>
  <si>
    <t xml:space="preserve">CS-W9014MC</t>
  </si>
  <si>
    <t xml:space="preserve">CS-CE278A</t>
  </si>
  <si>
    <t xml:space="preserve">CS-C7115A</t>
  </si>
  <si>
    <t xml:space="preserve">CS-Q7516A</t>
  </si>
  <si>
    <t xml:space="preserve">HB-Q7516A</t>
  </si>
  <si>
    <t xml:space="preserve">CS-C4129X</t>
  </si>
  <si>
    <t xml:space="preserve">CSP-W2030A</t>
  </si>
  <si>
    <t xml:space="preserve">CSP-W2031A</t>
  </si>
  <si>
    <t xml:space="preserve">CSP-W2033A</t>
  </si>
  <si>
    <t xml:space="preserve">CSP-W2032A</t>
  </si>
  <si>
    <t xml:space="preserve">GG-W1103A</t>
  </si>
  <si>
    <t xml:space="preserve">GG-CE270A</t>
  </si>
  <si>
    <t xml:space="preserve">CS-CE400A</t>
  </si>
  <si>
    <t xml:space="preserve">CS-Q2670A</t>
  </si>
  <si>
    <t xml:space="preserve">CS-CE390X</t>
  </si>
  <si>
    <t xml:space="preserve">CS-CE390A</t>
  </si>
  <si>
    <t xml:space="preserve">CS-CF310A</t>
  </si>
  <si>
    <t xml:space="preserve">CS-CF281A</t>
  </si>
  <si>
    <t xml:space="preserve">CS-CF360A</t>
  </si>
  <si>
    <t xml:space="preserve">CS-CF237A</t>
  </si>
  <si>
    <t xml:space="preserve">CS-CF237X</t>
  </si>
  <si>
    <t xml:space="preserve">HB-CF237X</t>
  </si>
  <si>
    <t xml:space="preserve">CS-W1470A</t>
  </si>
  <si>
    <t xml:space="preserve">CS-CE505X</t>
  </si>
  <si>
    <t xml:space="preserve">CS-W9050MC</t>
  </si>
  <si>
    <t xml:space="preserve">GG-W9050MC</t>
  </si>
  <si>
    <t xml:space="preserve">CS-CF210A</t>
  </si>
  <si>
    <t xml:space="preserve">CS-CE310A</t>
  </si>
  <si>
    <t xml:space="preserve">CS-CE320A</t>
  </si>
  <si>
    <t xml:space="preserve">CS-Q2610A</t>
  </si>
  <si>
    <t xml:space="preserve">CS-CF350A</t>
  </si>
  <si>
    <t xml:space="preserve">CS-W1510X</t>
  </si>
  <si>
    <t xml:space="preserve">CS-CE250A</t>
  </si>
  <si>
    <t xml:space="preserve">CS-CE740A</t>
  </si>
  <si>
    <t xml:space="preserve">CS-CF300A</t>
  </si>
  <si>
    <t xml:space="preserve">CS-Q1338A</t>
  </si>
  <si>
    <t xml:space="preserve">GG-991XBK</t>
  </si>
  <si>
    <t xml:space="preserve">CS-CB390A</t>
  </si>
  <si>
    <t xml:space="preserve">CS-Q6511X</t>
  </si>
  <si>
    <t xml:space="preserve">CS-C4092A</t>
  </si>
  <si>
    <t xml:space="preserve">CS-CB435A</t>
  </si>
  <si>
    <t xml:space="preserve">CS-Q3960A</t>
  </si>
  <si>
    <t xml:space="preserve">CS-C8061X</t>
  </si>
  <si>
    <t xml:space="preserve">CS-Q7560A</t>
  </si>
  <si>
    <t xml:space="preserve">CS-EP27</t>
  </si>
  <si>
    <t xml:space="preserve">CS-S4300</t>
  </si>
  <si>
    <t xml:space="preserve">CS-TN3280</t>
  </si>
  <si>
    <t xml:space="preserve">CS-DR3200</t>
  </si>
  <si>
    <t xml:space="preserve">CS-EXV18</t>
  </si>
  <si>
    <t xml:space="preserve">CS-PH6180B</t>
  </si>
  <si>
    <t xml:space="preserve">CS-PH6180C</t>
  </si>
  <si>
    <t xml:space="preserve">CS-PH6180M</t>
  </si>
  <si>
    <t xml:space="preserve">CS-PH6180Y</t>
  </si>
  <si>
    <t xml:space="preserve">CS-C3503BK</t>
  </si>
  <si>
    <t xml:space="preserve">CS-MP2501E</t>
  </si>
  <si>
    <t xml:space="preserve">CS-TN2335</t>
  </si>
  <si>
    <t xml:space="preserve">CS-DR2335</t>
  </si>
  <si>
    <t xml:space="preserve">CS-TN3480</t>
  </si>
  <si>
    <t xml:space="preserve">CS-DR3400</t>
  </si>
  <si>
    <t xml:space="preserve">CS-TN3512</t>
  </si>
  <si>
    <t xml:space="preserve">CS-TN3520</t>
  </si>
  <si>
    <t xml:space="preserve">CS-TN1095</t>
  </si>
  <si>
    <t xml:space="preserve">CS-TN241BK</t>
  </si>
  <si>
    <t xml:space="preserve">CS-TN241C</t>
  </si>
  <si>
    <t xml:space="preserve">CS-TN241M</t>
  </si>
  <si>
    <t xml:space="preserve">CS-TN241Y</t>
  </si>
  <si>
    <t xml:space="preserve">CS-TK1170</t>
  </si>
  <si>
    <t xml:space="preserve">HB-TK-1170</t>
  </si>
  <si>
    <t xml:space="preserve">FP-TK1170</t>
  </si>
  <si>
    <t xml:space="preserve">CS-C712S</t>
  </si>
  <si>
    <t xml:space="preserve">CS-C706</t>
  </si>
  <si>
    <t xml:space="preserve">CS-EXV33</t>
  </si>
  <si>
    <t xml:space="preserve">CS-C4096A</t>
  </si>
  <si>
    <t xml:space="preserve">CS-C719</t>
  </si>
  <si>
    <t xml:space="preserve">CS-DUEXV34BK</t>
  </si>
  <si>
    <t xml:space="preserve">CS-EXV34BK</t>
  </si>
  <si>
    <t xml:space="preserve">CS-TK5370K</t>
  </si>
  <si>
    <t xml:space="preserve">CS-TK5370C</t>
  </si>
  <si>
    <t xml:space="preserve">CS-TK5370M</t>
  </si>
  <si>
    <t xml:space="preserve">CS-TK5370Y</t>
  </si>
  <si>
    <t xml:space="preserve">CS-PG512</t>
  </si>
  <si>
    <t xml:space="preserve">CS-Q5950A</t>
  </si>
  <si>
    <t xml:space="preserve">CS-CF325X</t>
  </si>
  <si>
    <t xml:space="preserve">CS-CF460X</t>
  </si>
  <si>
    <t xml:space="preserve">CS-C8543X</t>
  </si>
  <si>
    <t xml:space="preserve">HB-C8543X</t>
  </si>
  <si>
    <t xml:space="preserve">CS-CE260A</t>
  </si>
  <si>
    <t xml:space="preserve">CS-W9060MC</t>
  </si>
  <si>
    <t xml:space="preserve">CS-W2010X</t>
  </si>
  <si>
    <t xml:space="preserve">CS-W2120X</t>
  </si>
  <si>
    <t xml:space="preserve">CS-C9720A</t>
  </si>
  <si>
    <t xml:space="preserve">CS-CB400A</t>
  </si>
  <si>
    <t xml:space="preserve">CS-CB380A</t>
  </si>
  <si>
    <t xml:space="preserve">CS-LQ1000</t>
  </si>
  <si>
    <t xml:space="preserve">CS-LQ630</t>
  </si>
  <si>
    <t xml:space="preserve">TK240X</t>
  </si>
  <si>
    <t xml:space="preserve">CS-PG440</t>
  </si>
  <si>
    <t xml:space="preserve">GG-GI-490BK</t>
  </si>
  <si>
    <t xml:space="preserve">CS-TK435</t>
  </si>
  <si>
    <t xml:space="preserve">HB-TK-435</t>
  </si>
  <si>
    <t xml:space="preserve">NV-TK435</t>
  </si>
  <si>
    <t xml:space="preserve">CS-TK170</t>
  </si>
  <si>
    <t xml:space="preserve">HB-TK-170</t>
  </si>
  <si>
    <t xml:space="preserve">FP-TK170</t>
  </si>
  <si>
    <t xml:space="preserve">HB-TK-6305</t>
  </si>
  <si>
    <t xml:space="preserve">CS-PH6121B</t>
  </si>
  <si>
    <t xml:space="preserve">CS-PH6121C</t>
  </si>
  <si>
    <t xml:space="preserve">CS-PH6121M</t>
  </si>
  <si>
    <t xml:space="preserve">CS-PH6121Y</t>
  </si>
  <si>
    <t xml:space="preserve">CS-TK160</t>
  </si>
  <si>
    <t xml:space="preserve">CS-TK8325K</t>
  </si>
  <si>
    <t xml:space="preserve">CS-TK8325C</t>
  </si>
  <si>
    <t xml:space="preserve">CS-TK8325M</t>
  </si>
  <si>
    <t xml:space="preserve">CS-TK8325Y</t>
  </si>
  <si>
    <t xml:space="preserve">CS-TK3150</t>
  </si>
  <si>
    <t xml:space="preserve">HB-TK-3150</t>
  </si>
  <si>
    <t xml:space="preserve">CS-TK350</t>
  </si>
  <si>
    <t xml:space="preserve">CS-TK8600K</t>
  </si>
  <si>
    <t xml:space="preserve">CS-TK3170</t>
  </si>
  <si>
    <t xml:space="preserve">CS-TK1130</t>
  </si>
  <si>
    <t xml:space="preserve">HB-TK-1130</t>
  </si>
  <si>
    <t xml:space="preserve">CS-TK1140</t>
  </si>
  <si>
    <t xml:space="preserve">HB-TK-1140</t>
  </si>
  <si>
    <t xml:space="preserve">CS-TK1150</t>
  </si>
  <si>
    <t xml:space="preserve">HB-TK-1150</t>
  </si>
  <si>
    <t xml:space="preserve">CS-TK5140K</t>
  </si>
  <si>
    <t xml:space="preserve">CS-TK590BK</t>
  </si>
  <si>
    <t xml:space="preserve">CS-TN2090</t>
  </si>
  <si>
    <t xml:space="preserve">CS-C724</t>
  </si>
  <si>
    <t xml:space="preserve">CS-CD975</t>
  </si>
  <si>
    <t xml:space="preserve">CS-TK8505K</t>
  </si>
  <si>
    <t xml:space="preserve">CS-EPT1571</t>
  </si>
  <si>
    <t xml:space="preserve">CS-C725S</t>
  </si>
  <si>
    <t xml:space="preserve">CS-C719H</t>
  </si>
  <si>
    <t xml:space="preserve">CS-C731H</t>
  </si>
  <si>
    <t xml:space="preserve">CS-CF289X</t>
  </si>
  <si>
    <t xml:space="preserve">HB-CF289X</t>
  </si>
  <si>
    <t xml:space="preserve">CS-CF230A</t>
  </si>
  <si>
    <t xml:space="preserve">HB-CF230A</t>
  </si>
  <si>
    <t xml:space="preserve">CS-TK3100</t>
  </si>
  <si>
    <t xml:space="preserve">CS-TK3110</t>
  </si>
  <si>
    <t xml:space="preserve">CS-TK710</t>
  </si>
  <si>
    <t xml:space="preserve">CS-D101SS</t>
  </si>
  <si>
    <t xml:space="preserve">CS-P92A</t>
  </si>
  <si>
    <t xml:space="preserve">CS-CF287A</t>
  </si>
  <si>
    <t xml:space="preserve">CS-CF259A</t>
  </si>
  <si>
    <t xml:space="preserve">CSP-CF259A</t>
  </si>
  <si>
    <t xml:space="preserve">CS-TK580K</t>
  </si>
  <si>
    <t xml:space="preserve">CS-TK675</t>
  </si>
  <si>
    <t xml:space="preserve">CT-CAN-C-EXV39</t>
  </si>
  <si>
    <t xml:space="preserve">ELP</t>
  </si>
  <si>
    <t xml:space="preserve">CS-TK4105</t>
  </si>
  <si>
    <t xml:space="preserve">CS-EXV42</t>
  </si>
  <si>
    <t xml:space="preserve">CS-TK130</t>
  </si>
  <si>
    <t xml:space="preserve">CS-EXV49BK</t>
  </si>
  <si>
    <t xml:space="preserve">CS-EXV40</t>
  </si>
  <si>
    <t xml:space="preserve">CS-TK685</t>
  </si>
  <si>
    <t xml:space="preserve">CS-TK7225RU</t>
  </si>
  <si>
    <t xml:space="preserve">CS-TK3160</t>
  </si>
  <si>
    <t xml:space="preserve">HB-TK-3160</t>
  </si>
  <si>
    <t xml:space="preserve">CS-TK5280BK</t>
  </si>
  <si>
    <t xml:space="preserve">CS-TK8335K</t>
  </si>
  <si>
    <t xml:space="preserve">CS-TK8335C</t>
  </si>
  <si>
    <t xml:space="preserve">CS-TK8335M</t>
  </si>
  <si>
    <t xml:space="preserve">CS-TK8335Y</t>
  </si>
  <si>
    <t xml:space="preserve">CS-C737</t>
  </si>
  <si>
    <t xml:space="preserve">CS-TK8365K</t>
  </si>
  <si>
    <t xml:space="preserve">CS-TK8365C</t>
  </si>
  <si>
    <t xml:space="preserve">CS-TK8365M</t>
  </si>
  <si>
    <t xml:space="preserve">CS-TK8365Y</t>
  </si>
  <si>
    <t xml:space="preserve">CS-SP3400</t>
  </si>
  <si>
    <t xml:space="preserve">CS-SP250EBK</t>
  </si>
  <si>
    <t xml:space="preserve">CS-CH563</t>
  </si>
  <si>
    <t xml:space="preserve">CS-T7891</t>
  </si>
  <si>
    <t xml:space="preserve">CS-SP3610</t>
  </si>
  <si>
    <t xml:space="preserve">CS-F6V25AE</t>
  </si>
  <si>
    <t xml:space="preserve">CS-F6U19AE</t>
  </si>
  <si>
    <t xml:space="preserve">CS-F6V17AE</t>
  </si>
  <si>
    <t xml:space="preserve">CS-W2300X</t>
  </si>
  <si>
    <t xml:space="preserve">CS-E16</t>
  </si>
  <si>
    <t xml:space="preserve">CS-EPT8651</t>
  </si>
  <si>
    <t xml:space="preserve">CS-TK3130</t>
  </si>
  <si>
    <t xml:space="preserve">CS-TK895BK</t>
  </si>
  <si>
    <t xml:space="preserve">NV-TK7300</t>
  </si>
  <si>
    <t xml:space="preserve">CS-TK5150C</t>
  </si>
  <si>
    <t xml:space="preserve">CS-TK3190</t>
  </si>
  <si>
    <t xml:space="preserve">HB-TK-3190</t>
  </si>
  <si>
    <t xml:space="preserve">CS-TK5230BK</t>
  </si>
  <si>
    <t xml:space="preserve">CS-CF244A</t>
  </si>
  <si>
    <t xml:space="preserve">CS-CF410A</t>
  </si>
  <si>
    <t xml:space="preserve">CS-CF540X</t>
  </si>
  <si>
    <t xml:space="preserve">CS-CE255A</t>
  </si>
  <si>
    <t xml:space="preserve">CS-CF218A</t>
  </si>
  <si>
    <t xml:space="preserve">HB-CF218A</t>
  </si>
  <si>
    <t xml:space="preserve">CS-CF230X</t>
  </si>
  <si>
    <t xml:space="preserve">CS-CF530A</t>
  </si>
  <si>
    <t xml:space="preserve">CS-W2210X</t>
  </si>
  <si>
    <t xml:space="preserve">CS-TK8115BK</t>
  </si>
  <si>
    <t xml:space="preserve">CS-TK8115C</t>
  </si>
  <si>
    <t xml:space="preserve">CS-TK8115M</t>
  </si>
  <si>
    <t xml:space="preserve">CS-TK8115Y</t>
  </si>
  <si>
    <t xml:space="preserve">CS-TK8345K</t>
  </si>
  <si>
    <t xml:space="preserve">CS-TK8345C</t>
  </si>
  <si>
    <t xml:space="preserve">CS-TK8345M</t>
  </si>
  <si>
    <t xml:space="preserve">CS-TK8345Y</t>
  </si>
  <si>
    <t xml:space="preserve">SATK8345K</t>
  </si>
  <si>
    <t xml:space="preserve">SATK8345C</t>
  </si>
  <si>
    <t xml:space="preserve">SATK8345M</t>
  </si>
  <si>
    <t xml:space="preserve">SATK8345Y</t>
  </si>
  <si>
    <t xml:space="preserve">CS-SP200HE</t>
  </si>
  <si>
    <t xml:space="preserve">GG-T6731BK</t>
  </si>
  <si>
    <t xml:space="preserve">HB-C-EXV51 BK</t>
  </si>
  <si>
    <t xml:space="preserve">CS-TK450</t>
  </si>
  <si>
    <t xml:space="preserve">CS-TK360</t>
  </si>
  <si>
    <t xml:space="preserve">CS-TK110</t>
  </si>
  <si>
    <t xml:space="preserve">CS-TK320</t>
  </si>
  <si>
    <t xml:space="preserve">CS-D6555A</t>
  </si>
  <si>
    <t xml:space="preserve">CS-CLT-K506L</t>
  </si>
  <si>
    <t xml:space="preserve">CS-CLT-K809S</t>
  </si>
  <si>
    <t xml:space="preserve">GP_MLT-D709S</t>
  </si>
  <si>
    <t xml:space="preserve">GalaPrint</t>
  </si>
  <si>
    <t xml:space="preserve">CS-CLT-K504S</t>
  </si>
  <si>
    <t xml:space="preserve">CS-C9351C</t>
  </si>
  <si>
    <t xml:space="preserve">CS-PH3020</t>
  </si>
  <si>
    <t xml:space="preserve">CS-PC-110</t>
  </si>
  <si>
    <t xml:space="preserve">CS-PG40</t>
  </si>
  <si>
    <t xml:space="preserve">CS-F6T40AE</t>
  </si>
  <si>
    <t xml:space="preserve">CS-D205L</t>
  </si>
  <si>
    <t xml:space="preserve">CS-S1660S</t>
  </si>
  <si>
    <t xml:space="preserve">Аналог не найден — заполнить</t>
  </si>
  <si>
    <t xml:space="preserve">CS-C4906</t>
  </si>
  <si>
    <t xml:space="preserve">CS-CN045</t>
  </si>
  <si>
    <t xml:space="preserve">Проверить: CF360A — для M552/M553/M577, для M570 обычно CE410A</t>
  </si>
  <si>
    <t xml:space="preserve">CS-L0S07AE</t>
  </si>
  <si>
    <t xml:space="preserve">CS-CE270A</t>
  </si>
  <si>
    <t xml:space="preserve">Подбор расходных материалов по аппарату</t>
  </si>
  <si>
    <t xml:space="preserve">Жёлтые ячейки — для выбора из выпадающих списков. Остальное подтягивается автоматически из листов «Оригинал» и «Совместимая».</t>
  </si>
  <si>
    <t xml:space="preserve">ОРИГИНАЛЬНАЯ РАСХОДКА</t>
  </si>
  <si>
    <t xml:space="preserve">№</t>
  </si>
  <si>
    <t xml:space="preserve">Строка в базе</t>
  </si>
  <si>
    <t xml:space="preserve">СОВМЕСТИМАЯ РАСХОДКА</t>
  </si>
  <si>
    <t xml:space="preserve">⚠ на оранжевом фоне — позиция есть в другой базе, но артикул пока не найден: впишите его прямо в строку на листе «Оригинал» / «Совместимая».</t>
  </si>
  <si>
    <t xml:space="preserve">Список производителей</t>
  </si>
  <si>
    <t xml:space="preserve">Моделей</t>
  </si>
  <si>
    <t xml:space="preserve">Служебный лист: списки для выпадающих меню на листе «Подбор». Объединение моделей из обеих баз. Новую модель добавляйте в конец списка и отсортируйте по колонке A (производитель).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</si>
</sst>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99"/>
        <bgColor rgb="FFFFE699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E699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6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/>
      <c r="G2" s="3"/>
      <c r="H2" s="3"/>
      <c r="I2" s="4" t="str">
        <f aca="false">IF(AND($A2&lt;&gt;"",$A2=Подбор!$C$4),MAX(I$1:I1)+1,"")</f>
        <v/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14</v>
      </c>
      <c r="D3" s="3" t="s">
        <v>15</v>
      </c>
      <c r="E3" s="3" t="s">
        <v>16</v>
      </c>
      <c r="F3" s="3"/>
      <c r="G3" s="3"/>
      <c r="H3" s="3"/>
      <c r="I3" s="4" t="str">
        <f aca="false">IF(AND($A3&lt;&gt;"",$A3=Подбор!$C$4),MAX(I$1:I2)+1,"")</f>
        <v/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17</v>
      </c>
      <c r="D4" s="3" t="s">
        <v>15</v>
      </c>
      <c r="E4" s="3" t="s">
        <v>18</v>
      </c>
      <c r="F4" s="3"/>
      <c r="G4" s="3"/>
      <c r="H4" s="3"/>
      <c r="I4" s="4" t="str">
        <f aca="false">IF(AND($A4&lt;&gt;"",$A4=Подбор!$C$4),MAX(I$1:I3)+1,"")</f>
        <v/>
      </c>
    </row>
    <row r="5" customFormat="false" ht="15" hidden="false" customHeight="false" outlineLevel="0" collapsed="false">
      <c r="A5" s="3" t="s">
        <v>19</v>
      </c>
      <c r="B5" s="3" t="s">
        <v>10</v>
      </c>
      <c r="C5" s="3" t="s">
        <v>11</v>
      </c>
      <c r="D5" s="3" t="s">
        <v>12</v>
      </c>
      <c r="E5" s="3" t="s">
        <v>20</v>
      </c>
      <c r="F5" s="3" t="n">
        <v>26000</v>
      </c>
      <c r="G5" s="3"/>
      <c r="H5" s="3"/>
      <c r="I5" s="4" t="n">
        <f aca="false">IF(AND($A5&lt;&gt;"",$A5=Подбор!$C$4),MAX(I$1:I4)+1,"")</f>
        <v>1</v>
      </c>
    </row>
    <row r="6" customFormat="false" ht="15" hidden="false" customHeight="false" outlineLevel="0" collapsed="false">
      <c r="A6" s="3" t="s">
        <v>19</v>
      </c>
      <c r="B6" s="3" t="s">
        <v>10</v>
      </c>
      <c r="C6" s="3" t="s">
        <v>11</v>
      </c>
      <c r="D6" s="3" t="s">
        <v>21</v>
      </c>
      <c r="E6" s="3" t="s">
        <v>22</v>
      </c>
      <c r="F6" s="3" t="n">
        <v>15000</v>
      </c>
      <c r="G6" s="3"/>
      <c r="H6" s="3"/>
      <c r="I6" s="4" t="n">
        <f aca="false">IF(AND($A6&lt;&gt;"",$A6=Подбор!$C$4),MAX(I$1:I5)+1,"")</f>
        <v>2</v>
      </c>
    </row>
    <row r="7" customFormat="false" ht="15" hidden="false" customHeight="false" outlineLevel="0" collapsed="false">
      <c r="A7" s="3" t="s">
        <v>19</v>
      </c>
      <c r="B7" s="3" t="s">
        <v>10</v>
      </c>
      <c r="C7" s="3" t="s">
        <v>11</v>
      </c>
      <c r="D7" s="3" t="s">
        <v>23</v>
      </c>
      <c r="E7" s="3" t="s">
        <v>24</v>
      </c>
      <c r="F7" s="3" t="n">
        <v>15000</v>
      </c>
      <c r="G7" s="3"/>
      <c r="H7" s="3"/>
      <c r="I7" s="4" t="n">
        <f aca="false">IF(AND($A7&lt;&gt;"",$A7=Подбор!$C$4),MAX(I$1:I6)+1,"")</f>
        <v>3</v>
      </c>
    </row>
    <row r="8" customFormat="false" ht="15" hidden="false" customHeight="false" outlineLevel="0" collapsed="false">
      <c r="A8" s="3" t="s">
        <v>19</v>
      </c>
      <c r="B8" s="3" t="s">
        <v>10</v>
      </c>
      <c r="C8" s="3" t="s">
        <v>11</v>
      </c>
      <c r="D8" s="3" t="s">
        <v>25</v>
      </c>
      <c r="E8" s="3" t="s">
        <v>26</v>
      </c>
      <c r="F8" s="3" t="n">
        <v>15000</v>
      </c>
      <c r="G8" s="3"/>
      <c r="H8" s="3"/>
      <c r="I8" s="4" t="n">
        <f aca="false">IF(AND($A8&lt;&gt;"",$A8=Подбор!$C$4),MAX(I$1:I7)+1,"")</f>
        <v>4</v>
      </c>
    </row>
    <row r="9" customFormat="false" ht="15" hidden="false" customHeight="false" outlineLevel="0" collapsed="false">
      <c r="A9" s="3" t="s">
        <v>19</v>
      </c>
      <c r="B9" s="3" t="s">
        <v>10</v>
      </c>
      <c r="C9" s="3" t="s">
        <v>14</v>
      </c>
      <c r="D9" s="3" t="s">
        <v>15</v>
      </c>
      <c r="E9" s="3" t="s">
        <v>27</v>
      </c>
      <c r="F9" s="3" t="n">
        <v>125000</v>
      </c>
      <c r="G9" s="3"/>
      <c r="H9" s="3"/>
      <c r="I9" s="4" t="n">
        <f aca="false">IF(AND($A9&lt;&gt;"",$A9=Подбор!$C$4),MAX(I$1:I8)+1,"")</f>
        <v>5</v>
      </c>
    </row>
    <row r="10" customFormat="false" ht="15" hidden="false" customHeight="false" outlineLevel="0" collapsed="false">
      <c r="A10" s="3" t="s">
        <v>19</v>
      </c>
      <c r="B10" s="3" t="s">
        <v>10</v>
      </c>
      <c r="C10" s="3" t="s">
        <v>28</v>
      </c>
      <c r="D10" s="3" t="s">
        <v>15</v>
      </c>
      <c r="E10" s="3" t="s">
        <v>29</v>
      </c>
      <c r="F10" s="3"/>
      <c r="G10" s="3"/>
      <c r="H10" s="3"/>
      <c r="I10" s="4" t="n">
        <f aca="false">IF(AND($A10&lt;&gt;"",$A10=Подбор!$C$4),MAX(I$1:I9)+1,"")</f>
        <v>6</v>
      </c>
    </row>
    <row r="11" customFormat="false" ht="15" hidden="false" customHeight="false" outlineLevel="0" collapsed="false">
      <c r="A11" s="3" t="s">
        <v>19</v>
      </c>
      <c r="B11" s="3" t="s">
        <v>10</v>
      </c>
      <c r="C11" s="3" t="s">
        <v>30</v>
      </c>
      <c r="D11" s="3" t="s">
        <v>15</v>
      </c>
      <c r="E11" s="3" t="s">
        <v>31</v>
      </c>
      <c r="F11" s="3"/>
      <c r="G11" s="3"/>
      <c r="H11" s="3"/>
      <c r="I11" s="4" t="n">
        <f aca="false">IF(AND($A11&lt;&gt;"",$A11=Подбор!$C$4),MAX(I$1:I10)+1,"")</f>
        <v>7</v>
      </c>
    </row>
    <row r="12" customFormat="false" ht="15" hidden="false" customHeight="false" outlineLevel="0" collapsed="false">
      <c r="A12" s="3" t="s">
        <v>19</v>
      </c>
      <c r="B12" s="3" t="s">
        <v>10</v>
      </c>
      <c r="C12" s="3" t="s">
        <v>17</v>
      </c>
      <c r="D12" s="3" t="s">
        <v>15</v>
      </c>
      <c r="E12" s="3" t="s">
        <v>32</v>
      </c>
      <c r="F12" s="3"/>
      <c r="G12" s="3"/>
      <c r="H12" s="3"/>
      <c r="I12" s="4" t="n">
        <f aca="false">IF(AND($A12&lt;&gt;"",$A12=Подбор!$C$4),MAX(I$1:I11)+1,"")</f>
        <v>8</v>
      </c>
    </row>
    <row r="13" customFormat="false" ht="15" hidden="false" customHeight="false" outlineLevel="0" collapsed="false">
      <c r="A13" s="3" t="s">
        <v>33</v>
      </c>
      <c r="B13" s="3" t="s">
        <v>34</v>
      </c>
      <c r="C13" s="3" t="s">
        <v>11</v>
      </c>
      <c r="D13" s="3" t="s">
        <v>12</v>
      </c>
      <c r="E13" s="3" t="s">
        <v>35</v>
      </c>
      <c r="F13" s="3" t="n">
        <v>6000</v>
      </c>
      <c r="G13" s="3"/>
      <c r="H13" s="3"/>
      <c r="I13" s="4" t="str">
        <f aca="false">IF(AND($A13&lt;&gt;"",$A13=Подбор!$C$4),MAX(I$1:I12)+1,"")</f>
        <v/>
      </c>
    </row>
    <row r="14" customFormat="false" ht="15" hidden="false" customHeight="false" outlineLevel="0" collapsed="false">
      <c r="A14" s="3" t="s">
        <v>33</v>
      </c>
      <c r="B14" s="3" t="s">
        <v>34</v>
      </c>
      <c r="C14" s="3" t="s">
        <v>36</v>
      </c>
      <c r="D14" s="3" t="s">
        <v>15</v>
      </c>
      <c r="E14" s="3" t="s">
        <v>37</v>
      </c>
      <c r="F14" s="3" t="n">
        <v>30000</v>
      </c>
      <c r="G14" s="3"/>
      <c r="H14" s="3"/>
      <c r="I14" s="4" t="str">
        <f aca="false">IF(AND($A14&lt;&gt;"",$A14=Подбор!$C$4),MAX(I$1:I13)+1,"")</f>
        <v/>
      </c>
    </row>
    <row r="15" customFormat="false" ht="15" hidden="false" customHeight="false" outlineLevel="0" collapsed="false">
      <c r="A15" s="3" t="s">
        <v>33</v>
      </c>
      <c r="B15" s="3" t="s">
        <v>34</v>
      </c>
      <c r="C15" s="3" t="s">
        <v>30</v>
      </c>
      <c r="D15" s="3" t="s">
        <v>15</v>
      </c>
      <c r="E15" s="3" t="s">
        <v>38</v>
      </c>
      <c r="F15" s="3"/>
      <c r="G15" s="3"/>
      <c r="H15" s="3"/>
      <c r="I15" s="4" t="str">
        <f aca="false">IF(AND($A15&lt;&gt;"",$A15=Подбор!$C$4),MAX(I$1:I14)+1,"")</f>
        <v/>
      </c>
    </row>
    <row r="16" customFormat="false" ht="15" hidden="false" customHeight="false" outlineLevel="0" collapsed="false">
      <c r="A16" s="3" t="s">
        <v>33</v>
      </c>
      <c r="B16" s="3" t="s">
        <v>34</v>
      </c>
      <c r="C16" s="3" t="s">
        <v>17</v>
      </c>
      <c r="D16" s="3" t="s">
        <v>15</v>
      </c>
      <c r="E16" s="3" t="n">
        <v>302111018801</v>
      </c>
      <c r="F16" s="3"/>
      <c r="G16" s="3"/>
      <c r="H16" s="3"/>
      <c r="I16" s="4" t="str">
        <f aca="false">IF(AND($A16&lt;&gt;"",$A16=Подбор!$C$4),MAX(I$1:I15)+1,"")</f>
        <v/>
      </c>
    </row>
    <row r="17" customFormat="false" ht="15" hidden="false" customHeight="false" outlineLevel="0" collapsed="false">
      <c r="A17" s="3" t="s">
        <v>39</v>
      </c>
      <c r="B17" s="3" t="s">
        <v>40</v>
      </c>
      <c r="C17" s="3" t="s">
        <v>11</v>
      </c>
      <c r="D17" s="3" t="s">
        <v>12</v>
      </c>
      <c r="E17" s="3" t="s">
        <v>41</v>
      </c>
      <c r="F17" s="3" t="n">
        <v>28000</v>
      </c>
      <c r="G17" s="3"/>
      <c r="H17" s="3"/>
      <c r="I17" s="4" t="str">
        <f aca="false">IF(AND($A17&lt;&gt;"",$A17=Подбор!$C$4),MAX(I$1:I16)+1,"")</f>
        <v/>
      </c>
    </row>
    <row r="18" customFormat="false" ht="15" hidden="false" customHeight="false" outlineLevel="0" collapsed="false">
      <c r="A18" s="3" t="s">
        <v>39</v>
      </c>
      <c r="B18" s="3" t="s">
        <v>40</v>
      </c>
      <c r="C18" s="3" t="s">
        <v>11</v>
      </c>
      <c r="D18" s="3" t="s">
        <v>21</v>
      </c>
      <c r="E18" s="3" t="s">
        <v>42</v>
      </c>
      <c r="F18" s="3" t="n">
        <v>28000</v>
      </c>
      <c r="G18" s="3"/>
      <c r="H18" s="3"/>
      <c r="I18" s="4" t="str">
        <f aca="false">IF(AND($A18&lt;&gt;"",$A18=Подбор!$C$4),MAX(I$1:I17)+1,"")</f>
        <v/>
      </c>
    </row>
    <row r="19" customFormat="false" ht="15" hidden="false" customHeight="false" outlineLevel="0" collapsed="false">
      <c r="A19" s="3" t="s">
        <v>39</v>
      </c>
      <c r="B19" s="3" t="s">
        <v>40</v>
      </c>
      <c r="C19" s="3" t="s">
        <v>11</v>
      </c>
      <c r="D19" s="3" t="s">
        <v>23</v>
      </c>
      <c r="E19" s="3" t="s">
        <v>43</v>
      </c>
      <c r="F19" s="3" t="n">
        <v>28000</v>
      </c>
      <c r="G19" s="3"/>
      <c r="H19" s="3"/>
      <c r="I19" s="4" t="str">
        <f aca="false">IF(AND($A19&lt;&gt;"",$A19=Подбор!$C$4),MAX(I$1:I18)+1,"")</f>
        <v/>
      </c>
    </row>
    <row r="20" customFormat="false" ht="15" hidden="false" customHeight="false" outlineLevel="0" collapsed="false">
      <c r="A20" s="3" t="s">
        <v>39</v>
      </c>
      <c r="B20" s="3" t="s">
        <v>40</v>
      </c>
      <c r="C20" s="3" t="s">
        <v>11</v>
      </c>
      <c r="D20" s="3" t="s">
        <v>25</v>
      </c>
      <c r="E20" s="3" t="s">
        <v>44</v>
      </c>
      <c r="F20" s="3" t="n">
        <v>28000</v>
      </c>
      <c r="G20" s="3"/>
      <c r="H20" s="3"/>
      <c r="I20" s="4" t="str">
        <f aca="false">IF(AND($A20&lt;&gt;"",$A20=Подбор!$C$4),MAX(I$1:I19)+1,"")</f>
        <v/>
      </c>
    </row>
    <row r="21" customFormat="false" ht="15" hidden="false" customHeight="false" outlineLevel="0" collapsed="false">
      <c r="A21" s="3" t="s">
        <v>39</v>
      </c>
      <c r="B21" s="3" t="s">
        <v>40</v>
      </c>
      <c r="C21" s="3" t="s">
        <v>14</v>
      </c>
      <c r="D21" s="3" t="s">
        <v>15</v>
      </c>
      <c r="E21" s="3" t="s">
        <v>45</v>
      </c>
      <c r="F21" s="3"/>
      <c r="G21" s="3"/>
      <c r="H21" s="3"/>
      <c r="I21" s="4" t="str">
        <f aca="false">IF(AND($A21&lt;&gt;"",$A21=Подбор!$C$4),MAX(I$1:I20)+1,"")</f>
        <v/>
      </c>
    </row>
    <row r="22" customFormat="false" ht="15" hidden="false" customHeight="false" outlineLevel="0" collapsed="false">
      <c r="A22" s="3" t="s">
        <v>46</v>
      </c>
      <c r="B22" s="3" t="s">
        <v>47</v>
      </c>
      <c r="C22" s="3" t="s">
        <v>11</v>
      </c>
      <c r="D22" s="3" t="s">
        <v>12</v>
      </c>
      <c r="E22" s="3" t="s">
        <v>48</v>
      </c>
      <c r="F22" s="3" t="n">
        <v>10000</v>
      </c>
      <c r="G22" s="3"/>
      <c r="H22" s="3"/>
      <c r="I22" s="4" t="str">
        <f aca="false">IF(AND($A22&lt;&gt;"",$A22=Подбор!$C$4),MAX(I$1:I21)+1,"")</f>
        <v/>
      </c>
    </row>
    <row r="23" customFormat="false" ht="15" hidden="false" customHeight="false" outlineLevel="0" collapsed="false">
      <c r="A23" s="3" t="s">
        <v>46</v>
      </c>
      <c r="B23" s="3" t="s">
        <v>47</v>
      </c>
      <c r="C23" s="3" t="s">
        <v>14</v>
      </c>
      <c r="D23" s="3" t="s">
        <v>15</v>
      </c>
      <c r="E23" s="3" t="s">
        <v>49</v>
      </c>
      <c r="F23" s="3" t="n">
        <v>60000</v>
      </c>
      <c r="G23" s="3"/>
      <c r="H23" s="3"/>
      <c r="I23" s="4" t="str">
        <f aca="false">IF(AND($A23&lt;&gt;"",$A23=Подбор!$C$4),MAX(I$1:I22)+1,"")</f>
        <v/>
      </c>
    </row>
    <row r="24" customFormat="false" ht="15" hidden="false" customHeight="false" outlineLevel="0" collapsed="false">
      <c r="A24" s="3" t="s">
        <v>50</v>
      </c>
      <c r="B24" s="3" t="s">
        <v>51</v>
      </c>
      <c r="C24" s="3" t="s">
        <v>11</v>
      </c>
      <c r="D24" s="3" t="s">
        <v>12</v>
      </c>
      <c r="E24" s="3" t="s">
        <v>52</v>
      </c>
      <c r="F24" s="3" t="n">
        <v>18000</v>
      </c>
      <c r="G24" s="3"/>
      <c r="H24" s="3"/>
      <c r="I24" s="4" t="str">
        <f aca="false">IF(AND($A24&lt;&gt;"",$A24=Подбор!$C$4),MAX(I$1:I23)+1,"")</f>
        <v/>
      </c>
    </row>
    <row r="25" customFormat="false" ht="15" hidden="false" customHeight="false" outlineLevel="0" collapsed="false">
      <c r="A25" s="3" t="s">
        <v>50</v>
      </c>
      <c r="B25" s="3" t="s">
        <v>51</v>
      </c>
      <c r="C25" s="3" t="s">
        <v>14</v>
      </c>
      <c r="D25" s="3" t="s">
        <v>15</v>
      </c>
      <c r="E25" s="3" t="s">
        <v>53</v>
      </c>
      <c r="F25" s="3"/>
      <c r="G25" s="3"/>
      <c r="H25" s="3"/>
      <c r="I25" s="4" t="str">
        <f aca="false">IF(AND($A25&lt;&gt;"",$A25=Подбор!$C$4),MAX(I$1:I24)+1,"")</f>
        <v/>
      </c>
    </row>
    <row r="26" customFormat="false" ht="15" hidden="false" customHeight="false" outlineLevel="0" collapsed="false">
      <c r="A26" s="3" t="s">
        <v>50</v>
      </c>
      <c r="B26" s="3" t="s">
        <v>51</v>
      </c>
      <c r="C26" s="3" t="s">
        <v>30</v>
      </c>
      <c r="D26" s="3" t="s">
        <v>15</v>
      </c>
      <c r="E26" s="3" t="s">
        <v>54</v>
      </c>
      <c r="F26" s="3"/>
      <c r="G26" s="3"/>
      <c r="H26" s="3"/>
      <c r="I26" s="4" t="str">
        <f aca="false">IF(AND($A26&lt;&gt;"",$A26=Подбор!$C$4),MAX(I$1:I25)+1,"")</f>
        <v/>
      </c>
    </row>
    <row r="27" customFormat="false" ht="15" hidden="false" customHeight="false" outlineLevel="0" collapsed="false">
      <c r="A27" s="3" t="s">
        <v>50</v>
      </c>
      <c r="B27" s="3" t="s">
        <v>51</v>
      </c>
      <c r="C27" s="3" t="s">
        <v>17</v>
      </c>
      <c r="D27" s="3" t="s">
        <v>15</v>
      </c>
      <c r="E27" s="3" t="s">
        <v>55</v>
      </c>
      <c r="F27" s="3"/>
      <c r="G27" s="3"/>
      <c r="H27" s="3"/>
      <c r="I27" s="4" t="str">
        <f aca="false">IF(AND($A27&lt;&gt;"",$A27=Подбор!$C$4),MAX(I$1:I26)+1,"")</f>
        <v/>
      </c>
    </row>
    <row r="28" customFormat="false" ht="15" hidden="false" customHeight="false" outlineLevel="0" collapsed="false">
      <c r="A28" s="3" t="s">
        <v>56</v>
      </c>
      <c r="B28" s="3" t="s">
        <v>57</v>
      </c>
      <c r="C28" s="3" t="s">
        <v>11</v>
      </c>
      <c r="D28" s="3" t="s">
        <v>12</v>
      </c>
      <c r="E28" s="3" t="s">
        <v>58</v>
      </c>
      <c r="F28" s="3" t="n">
        <v>3000</v>
      </c>
      <c r="G28" s="3"/>
      <c r="H28" s="3"/>
      <c r="I28" s="4" t="str">
        <f aca="false">IF(AND($A28&lt;&gt;"",$A28=Подбор!$C$4),MAX(I$1:I27)+1,"")</f>
        <v/>
      </c>
    </row>
    <row r="29" customFormat="false" ht="15" hidden="false" customHeight="false" outlineLevel="0" collapsed="false">
      <c r="A29" s="3" t="s">
        <v>56</v>
      </c>
      <c r="B29" s="3" t="s">
        <v>57</v>
      </c>
      <c r="C29" s="3" t="s">
        <v>14</v>
      </c>
      <c r="D29" s="3" t="s">
        <v>15</v>
      </c>
      <c r="E29" s="3" t="s">
        <v>59</v>
      </c>
      <c r="F29" s="3" t="n">
        <v>23000</v>
      </c>
      <c r="G29" s="3"/>
      <c r="H29" s="3"/>
      <c r="I29" s="4" t="str">
        <f aca="false">IF(AND($A29&lt;&gt;"",$A29=Подбор!$C$4),MAX(I$1:I28)+1,"")</f>
        <v/>
      </c>
    </row>
    <row r="30" customFormat="false" ht="15" hidden="false" customHeight="false" outlineLevel="0" collapsed="false">
      <c r="A30" s="3" t="s">
        <v>56</v>
      </c>
      <c r="B30" s="3" t="s">
        <v>57</v>
      </c>
      <c r="C30" s="3" t="s">
        <v>17</v>
      </c>
      <c r="D30" s="3" t="s">
        <v>15</v>
      </c>
      <c r="E30" s="3" t="s">
        <v>60</v>
      </c>
      <c r="F30" s="3"/>
      <c r="G30" s="3"/>
      <c r="H30" s="3"/>
      <c r="I30" s="4" t="str">
        <f aca="false">IF(AND($A30&lt;&gt;"",$A30=Подбор!$C$4),MAX(I$1:I29)+1,"")</f>
        <v/>
      </c>
    </row>
    <row r="31" customFormat="false" ht="15" hidden="false" customHeight="false" outlineLevel="0" collapsed="false">
      <c r="A31" s="3" t="s">
        <v>61</v>
      </c>
      <c r="B31" s="3" t="s">
        <v>62</v>
      </c>
      <c r="C31" s="3" t="s">
        <v>11</v>
      </c>
      <c r="D31" s="3" t="s">
        <v>12</v>
      </c>
      <c r="E31" s="3" t="s">
        <v>63</v>
      </c>
      <c r="F31" s="3" t="n">
        <v>15000</v>
      </c>
      <c r="G31" s="3"/>
      <c r="H31" s="3"/>
      <c r="I31" s="4" t="str">
        <f aca="false">IF(AND($A31&lt;&gt;"",$A31=Подбор!$C$4),MAX(I$1:I30)+1,"")</f>
        <v/>
      </c>
    </row>
    <row r="32" customFormat="false" ht="15" hidden="false" customHeight="false" outlineLevel="0" collapsed="false">
      <c r="A32" s="3" t="s">
        <v>61</v>
      </c>
      <c r="B32" s="3" t="s">
        <v>62</v>
      </c>
      <c r="C32" s="3" t="s">
        <v>14</v>
      </c>
      <c r="D32" s="3" t="s">
        <v>15</v>
      </c>
      <c r="E32" s="3" t="s">
        <v>64</v>
      </c>
      <c r="F32" s="3"/>
      <c r="G32" s="3"/>
      <c r="H32" s="3"/>
      <c r="I32" s="4" t="str">
        <f aca="false">IF(AND($A32&lt;&gt;"",$A32=Подбор!$C$4),MAX(I$1:I31)+1,"")</f>
        <v/>
      </c>
    </row>
    <row r="33" customFormat="false" ht="15" hidden="false" customHeight="false" outlineLevel="0" collapsed="false">
      <c r="A33" s="3" t="s">
        <v>61</v>
      </c>
      <c r="B33" s="3" t="s">
        <v>62</v>
      </c>
      <c r="C33" s="3" t="s">
        <v>65</v>
      </c>
      <c r="D33" s="3" t="s">
        <v>15</v>
      </c>
      <c r="E33" s="3" t="s">
        <v>66</v>
      </c>
      <c r="F33" s="3"/>
      <c r="G33" s="3"/>
      <c r="H33" s="3"/>
      <c r="I33" s="4" t="str">
        <f aca="false">IF(AND($A33&lt;&gt;"",$A33=Подбор!$C$4),MAX(I$1:I32)+1,"")</f>
        <v/>
      </c>
    </row>
    <row r="34" customFormat="false" ht="15" hidden="false" customHeight="false" outlineLevel="0" collapsed="false">
      <c r="A34" s="3" t="s">
        <v>67</v>
      </c>
      <c r="B34" s="3" t="s">
        <v>68</v>
      </c>
      <c r="C34" s="3" t="s">
        <v>11</v>
      </c>
      <c r="D34" s="3" t="s">
        <v>12</v>
      </c>
      <c r="E34" s="3" t="s">
        <v>69</v>
      </c>
      <c r="F34" s="3" t="n">
        <v>55000</v>
      </c>
      <c r="G34" s="3"/>
      <c r="H34" s="3"/>
      <c r="I34" s="4" t="str">
        <f aca="false">IF(AND($A34&lt;&gt;"",$A34=Подбор!$C$4),MAX(I$1:I33)+1,"")</f>
        <v/>
      </c>
    </row>
    <row r="35" customFormat="false" ht="15" hidden="false" customHeight="false" outlineLevel="0" collapsed="false">
      <c r="A35" s="3" t="s">
        <v>67</v>
      </c>
      <c r="B35" s="3" t="s">
        <v>68</v>
      </c>
      <c r="C35" s="3" t="s">
        <v>14</v>
      </c>
      <c r="D35" s="3" t="s">
        <v>15</v>
      </c>
      <c r="E35" s="3" t="s">
        <v>70</v>
      </c>
      <c r="F35" s="3"/>
      <c r="G35" s="3"/>
      <c r="H35" s="3"/>
      <c r="I35" s="4" t="str">
        <f aca="false">IF(AND($A35&lt;&gt;"",$A35=Подбор!$C$4),MAX(I$1:I34)+1,"")</f>
        <v/>
      </c>
    </row>
    <row r="36" customFormat="false" ht="15" hidden="false" customHeight="false" outlineLevel="0" collapsed="false">
      <c r="A36" s="3" t="s">
        <v>67</v>
      </c>
      <c r="B36" s="3" t="s">
        <v>68</v>
      </c>
      <c r="C36" s="3" t="s">
        <v>28</v>
      </c>
      <c r="D36" s="3" t="s">
        <v>15</v>
      </c>
      <c r="E36" s="3" t="s">
        <v>71</v>
      </c>
      <c r="F36" s="3"/>
      <c r="G36" s="3"/>
      <c r="H36" s="3"/>
      <c r="I36" s="4" t="str">
        <f aca="false">IF(AND($A36&lt;&gt;"",$A36=Подбор!$C$4),MAX(I$1:I35)+1,"")</f>
        <v/>
      </c>
    </row>
    <row r="37" customFormat="false" ht="15" hidden="false" customHeight="false" outlineLevel="0" collapsed="false">
      <c r="A37" s="3" t="s">
        <v>67</v>
      </c>
      <c r="B37" s="3" t="s">
        <v>68</v>
      </c>
      <c r="C37" s="3" t="s">
        <v>30</v>
      </c>
      <c r="D37" s="3" t="s">
        <v>15</v>
      </c>
      <c r="E37" s="3" t="s">
        <v>72</v>
      </c>
      <c r="F37" s="3"/>
      <c r="G37" s="3"/>
      <c r="H37" s="3"/>
      <c r="I37" s="4" t="str">
        <f aca="false">IF(AND($A37&lt;&gt;"",$A37=Подбор!$C$4),MAX(I$1:I36)+1,"")</f>
        <v/>
      </c>
    </row>
    <row r="38" customFormat="false" ht="15" hidden="false" customHeight="false" outlineLevel="0" collapsed="false">
      <c r="A38" s="3" t="s">
        <v>67</v>
      </c>
      <c r="B38" s="3" t="s">
        <v>68</v>
      </c>
      <c r="C38" s="3" t="s">
        <v>17</v>
      </c>
      <c r="D38" s="3" t="s">
        <v>15</v>
      </c>
      <c r="E38" s="3" t="s">
        <v>73</v>
      </c>
      <c r="F38" s="3"/>
      <c r="G38" s="3"/>
      <c r="H38" s="3"/>
      <c r="I38" s="4" t="str">
        <f aca="false">IF(AND($A38&lt;&gt;"",$A38=Подбор!$C$4),MAX(I$1:I37)+1,"")</f>
        <v/>
      </c>
    </row>
    <row r="39" customFormat="false" ht="15" hidden="false" customHeight="false" outlineLevel="0" collapsed="false">
      <c r="A39" s="3" t="s">
        <v>74</v>
      </c>
      <c r="B39" s="3" t="s">
        <v>10</v>
      </c>
      <c r="C39" s="3" t="s">
        <v>11</v>
      </c>
      <c r="D39" s="3" t="s">
        <v>12</v>
      </c>
      <c r="E39" s="3" t="s">
        <v>75</v>
      </c>
      <c r="F39" s="3" t="n">
        <v>35000</v>
      </c>
      <c r="G39" s="3"/>
      <c r="H39" s="3"/>
      <c r="I39" s="4" t="str">
        <f aca="false">IF(AND($A39&lt;&gt;"",$A39=Подбор!$C$4),MAX(I$1:I38)+1,"")</f>
        <v/>
      </c>
    </row>
    <row r="40" customFormat="false" ht="15" hidden="false" customHeight="false" outlineLevel="0" collapsed="false">
      <c r="A40" s="3" t="s">
        <v>74</v>
      </c>
      <c r="B40" s="3" t="s">
        <v>10</v>
      </c>
      <c r="C40" s="3" t="s">
        <v>14</v>
      </c>
      <c r="D40" s="3" t="s">
        <v>15</v>
      </c>
      <c r="E40" s="3" t="s">
        <v>76</v>
      </c>
      <c r="F40" s="3"/>
      <c r="G40" s="3"/>
      <c r="H40" s="3"/>
      <c r="I40" s="4" t="str">
        <f aca="false">IF(AND($A40&lt;&gt;"",$A40=Подбор!$C$4),MAX(I$1:I39)+1,"")</f>
        <v/>
      </c>
    </row>
    <row r="41" customFormat="false" ht="15" hidden="false" customHeight="false" outlineLevel="0" collapsed="false">
      <c r="A41" s="3" t="s">
        <v>77</v>
      </c>
      <c r="B41" s="3" t="s">
        <v>57</v>
      </c>
      <c r="C41" s="3" t="s">
        <v>11</v>
      </c>
      <c r="D41" s="3" t="s">
        <v>12</v>
      </c>
      <c r="E41" s="3" t="s">
        <v>78</v>
      </c>
      <c r="F41" s="3" t="n">
        <v>1500</v>
      </c>
      <c r="G41" s="3"/>
      <c r="H41" s="3"/>
      <c r="I41" s="4" t="str">
        <f aca="false">IF(AND($A41&lt;&gt;"",$A41=Подбор!$C$4),MAX(I$1:I40)+1,"")</f>
        <v/>
      </c>
    </row>
    <row r="42" customFormat="false" ht="15" hidden="false" customHeight="false" outlineLevel="0" collapsed="false">
      <c r="A42" s="3" t="s">
        <v>77</v>
      </c>
      <c r="B42" s="3" t="s">
        <v>57</v>
      </c>
      <c r="C42" s="3" t="s">
        <v>11</v>
      </c>
      <c r="D42" s="3" t="s">
        <v>21</v>
      </c>
      <c r="E42" s="3" t="s">
        <v>79</v>
      </c>
      <c r="F42" s="3" t="n">
        <v>1400</v>
      </c>
      <c r="G42" s="3"/>
      <c r="H42" s="3"/>
      <c r="I42" s="4" t="str">
        <f aca="false">IF(AND($A42&lt;&gt;"",$A42=Подбор!$C$4),MAX(I$1:I41)+1,"")</f>
        <v/>
      </c>
    </row>
    <row r="43" customFormat="false" ht="15" hidden="false" customHeight="false" outlineLevel="0" collapsed="false">
      <c r="A43" s="3" t="s">
        <v>77</v>
      </c>
      <c r="B43" s="3" t="s">
        <v>57</v>
      </c>
      <c r="C43" s="3" t="s">
        <v>11</v>
      </c>
      <c r="D43" s="3" t="s">
        <v>23</v>
      </c>
      <c r="E43" s="3" t="s">
        <v>80</v>
      </c>
      <c r="F43" s="3" t="n">
        <v>1400</v>
      </c>
      <c r="G43" s="3"/>
      <c r="H43" s="3"/>
      <c r="I43" s="4" t="str">
        <f aca="false">IF(AND($A43&lt;&gt;"",$A43=Подбор!$C$4),MAX(I$1:I42)+1,"")</f>
        <v/>
      </c>
    </row>
    <row r="44" customFormat="false" ht="15" hidden="false" customHeight="false" outlineLevel="0" collapsed="false">
      <c r="A44" s="3" t="s">
        <v>77</v>
      </c>
      <c r="B44" s="3" t="s">
        <v>57</v>
      </c>
      <c r="C44" s="3" t="s">
        <v>11</v>
      </c>
      <c r="D44" s="3" t="s">
        <v>25</v>
      </c>
      <c r="E44" s="3" t="s">
        <v>81</v>
      </c>
      <c r="F44" s="3" t="n">
        <v>1400</v>
      </c>
      <c r="G44" s="3"/>
      <c r="H44" s="3"/>
      <c r="I44" s="4" t="str">
        <f aca="false">IF(AND($A44&lt;&gt;"",$A44=Подбор!$C$4),MAX(I$1:I43)+1,"")</f>
        <v/>
      </c>
    </row>
    <row r="45" customFormat="false" ht="15" hidden="false" customHeight="false" outlineLevel="0" collapsed="false">
      <c r="A45" s="3" t="s">
        <v>77</v>
      </c>
      <c r="B45" s="3" t="s">
        <v>57</v>
      </c>
      <c r="C45" s="3" t="s">
        <v>17</v>
      </c>
      <c r="D45" s="3" t="s">
        <v>15</v>
      </c>
      <c r="E45" s="3" t="s">
        <v>82</v>
      </c>
      <c r="F45" s="3"/>
      <c r="G45" s="3"/>
      <c r="H45" s="3"/>
      <c r="I45" s="4" t="str">
        <f aca="false">IF(AND($A45&lt;&gt;"",$A45=Подбор!$C$4),MAX(I$1:I44)+1,"")</f>
        <v/>
      </c>
    </row>
    <row r="46" customFormat="false" ht="15" hidden="false" customHeight="false" outlineLevel="0" collapsed="false">
      <c r="A46" s="3" t="s">
        <v>83</v>
      </c>
      <c r="B46" s="3" t="s">
        <v>84</v>
      </c>
      <c r="C46" s="3" t="s">
        <v>11</v>
      </c>
      <c r="D46" s="3" t="s">
        <v>12</v>
      </c>
      <c r="E46" s="3" t="s">
        <v>85</v>
      </c>
      <c r="F46" s="3" t="n">
        <v>2000</v>
      </c>
      <c r="G46" s="3"/>
      <c r="H46" s="3"/>
      <c r="I46" s="4" t="str">
        <f aca="false">IF(AND($A46&lt;&gt;"",$A46=Подбор!$C$4),MAX(I$1:I45)+1,"")</f>
        <v/>
      </c>
    </row>
    <row r="47" customFormat="false" ht="15" hidden="false" customHeight="false" outlineLevel="0" collapsed="false">
      <c r="A47" s="3" t="s">
        <v>86</v>
      </c>
      <c r="B47" s="3" t="s">
        <v>57</v>
      </c>
      <c r="C47" s="3" t="s">
        <v>11</v>
      </c>
      <c r="D47" s="3" t="s">
        <v>12</v>
      </c>
      <c r="E47" s="3" t="s">
        <v>87</v>
      </c>
      <c r="F47" s="3" t="n">
        <v>18000</v>
      </c>
      <c r="G47" s="3"/>
      <c r="H47" s="3"/>
      <c r="I47" s="4" t="str">
        <f aca="false">IF(AND($A47&lt;&gt;"",$A47=Подбор!$C$4),MAX(I$1:I46)+1,"")</f>
        <v/>
      </c>
    </row>
    <row r="48" customFormat="false" ht="15" hidden="false" customHeight="false" outlineLevel="0" collapsed="false">
      <c r="A48" s="3" t="s">
        <v>88</v>
      </c>
      <c r="B48" s="3" t="s">
        <v>57</v>
      </c>
      <c r="C48" s="3" t="s">
        <v>11</v>
      </c>
      <c r="D48" s="3" t="s">
        <v>12</v>
      </c>
      <c r="E48" s="3" t="s">
        <v>89</v>
      </c>
      <c r="F48" s="3" t="n">
        <v>2000</v>
      </c>
      <c r="G48" s="3"/>
      <c r="H48" s="3"/>
      <c r="I48" s="4" t="str">
        <f aca="false">IF(AND($A48&lt;&gt;"",$A48=Подбор!$C$4),MAX(I$1:I47)+1,"")</f>
        <v/>
      </c>
    </row>
    <row r="49" customFormat="false" ht="15" hidden="false" customHeight="false" outlineLevel="0" collapsed="false">
      <c r="A49" s="3" t="s">
        <v>90</v>
      </c>
      <c r="B49" s="3" t="s">
        <v>57</v>
      </c>
      <c r="C49" s="3" t="s">
        <v>11</v>
      </c>
      <c r="D49" s="3" t="s">
        <v>12</v>
      </c>
      <c r="E49" s="3" t="s">
        <v>91</v>
      </c>
      <c r="F49" s="3" t="n">
        <v>2200</v>
      </c>
      <c r="G49" s="3"/>
      <c r="H49" s="3"/>
      <c r="I49" s="4" t="str">
        <f aca="false">IF(AND($A49&lt;&gt;"",$A49=Подбор!$C$4),MAX(I$1:I48)+1,"")</f>
        <v/>
      </c>
    </row>
    <row r="50" customFormat="false" ht="15" hidden="false" customHeight="false" outlineLevel="0" collapsed="false">
      <c r="A50" s="3" t="s">
        <v>90</v>
      </c>
      <c r="B50" s="3" t="s">
        <v>57</v>
      </c>
      <c r="C50" s="3" t="s">
        <v>11</v>
      </c>
      <c r="D50" s="3" t="s">
        <v>21</v>
      </c>
      <c r="E50" s="3" t="s">
        <v>92</v>
      </c>
      <c r="F50" s="3" t="n">
        <v>1400</v>
      </c>
      <c r="G50" s="3"/>
      <c r="H50" s="3"/>
      <c r="I50" s="4" t="str">
        <f aca="false">IF(AND($A50&lt;&gt;"",$A50=Подбор!$C$4),MAX(I$1:I49)+1,"")</f>
        <v/>
      </c>
    </row>
    <row r="51" customFormat="false" ht="15" hidden="false" customHeight="false" outlineLevel="0" collapsed="false">
      <c r="A51" s="3" t="s">
        <v>90</v>
      </c>
      <c r="B51" s="3" t="s">
        <v>57</v>
      </c>
      <c r="C51" s="3" t="s">
        <v>11</v>
      </c>
      <c r="D51" s="3" t="s">
        <v>23</v>
      </c>
      <c r="E51" s="3" t="s">
        <v>93</v>
      </c>
      <c r="F51" s="3" t="n">
        <v>1400</v>
      </c>
      <c r="G51" s="3"/>
      <c r="H51" s="3"/>
      <c r="I51" s="4" t="str">
        <f aca="false">IF(AND($A51&lt;&gt;"",$A51=Подбор!$C$4),MAX(I$1:I50)+1,"")</f>
        <v/>
      </c>
    </row>
    <row r="52" customFormat="false" ht="15" hidden="false" customHeight="false" outlineLevel="0" collapsed="false">
      <c r="A52" s="3" t="s">
        <v>90</v>
      </c>
      <c r="B52" s="3" t="s">
        <v>57</v>
      </c>
      <c r="C52" s="3" t="s">
        <v>11</v>
      </c>
      <c r="D52" s="3" t="s">
        <v>25</v>
      </c>
      <c r="E52" s="3" t="s">
        <v>94</v>
      </c>
      <c r="F52" s="3" t="n">
        <v>1400</v>
      </c>
      <c r="G52" s="3"/>
      <c r="H52" s="3"/>
      <c r="I52" s="4" t="str">
        <f aca="false">IF(AND($A52&lt;&gt;"",$A52=Подбор!$C$4),MAX(I$1:I51)+1,"")</f>
        <v/>
      </c>
    </row>
    <row r="53" customFormat="false" ht="15" hidden="false" customHeight="false" outlineLevel="0" collapsed="false">
      <c r="A53" s="3" t="s">
        <v>90</v>
      </c>
      <c r="B53" s="3" t="s">
        <v>57</v>
      </c>
      <c r="C53" s="3" t="s">
        <v>17</v>
      </c>
      <c r="D53" s="3" t="s">
        <v>15</v>
      </c>
      <c r="E53" s="3" t="s">
        <v>95</v>
      </c>
      <c r="F53" s="3"/>
      <c r="G53" s="3"/>
      <c r="H53" s="3"/>
      <c r="I53" s="4" t="str">
        <f aca="false">IF(AND($A53&lt;&gt;"",$A53=Подбор!$C$4),MAX(I$1:I52)+1,"")</f>
        <v/>
      </c>
    </row>
    <row r="54" customFormat="false" ht="15" hidden="false" customHeight="false" outlineLevel="0" collapsed="false">
      <c r="A54" s="3" t="s">
        <v>96</v>
      </c>
      <c r="B54" s="3" t="s">
        <v>57</v>
      </c>
      <c r="C54" s="3" t="s">
        <v>11</v>
      </c>
      <c r="D54" s="3" t="s">
        <v>12</v>
      </c>
      <c r="E54" s="3" t="s">
        <v>97</v>
      </c>
      <c r="F54" s="3" t="n">
        <v>1600</v>
      </c>
      <c r="G54" s="3"/>
      <c r="H54" s="3"/>
      <c r="I54" s="4" t="str">
        <f aca="false">IF(AND($A54&lt;&gt;"",$A54=Подбор!$C$4),MAX(I$1:I53)+1,"")</f>
        <v/>
      </c>
    </row>
    <row r="55" customFormat="false" ht="15" hidden="false" customHeight="false" outlineLevel="0" collapsed="false">
      <c r="A55" s="3" t="s">
        <v>96</v>
      </c>
      <c r="B55" s="3" t="s">
        <v>57</v>
      </c>
      <c r="C55" s="3" t="s">
        <v>17</v>
      </c>
      <c r="D55" s="3" t="s">
        <v>15</v>
      </c>
      <c r="E55" s="3" t="s">
        <v>98</v>
      </c>
      <c r="F55" s="3"/>
      <c r="G55" s="3"/>
      <c r="H55" s="3"/>
      <c r="I55" s="4" t="str">
        <f aca="false">IF(AND($A55&lt;&gt;"",$A55=Подбор!$C$4),MAX(I$1:I54)+1,"")</f>
        <v/>
      </c>
    </row>
    <row r="56" customFormat="false" ht="15" hidden="false" customHeight="false" outlineLevel="0" collapsed="false">
      <c r="A56" s="3" t="s">
        <v>99</v>
      </c>
      <c r="B56" s="3" t="s">
        <v>10</v>
      </c>
      <c r="C56" s="3" t="s">
        <v>11</v>
      </c>
      <c r="D56" s="3" t="s">
        <v>12</v>
      </c>
      <c r="E56" s="3" t="s">
        <v>100</v>
      </c>
      <c r="F56" s="3" t="n">
        <v>26000</v>
      </c>
      <c r="G56" s="3"/>
      <c r="H56" s="3"/>
      <c r="I56" s="4" t="str">
        <f aca="false">IF(AND($A56&lt;&gt;"",$A56=Подбор!$C$4),MAX(I$1:I55)+1,"")</f>
        <v/>
      </c>
    </row>
    <row r="57" customFormat="false" ht="15" hidden="false" customHeight="false" outlineLevel="0" collapsed="false">
      <c r="A57" s="3" t="s">
        <v>99</v>
      </c>
      <c r="B57" s="3" t="s">
        <v>10</v>
      </c>
      <c r="C57" s="3" t="s">
        <v>11</v>
      </c>
      <c r="D57" s="3" t="s">
        <v>21</v>
      </c>
      <c r="E57" s="3" t="s">
        <v>101</v>
      </c>
      <c r="F57" s="3" t="n">
        <v>15000</v>
      </c>
      <c r="G57" s="3"/>
      <c r="H57" s="3"/>
      <c r="I57" s="4" t="str">
        <f aca="false">IF(AND($A57&lt;&gt;"",$A57=Подбор!$C$4),MAX(I$1:I56)+1,"")</f>
        <v/>
      </c>
    </row>
    <row r="58" customFormat="false" ht="15" hidden="false" customHeight="false" outlineLevel="0" collapsed="false">
      <c r="A58" s="3" t="s">
        <v>99</v>
      </c>
      <c r="B58" s="3" t="s">
        <v>10</v>
      </c>
      <c r="C58" s="3" t="s">
        <v>11</v>
      </c>
      <c r="D58" s="3" t="s">
        <v>23</v>
      </c>
      <c r="E58" s="3" t="s">
        <v>102</v>
      </c>
      <c r="F58" s="3" t="n">
        <v>15000</v>
      </c>
      <c r="G58" s="3"/>
      <c r="H58" s="3"/>
      <c r="I58" s="4" t="str">
        <f aca="false">IF(AND($A58&lt;&gt;"",$A58=Подбор!$C$4),MAX(I$1:I57)+1,"")</f>
        <v/>
      </c>
    </row>
    <row r="59" customFormat="false" ht="15" hidden="false" customHeight="false" outlineLevel="0" collapsed="false">
      <c r="A59" s="3" t="s">
        <v>99</v>
      </c>
      <c r="B59" s="3" t="s">
        <v>10</v>
      </c>
      <c r="C59" s="3" t="s">
        <v>11</v>
      </c>
      <c r="D59" s="3" t="s">
        <v>25</v>
      </c>
      <c r="E59" s="3" t="s">
        <v>103</v>
      </c>
      <c r="F59" s="3" t="n">
        <v>15000</v>
      </c>
      <c r="G59" s="3"/>
      <c r="H59" s="3"/>
      <c r="I59" s="4" t="str">
        <f aca="false">IF(AND($A59&lt;&gt;"",$A59=Подбор!$C$4),MAX(I$1:I58)+1,"")</f>
        <v/>
      </c>
    </row>
    <row r="60" customFormat="false" ht="15" hidden="false" customHeight="false" outlineLevel="0" collapsed="false">
      <c r="A60" s="3" t="s">
        <v>99</v>
      </c>
      <c r="B60" s="3" t="s">
        <v>10</v>
      </c>
      <c r="C60" s="3" t="s">
        <v>14</v>
      </c>
      <c r="D60" s="3" t="s">
        <v>15</v>
      </c>
      <c r="E60" s="3" t="s">
        <v>104</v>
      </c>
      <c r="F60" s="3"/>
      <c r="G60" s="3"/>
      <c r="H60" s="3"/>
      <c r="I60" s="4" t="str">
        <f aca="false">IF(AND($A60&lt;&gt;"",$A60=Подбор!$C$4),MAX(I$1:I59)+1,"")</f>
        <v/>
      </c>
    </row>
    <row r="61" customFormat="false" ht="15" hidden="false" customHeight="false" outlineLevel="0" collapsed="false">
      <c r="A61" s="3" t="s">
        <v>99</v>
      </c>
      <c r="B61" s="3" t="s">
        <v>10</v>
      </c>
      <c r="C61" s="3" t="s">
        <v>28</v>
      </c>
      <c r="D61" s="3" t="s">
        <v>15</v>
      </c>
      <c r="E61" s="3" t="s">
        <v>105</v>
      </c>
      <c r="F61" s="3"/>
      <c r="G61" s="3"/>
      <c r="H61" s="3"/>
      <c r="I61" s="4" t="str">
        <f aca="false">IF(AND($A61&lt;&gt;"",$A61=Подбор!$C$4),MAX(I$1:I60)+1,"")</f>
        <v/>
      </c>
    </row>
    <row r="62" customFormat="false" ht="15" hidden="false" customHeight="false" outlineLevel="0" collapsed="false">
      <c r="A62" s="3" t="s">
        <v>99</v>
      </c>
      <c r="B62" s="3" t="s">
        <v>10</v>
      </c>
      <c r="C62" s="3" t="s">
        <v>30</v>
      </c>
      <c r="D62" s="3" t="s">
        <v>15</v>
      </c>
      <c r="E62" s="3" t="s">
        <v>31</v>
      </c>
      <c r="F62" s="3"/>
      <c r="G62" s="3"/>
      <c r="H62" s="3"/>
      <c r="I62" s="4" t="str">
        <f aca="false">IF(AND($A62&lt;&gt;"",$A62=Подбор!$C$4),MAX(I$1:I61)+1,"")</f>
        <v/>
      </c>
    </row>
    <row r="63" customFormat="false" ht="15" hidden="false" customHeight="false" outlineLevel="0" collapsed="false">
      <c r="A63" s="3" t="s">
        <v>99</v>
      </c>
      <c r="B63" s="3" t="s">
        <v>10</v>
      </c>
      <c r="C63" s="3" t="s">
        <v>17</v>
      </c>
      <c r="D63" s="3" t="s">
        <v>15</v>
      </c>
      <c r="E63" s="3" t="s">
        <v>106</v>
      </c>
      <c r="F63" s="3"/>
      <c r="G63" s="3"/>
      <c r="H63" s="3"/>
      <c r="I63" s="4" t="str">
        <f aca="false">IF(AND($A63&lt;&gt;"",$A63=Подбор!$C$4),MAX(I$1:I62)+1,"")</f>
        <v/>
      </c>
    </row>
    <row r="64" customFormat="false" ht="15" hidden="false" customHeight="false" outlineLevel="0" collapsed="false">
      <c r="A64" s="3" t="s">
        <v>107</v>
      </c>
      <c r="B64" s="3" t="s">
        <v>57</v>
      </c>
      <c r="C64" s="3" t="s">
        <v>11</v>
      </c>
      <c r="D64" s="3" t="s">
        <v>12</v>
      </c>
      <c r="E64" s="3" t="s">
        <v>108</v>
      </c>
      <c r="F64" s="3" t="n">
        <v>24000</v>
      </c>
      <c r="G64" s="3"/>
      <c r="H64" s="3"/>
      <c r="I64" s="4" t="str">
        <f aca="false">IF(AND($A64&lt;&gt;"",$A64=Подбор!$C$4),MAX(I$1:I63)+1,"")</f>
        <v/>
      </c>
    </row>
    <row r="65" customFormat="false" ht="15" hidden="false" customHeight="false" outlineLevel="0" collapsed="false">
      <c r="A65" s="3" t="s">
        <v>109</v>
      </c>
      <c r="B65" s="3" t="s">
        <v>110</v>
      </c>
      <c r="C65" s="3" t="s">
        <v>11</v>
      </c>
      <c r="D65" s="3" t="s">
        <v>12</v>
      </c>
      <c r="E65" s="3" t="s">
        <v>111</v>
      </c>
      <c r="F65" s="3" t="n">
        <v>3000</v>
      </c>
      <c r="G65" s="3"/>
      <c r="H65" s="3"/>
      <c r="I65" s="4" t="str">
        <f aca="false">IF(AND($A65&lt;&gt;"",$A65=Подбор!$C$4),MAX(I$1:I64)+1,"")</f>
        <v/>
      </c>
    </row>
    <row r="66" customFormat="false" ht="15" hidden="false" customHeight="false" outlineLevel="0" collapsed="false">
      <c r="A66" s="3" t="s">
        <v>109</v>
      </c>
      <c r="B66" s="3" t="s">
        <v>110</v>
      </c>
      <c r="C66" s="3" t="s">
        <v>17</v>
      </c>
      <c r="D66" s="3" t="s">
        <v>15</v>
      </c>
      <c r="E66" s="3" t="s">
        <v>112</v>
      </c>
      <c r="F66" s="3"/>
      <c r="G66" s="3"/>
      <c r="H66" s="3"/>
      <c r="I66" s="4" t="str">
        <f aca="false">IF(AND($A66&lt;&gt;"",$A66=Подбор!$C$4),MAX(I$1:I65)+1,"")</f>
        <v/>
      </c>
    </row>
    <row r="67" customFormat="false" ht="15" hidden="false" customHeight="false" outlineLevel="0" collapsed="false">
      <c r="A67" s="3" t="s">
        <v>113</v>
      </c>
      <c r="B67" s="3" t="s">
        <v>57</v>
      </c>
      <c r="C67" s="3" t="s">
        <v>11</v>
      </c>
      <c r="D67" s="3" t="s">
        <v>12</v>
      </c>
      <c r="E67" s="3" t="s">
        <v>114</v>
      </c>
      <c r="F67" s="3" t="n">
        <v>3100</v>
      </c>
      <c r="G67" s="3"/>
      <c r="H67" s="3"/>
      <c r="I67" s="4" t="str">
        <f aca="false">IF(AND($A67&lt;&gt;"",$A67=Подбор!$C$4),MAX(I$1:I66)+1,"")</f>
        <v/>
      </c>
    </row>
    <row r="68" customFormat="false" ht="15" hidden="false" customHeight="false" outlineLevel="0" collapsed="false">
      <c r="A68" s="3" t="s">
        <v>113</v>
      </c>
      <c r="B68" s="3" t="s">
        <v>57</v>
      </c>
      <c r="C68" s="3" t="s">
        <v>14</v>
      </c>
      <c r="D68" s="3" t="s">
        <v>15</v>
      </c>
      <c r="E68" s="3" t="s">
        <v>59</v>
      </c>
      <c r="F68" s="3" t="n">
        <v>23000</v>
      </c>
      <c r="G68" s="3"/>
      <c r="H68" s="3"/>
      <c r="I68" s="4" t="str">
        <f aca="false">IF(AND($A68&lt;&gt;"",$A68=Подбор!$C$4),MAX(I$1:I67)+1,"")</f>
        <v/>
      </c>
    </row>
    <row r="69" customFormat="false" ht="15" hidden="false" customHeight="false" outlineLevel="0" collapsed="false">
      <c r="A69" s="3" t="s">
        <v>113</v>
      </c>
      <c r="B69" s="3" t="s">
        <v>57</v>
      </c>
      <c r="C69" s="3" t="s">
        <v>17</v>
      </c>
      <c r="D69" s="3" t="s">
        <v>15</v>
      </c>
      <c r="E69" s="3" t="s">
        <v>60</v>
      </c>
      <c r="F69" s="3"/>
      <c r="G69" s="3"/>
      <c r="H69" s="3"/>
      <c r="I69" s="4" t="str">
        <f aca="false">IF(AND($A69&lt;&gt;"",$A69=Подбор!$C$4),MAX(I$1:I68)+1,"")</f>
        <v/>
      </c>
    </row>
    <row r="70" customFormat="false" ht="15" hidden="false" customHeight="false" outlineLevel="0" collapsed="false">
      <c r="A70" s="3" t="s">
        <v>115</v>
      </c>
      <c r="B70" s="3" t="s">
        <v>57</v>
      </c>
      <c r="C70" s="3" t="s">
        <v>11</v>
      </c>
      <c r="D70" s="3" t="s">
        <v>12</v>
      </c>
      <c r="E70" s="3" t="s">
        <v>116</v>
      </c>
      <c r="F70" s="3" t="n">
        <v>10500</v>
      </c>
      <c r="G70" s="3"/>
      <c r="H70" s="3"/>
      <c r="I70" s="4" t="str">
        <f aca="false">IF(AND($A70&lt;&gt;"",$A70=Подбор!$C$4),MAX(I$1:I69)+1,"")</f>
        <v/>
      </c>
    </row>
    <row r="71" customFormat="false" ht="15" hidden="false" customHeight="false" outlineLevel="0" collapsed="false">
      <c r="A71" s="3" t="s">
        <v>117</v>
      </c>
      <c r="B71" s="3" t="s">
        <v>10</v>
      </c>
      <c r="C71" s="3" t="s">
        <v>11</v>
      </c>
      <c r="D71" s="3" t="s">
        <v>12</v>
      </c>
      <c r="E71" s="3" t="s">
        <v>118</v>
      </c>
      <c r="F71" s="3" t="n">
        <v>22000</v>
      </c>
      <c r="G71" s="3"/>
      <c r="H71" s="3"/>
      <c r="I71" s="4" t="str">
        <f aca="false">IF(AND($A71&lt;&gt;"",$A71=Подбор!$C$4),MAX(I$1:I70)+1,"")</f>
        <v/>
      </c>
    </row>
    <row r="72" customFormat="false" ht="15" hidden="false" customHeight="false" outlineLevel="0" collapsed="false">
      <c r="A72" s="3" t="s">
        <v>119</v>
      </c>
      <c r="B72" s="3" t="s">
        <v>57</v>
      </c>
      <c r="C72" s="3" t="s">
        <v>11</v>
      </c>
      <c r="D72" s="3" t="s">
        <v>12</v>
      </c>
      <c r="E72" s="3" t="s">
        <v>120</v>
      </c>
      <c r="F72" s="3" t="n">
        <v>3000</v>
      </c>
      <c r="G72" s="3"/>
      <c r="H72" s="3"/>
      <c r="I72" s="4" t="str">
        <f aca="false">IF(AND($A72&lt;&gt;"",$A72=Подбор!$C$4),MAX(I$1:I71)+1,"")</f>
        <v/>
      </c>
    </row>
    <row r="73" customFormat="false" ht="15" hidden="false" customHeight="false" outlineLevel="0" collapsed="false">
      <c r="A73" s="3" t="s">
        <v>121</v>
      </c>
      <c r="B73" s="3" t="s">
        <v>110</v>
      </c>
      <c r="C73" s="3" t="s">
        <v>11</v>
      </c>
      <c r="D73" s="3" t="s">
        <v>12</v>
      </c>
      <c r="E73" s="3" t="s">
        <v>122</v>
      </c>
      <c r="F73" s="3" t="n">
        <v>8000</v>
      </c>
      <c r="G73" s="3"/>
      <c r="H73" s="3"/>
      <c r="I73" s="4" t="str">
        <f aca="false">IF(AND($A73&lt;&gt;"",$A73=Подбор!$C$4),MAX(I$1:I72)+1,"")</f>
        <v/>
      </c>
    </row>
    <row r="74" customFormat="false" ht="15" hidden="false" customHeight="false" outlineLevel="0" collapsed="false">
      <c r="A74" s="3" t="s">
        <v>123</v>
      </c>
      <c r="B74" s="3" t="s">
        <v>57</v>
      </c>
      <c r="C74" s="3" t="s">
        <v>11</v>
      </c>
      <c r="D74" s="3" t="s">
        <v>12</v>
      </c>
      <c r="E74" s="3" t="s">
        <v>124</v>
      </c>
      <c r="F74" s="3" t="n">
        <v>20000</v>
      </c>
      <c r="G74" s="3"/>
      <c r="H74" s="3"/>
      <c r="I74" s="4" t="str">
        <f aca="false">IF(AND($A74&lt;&gt;"",$A74=Подбор!$C$4),MAX(I$1:I73)+1,"")</f>
        <v/>
      </c>
    </row>
    <row r="75" customFormat="false" ht="15" hidden="false" customHeight="false" outlineLevel="0" collapsed="false">
      <c r="A75" s="3" t="s">
        <v>125</v>
      </c>
      <c r="B75" s="3" t="s">
        <v>57</v>
      </c>
      <c r="C75" s="3" t="s">
        <v>11</v>
      </c>
      <c r="D75" s="3" t="s">
        <v>12</v>
      </c>
      <c r="E75" s="3" t="s">
        <v>89</v>
      </c>
      <c r="F75" s="3" t="n">
        <v>2000</v>
      </c>
      <c r="G75" s="3"/>
      <c r="H75" s="3"/>
      <c r="I75" s="4" t="str">
        <f aca="false">IF(AND($A75&lt;&gt;"",$A75=Подбор!$C$4),MAX(I$1:I74)+1,"")</f>
        <v/>
      </c>
    </row>
    <row r="76" customFormat="false" ht="15" hidden="false" customHeight="false" outlineLevel="0" collapsed="false">
      <c r="A76" s="3" t="s">
        <v>126</v>
      </c>
      <c r="B76" s="3" t="s">
        <v>57</v>
      </c>
      <c r="C76" s="3" t="s">
        <v>11</v>
      </c>
      <c r="D76" s="3" t="s">
        <v>12</v>
      </c>
      <c r="E76" s="3" t="s">
        <v>127</v>
      </c>
      <c r="F76" s="3" t="n">
        <v>6500</v>
      </c>
      <c r="G76" s="3"/>
      <c r="H76" s="3"/>
      <c r="I76" s="4" t="str">
        <f aca="false">IF(AND($A76&lt;&gt;"",$A76=Подбор!$C$4),MAX(I$1:I75)+1,"")</f>
        <v/>
      </c>
    </row>
    <row r="77" customFormat="false" ht="15" hidden="false" customHeight="false" outlineLevel="0" collapsed="false">
      <c r="A77" s="3" t="s">
        <v>128</v>
      </c>
      <c r="B77" s="3" t="s">
        <v>57</v>
      </c>
      <c r="C77" s="3" t="s">
        <v>11</v>
      </c>
      <c r="D77" s="3" t="s">
        <v>12</v>
      </c>
      <c r="E77" s="3" t="s">
        <v>129</v>
      </c>
      <c r="F77" s="3" t="n">
        <v>13000</v>
      </c>
      <c r="G77" s="3"/>
      <c r="H77" s="3"/>
      <c r="I77" s="4" t="str">
        <f aca="false">IF(AND($A77&lt;&gt;"",$A77=Подбор!$C$4),MAX(I$1:I76)+1,"")</f>
        <v/>
      </c>
    </row>
    <row r="78" customFormat="false" ht="15" hidden="false" customHeight="false" outlineLevel="0" collapsed="false">
      <c r="A78" s="3" t="s">
        <v>128</v>
      </c>
      <c r="B78" s="3" t="s">
        <v>57</v>
      </c>
      <c r="C78" s="3" t="s">
        <v>11</v>
      </c>
      <c r="D78" s="3" t="s">
        <v>21</v>
      </c>
      <c r="E78" s="3" t="s">
        <v>130</v>
      </c>
      <c r="F78" s="3" t="n">
        <v>12000</v>
      </c>
      <c r="G78" s="3"/>
      <c r="H78" s="3"/>
      <c r="I78" s="4" t="str">
        <f aca="false">IF(AND($A78&lt;&gt;"",$A78=Подбор!$C$4),MAX(I$1:I77)+1,"")</f>
        <v/>
      </c>
    </row>
    <row r="79" customFormat="false" ht="15" hidden="false" customHeight="false" outlineLevel="0" collapsed="false">
      <c r="A79" s="3" t="s">
        <v>128</v>
      </c>
      <c r="B79" s="3" t="s">
        <v>57</v>
      </c>
      <c r="C79" s="3" t="s">
        <v>11</v>
      </c>
      <c r="D79" s="3" t="s">
        <v>23</v>
      </c>
      <c r="E79" s="3" t="s">
        <v>131</v>
      </c>
      <c r="F79" s="3" t="n">
        <v>12000</v>
      </c>
      <c r="G79" s="3"/>
      <c r="H79" s="3"/>
      <c r="I79" s="4" t="str">
        <f aca="false">IF(AND($A79&lt;&gt;"",$A79=Подбор!$C$4),MAX(I$1:I78)+1,"")</f>
        <v/>
      </c>
    </row>
    <row r="80" customFormat="false" ht="15" hidden="false" customHeight="false" outlineLevel="0" collapsed="false">
      <c r="A80" s="3" t="s">
        <v>128</v>
      </c>
      <c r="B80" s="3" t="s">
        <v>57</v>
      </c>
      <c r="C80" s="3" t="s">
        <v>11</v>
      </c>
      <c r="D80" s="3" t="s">
        <v>25</v>
      </c>
      <c r="E80" s="3" t="s">
        <v>132</v>
      </c>
      <c r="F80" s="3" t="n">
        <v>12000</v>
      </c>
      <c r="G80" s="3"/>
      <c r="H80" s="3"/>
      <c r="I80" s="4" t="str">
        <f aca="false">IF(AND($A80&lt;&gt;"",$A80=Подбор!$C$4),MAX(I$1:I79)+1,"")</f>
        <v/>
      </c>
    </row>
    <row r="81" customFormat="false" ht="15" hidden="false" customHeight="false" outlineLevel="0" collapsed="false">
      <c r="A81" s="3" t="s">
        <v>133</v>
      </c>
      <c r="B81" s="3" t="s">
        <v>57</v>
      </c>
      <c r="C81" s="3" t="s">
        <v>11</v>
      </c>
      <c r="D81" s="3" t="s">
        <v>12</v>
      </c>
      <c r="E81" s="3" t="s">
        <v>87</v>
      </c>
      <c r="F81" s="3" t="n">
        <v>18000</v>
      </c>
      <c r="G81" s="3"/>
      <c r="H81" s="3"/>
      <c r="I81" s="4" t="str">
        <f aca="false">IF(AND($A81&lt;&gt;"",$A81=Подбор!$C$4),MAX(I$1:I80)+1,"")</f>
        <v/>
      </c>
    </row>
    <row r="82" customFormat="false" ht="15" hidden="false" customHeight="false" outlineLevel="0" collapsed="false">
      <c r="A82" s="3" t="s">
        <v>134</v>
      </c>
      <c r="B82" s="3" t="s">
        <v>57</v>
      </c>
      <c r="C82" s="3" t="s">
        <v>11</v>
      </c>
      <c r="D82" s="3" t="s">
        <v>12</v>
      </c>
      <c r="E82" s="3" t="s">
        <v>89</v>
      </c>
      <c r="F82" s="3" t="n">
        <v>2000</v>
      </c>
      <c r="G82" s="3"/>
      <c r="H82" s="3"/>
      <c r="I82" s="4" t="str">
        <f aca="false">IF(AND($A82&lt;&gt;"",$A82=Подбор!$C$4),MAX(I$1:I81)+1,"")</f>
        <v/>
      </c>
    </row>
    <row r="83" customFormat="false" ht="15" hidden="false" customHeight="false" outlineLevel="0" collapsed="false">
      <c r="A83" s="3" t="s">
        <v>135</v>
      </c>
      <c r="B83" s="3" t="s">
        <v>57</v>
      </c>
      <c r="C83" s="3" t="s">
        <v>11</v>
      </c>
      <c r="D83" s="3" t="s">
        <v>12</v>
      </c>
      <c r="E83" s="3" t="s">
        <v>136</v>
      </c>
      <c r="F83" s="3" t="n">
        <v>20000</v>
      </c>
      <c r="G83" s="3"/>
      <c r="H83" s="3"/>
      <c r="I83" s="4" t="str">
        <f aca="false">IF(AND($A83&lt;&gt;"",$A83=Подбор!$C$4),MAX(I$1:I82)+1,"")</f>
        <v/>
      </c>
    </row>
    <row r="84" customFormat="false" ht="15" hidden="false" customHeight="false" outlineLevel="0" collapsed="false">
      <c r="A84" s="3" t="s">
        <v>137</v>
      </c>
      <c r="B84" s="3" t="s">
        <v>57</v>
      </c>
      <c r="C84" s="3" t="s">
        <v>11</v>
      </c>
      <c r="D84" s="3" t="s">
        <v>12</v>
      </c>
      <c r="E84" s="3" t="s">
        <v>138</v>
      </c>
      <c r="F84" s="3" t="n">
        <v>3500</v>
      </c>
      <c r="G84" s="3"/>
      <c r="H84" s="3"/>
      <c r="I84" s="4" t="str">
        <f aca="false">IF(AND($A84&lt;&gt;"",$A84=Подбор!$C$4),MAX(I$1:I83)+1,"")</f>
        <v/>
      </c>
    </row>
    <row r="85" customFormat="false" ht="15" hidden="false" customHeight="false" outlineLevel="0" collapsed="false">
      <c r="A85" s="3" t="s">
        <v>137</v>
      </c>
      <c r="B85" s="3" t="s">
        <v>57</v>
      </c>
      <c r="C85" s="3" t="s">
        <v>11</v>
      </c>
      <c r="D85" s="3" t="s">
        <v>21</v>
      </c>
      <c r="E85" s="3" t="s">
        <v>139</v>
      </c>
      <c r="F85" s="3" t="n">
        <v>2800</v>
      </c>
      <c r="G85" s="3"/>
      <c r="H85" s="3"/>
      <c r="I85" s="4" t="str">
        <f aca="false">IF(AND($A85&lt;&gt;"",$A85=Подбор!$C$4),MAX(I$1:I84)+1,"")</f>
        <v/>
      </c>
    </row>
    <row r="86" customFormat="false" ht="15" hidden="false" customHeight="false" outlineLevel="0" collapsed="false">
      <c r="A86" s="3" t="s">
        <v>137</v>
      </c>
      <c r="B86" s="3" t="s">
        <v>57</v>
      </c>
      <c r="C86" s="3" t="s">
        <v>11</v>
      </c>
      <c r="D86" s="3" t="s">
        <v>23</v>
      </c>
      <c r="E86" s="3" t="s">
        <v>140</v>
      </c>
      <c r="F86" s="3" t="n">
        <v>2800</v>
      </c>
      <c r="G86" s="3"/>
      <c r="H86" s="3"/>
      <c r="I86" s="4" t="str">
        <f aca="false">IF(AND($A86&lt;&gt;"",$A86=Подбор!$C$4),MAX(I$1:I85)+1,"")</f>
        <v/>
      </c>
    </row>
    <row r="87" customFormat="false" ht="15" hidden="false" customHeight="false" outlineLevel="0" collapsed="false">
      <c r="A87" s="3" t="s">
        <v>137</v>
      </c>
      <c r="B87" s="3" t="s">
        <v>57</v>
      </c>
      <c r="C87" s="3" t="s">
        <v>11</v>
      </c>
      <c r="D87" s="3" t="s">
        <v>25</v>
      </c>
      <c r="E87" s="3" t="s">
        <v>141</v>
      </c>
      <c r="F87" s="3" t="n">
        <v>2800</v>
      </c>
      <c r="G87" s="3"/>
      <c r="H87" s="3"/>
      <c r="I87" s="4" t="str">
        <f aca="false">IF(AND($A87&lt;&gt;"",$A87=Подбор!$C$4),MAX(I$1:I86)+1,"")</f>
        <v/>
      </c>
    </row>
    <row r="88" customFormat="false" ht="15" hidden="false" customHeight="false" outlineLevel="0" collapsed="false">
      <c r="A88" s="3" t="s">
        <v>142</v>
      </c>
      <c r="B88" s="3" t="s">
        <v>57</v>
      </c>
      <c r="C88" s="3" t="s">
        <v>11</v>
      </c>
      <c r="D88" s="3" t="s">
        <v>12</v>
      </c>
      <c r="E88" s="3" t="s">
        <v>89</v>
      </c>
      <c r="F88" s="3" t="n">
        <v>2000</v>
      </c>
      <c r="G88" s="3"/>
      <c r="H88" s="3"/>
      <c r="I88" s="4" t="str">
        <f aca="false">IF(AND($A88&lt;&gt;"",$A88=Подбор!$C$4),MAX(I$1:I87)+1,"")</f>
        <v/>
      </c>
    </row>
    <row r="89" customFormat="false" ht="15" hidden="false" customHeight="false" outlineLevel="0" collapsed="false">
      <c r="A89" s="3" t="s">
        <v>143</v>
      </c>
      <c r="B89" s="3" t="s">
        <v>10</v>
      </c>
      <c r="C89" s="3" t="s">
        <v>11</v>
      </c>
      <c r="D89" s="3" t="s">
        <v>12</v>
      </c>
      <c r="E89" s="3" t="s">
        <v>144</v>
      </c>
      <c r="F89" s="3" t="n">
        <v>5000</v>
      </c>
      <c r="G89" s="3"/>
      <c r="H89" s="3"/>
      <c r="I89" s="4" t="str">
        <f aca="false">IF(AND($A89&lt;&gt;"",$A89=Подбор!$C$4),MAX(I$1:I88)+1,"")</f>
        <v/>
      </c>
    </row>
    <row r="90" customFormat="false" ht="15" hidden="false" customHeight="false" outlineLevel="0" collapsed="false">
      <c r="A90" s="3" t="s">
        <v>145</v>
      </c>
      <c r="B90" s="3" t="s">
        <v>10</v>
      </c>
      <c r="C90" s="3" t="s">
        <v>11</v>
      </c>
      <c r="D90" s="3" t="s">
        <v>12</v>
      </c>
      <c r="E90" s="3" t="s">
        <v>146</v>
      </c>
      <c r="F90" s="3" t="n">
        <v>30000</v>
      </c>
      <c r="G90" s="3"/>
      <c r="H90" s="3"/>
      <c r="I90" s="4" t="str">
        <f aca="false">IF(AND($A90&lt;&gt;"",$A90=Подбор!$C$4),MAX(I$1:I89)+1,"")</f>
        <v/>
      </c>
    </row>
    <row r="91" customFormat="false" ht="15" hidden="false" customHeight="false" outlineLevel="0" collapsed="false">
      <c r="A91" s="3" t="s">
        <v>145</v>
      </c>
      <c r="B91" s="3" t="s">
        <v>10</v>
      </c>
      <c r="C91" s="3" t="s">
        <v>14</v>
      </c>
      <c r="D91" s="3" t="s">
        <v>15</v>
      </c>
      <c r="E91" s="3" t="s">
        <v>147</v>
      </c>
      <c r="F91" s="3"/>
      <c r="G91" s="3"/>
      <c r="H91" s="3"/>
      <c r="I91" s="4" t="str">
        <f aca="false">IF(AND($A91&lt;&gt;"",$A91=Подбор!$C$4),MAX(I$1:I90)+1,"")</f>
        <v/>
      </c>
    </row>
    <row r="92" customFormat="false" ht="15" hidden="false" customHeight="false" outlineLevel="0" collapsed="false">
      <c r="A92" s="3" t="s">
        <v>148</v>
      </c>
      <c r="B92" s="3" t="s">
        <v>68</v>
      </c>
      <c r="C92" s="3" t="s">
        <v>11</v>
      </c>
      <c r="D92" s="3" t="s">
        <v>12</v>
      </c>
      <c r="E92" s="3" t="s">
        <v>149</v>
      </c>
      <c r="F92" s="3" t="n">
        <v>15000</v>
      </c>
      <c r="G92" s="3"/>
      <c r="H92" s="3"/>
      <c r="I92" s="4" t="str">
        <f aca="false">IF(AND($A92&lt;&gt;"",$A92=Подбор!$C$4),MAX(I$1:I91)+1,"")</f>
        <v/>
      </c>
    </row>
    <row r="93" customFormat="false" ht="15" hidden="false" customHeight="false" outlineLevel="0" collapsed="false">
      <c r="A93" s="3" t="s">
        <v>148</v>
      </c>
      <c r="B93" s="3" t="s">
        <v>68</v>
      </c>
      <c r="C93" s="3" t="s">
        <v>28</v>
      </c>
      <c r="D93" s="3" t="s">
        <v>15</v>
      </c>
      <c r="E93" s="3" t="s">
        <v>150</v>
      </c>
      <c r="F93" s="3"/>
      <c r="G93" s="3"/>
      <c r="H93" s="3"/>
      <c r="I93" s="4" t="str">
        <f aca="false">IF(AND($A93&lt;&gt;"",$A93=Подбор!$C$4),MAX(I$1:I92)+1,"")</f>
        <v/>
      </c>
    </row>
    <row r="94" customFormat="false" ht="15" hidden="false" customHeight="false" outlineLevel="0" collapsed="false">
      <c r="A94" s="3" t="s">
        <v>151</v>
      </c>
      <c r="B94" s="3" t="s">
        <v>10</v>
      </c>
      <c r="C94" s="3" t="s">
        <v>11</v>
      </c>
      <c r="D94" s="3" t="s">
        <v>12</v>
      </c>
      <c r="E94" s="3" t="s">
        <v>152</v>
      </c>
      <c r="F94" s="3" t="n">
        <v>4100</v>
      </c>
      <c r="G94" s="3"/>
      <c r="H94" s="3"/>
      <c r="I94" s="4" t="str">
        <f aca="false">IF(AND($A94&lt;&gt;"",$A94=Подбор!$C$4),MAX(I$1:I93)+1,"")</f>
        <v/>
      </c>
    </row>
    <row r="95" customFormat="false" ht="15" hidden="false" customHeight="false" outlineLevel="0" collapsed="false">
      <c r="A95" s="3" t="s">
        <v>153</v>
      </c>
      <c r="B95" s="3" t="s">
        <v>57</v>
      </c>
      <c r="C95" s="3" t="s">
        <v>11</v>
      </c>
      <c r="D95" s="3" t="s">
        <v>12</v>
      </c>
      <c r="E95" s="3" t="s">
        <v>154</v>
      </c>
      <c r="F95" s="3" t="n">
        <v>15000</v>
      </c>
      <c r="G95" s="3"/>
      <c r="H95" s="3"/>
      <c r="I95" s="4" t="str">
        <f aca="false">IF(AND($A95&lt;&gt;"",$A95=Подбор!$C$4),MAX(I$1:I94)+1,"")</f>
        <v/>
      </c>
    </row>
    <row r="96" customFormat="false" ht="15" hidden="false" customHeight="false" outlineLevel="0" collapsed="false">
      <c r="A96" s="3" t="s">
        <v>155</v>
      </c>
      <c r="B96" s="3" t="s">
        <v>156</v>
      </c>
      <c r="C96" s="3" t="s">
        <v>11</v>
      </c>
      <c r="D96" s="3" t="s">
        <v>12</v>
      </c>
      <c r="E96" s="3" t="s">
        <v>157</v>
      </c>
      <c r="F96" s="3" t="n">
        <v>2000</v>
      </c>
      <c r="G96" s="3"/>
      <c r="H96" s="3"/>
      <c r="I96" s="4" t="str">
        <f aca="false">IF(AND($A96&lt;&gt;"",$A96=Подбор!$C$4),MAX(I$1:I95)+1,"")</f>
        <v/>
      </c>
    </row>
    <row r="97" customFormat="false" ht="15" hidden="false" customHeight="false" outlineLevel="0" collapsed="false">
      <c r="A97" s="3" t="s">
        <v>155</v>
      </c>
      <c r="B97" s="3" t="s">
        <v>156</v>
      </c>
      <c r="C97" s="3" t="s">
        <v>14</v>
      </c>
      <c r="D97" s="3" t="s">
        <v>15</v>
      </c>
      <c r="E97" s="3" t="s">
        <v>158</v>
      </c>
      <c r="F97" s="3"/>
      <c r="G97" s="3"/>
      <c r="H97" s="3"/>
      <c r="I97" s="4" t="str">
        <f aca="false">IF(AND($A97&lt;&gt;"",$A97=Подбор!$C$4),MAX(I$1:I96)+1,"")</f>
        <v/>
      </c>
    </row>
    <row r="98" customFormat="false" ht="15" hidden="false" customHeight="false" outlineLevel="0" collapsed="false">
      <c r="A98" s="3" t="s">
        <v>159</v>
      </c>
      <c r="B98" s="3" t="s">
        <v>84</v>
      </c>
      <c r="C98" s="3" t="s">
        <v>11</v>
      </c>
      <c r="D98" s="3" t="s">
        <v>12</v>
      </c>
      <c r="E98" s="3" t="s">
        <v>160</v>
      </c>
      <c r="F98" s="3" t="n">
        <v>3400</v>
      </c>
      <c r="G98" s="3"/>
      <c r="H98" s="3"/>
      <c r="I98" s="4" t="str">
        <f aca="false">IF(AND($A98&lt;&gt;"",$A98=Подбор!$C$4),MAX(I$1:I97)+1,"")</f>
        <v/>
      </c>
    </row>
    <row r="99" customFormat="false" ht="15" hidden="false" customHeight="false" outlineLevel="0" collapsed="false">
      <c r="A99" s="3" t="s">
        <v>159</v>
      </c>
      <c r="B99" s="3" t="s">
        <v>84</v>
      </c>
      <c r="C99" s="3" t="s">
        <v>11</v>
      </c>
      <c r="D99" s="3" t="s">
        <v>21</v>
      </c>
      <c r="E99" s="3" t="s">
        <v>161</v>
      </c>
      <c r="F99" s="3" t="n">
        <v>2900</v>
      </c>
      <c r="G99" s="3"/>
      <c r="H99" s="3"/>
      <c r="I99" s="4" t="str">
        <f aca="false">IF(AND($A99&lt;&gt;"",$A99=Подбор!$C$4),MAX(I$1:I98)+1,"")</f>
        <v/>
      </c>
    </row>
    <row r="100" customFormat="false" ht="15" hidden="false" customHeight="false" outlineLevel="0" collapsed="false">
      <c r="A100" s="3" t="s">
        <v>159</v>
      </c>
      <c r="B100" s="3" t="s">
        <v>84</v>
      </c>
      <c r="C100" s="3" t="s">
        <v>11</v>
      </c>
      <c r="D100" s="3" t="s">
        <v>23</v>
      </c>
      <c r="E100" s="3" t="s">
        <v>162</v>
      </c>
      <c r="F100" s="3" t="n">
        <v>2900</v>
      </c>
      <c r="G100" s="3"/>
      <c r="H100" s="3"/>
      <c r="I100" s="4" t="str">
        <f aca="false">IF(AND($A100&lt;&gt;"",$A100=Подбор!$C$4),MAX(I$1:I99)+1,"")</f>
        <v/>
      </c>
    </row>
    <row r="101" customFormat="false" ht="15" hidden="false" customHeight="false" outlineLevel="0" collapsed="false">
      <c r="A101" s="3" t="s">
        <v>159</v>
      </c>
      <c r="B101" s="3" t="s">
        <v>84</v>
      </c>
      <c r="C101" s="3" t="s">
        <v>11</v>
      </c>
      <c r="D101" s="3" t="s">
        <v>25</v>
      </c>
      <c r="E101" s="3" t="s">
        <v>163</v>
      </c>
      <c r="F101" s="3" t="n">
        <v>2900</v>
      </c>
      <c r="G101" s="3"/>
      <c r="H101" s="3"/>
      <c r="I101" s="4" t="str">
        <f aca="false">IF(AND($A101&lt;&gt;"",$A101=Подбор!$C$4),MAX(I$1:I100)+1,"")</f>
        <v/>
      </c>
    </row>
    <row r="102" customFormat="false" ht="15" hidden="false" customHeight="false" outlineLevel="0" collapsed="false">
      <c r="A102" s="3" t="s">
        <v>164</v>
      </c>
      <c r="B102" s="3" t="s">
        <v>68</v>
      </c>
      <c r="C102" s="3" t="s">
        <v>11</v>
      </c>
      <c r="D102" s="3" t="s">
        <v>12</v>
      </c>
      <c r="E102" s="3" t="s">
        <v>165</v>
      </c>
      <c r="F102" s="3" t="n">
        <v>25000</v>
      </c>
      <c r="G102" s="3"/>
      <c r="H102" s="3"/>
      <c r="I102" s="4" t="str">
        <f aca="false">IF(AND($A102&lt;&gt;"",$A102=Подбор!$C$4),MAX(I$1:I101)+1,"")</f>
        <v/>
      </c>
    </row>
    <row r="103" customFormat="false" ht="15" hidden="false" customHeight="false" outlineLevel="0" collapsed="false">
      <c r="A103" s="3" t="s">
        <v>164</v>
      </c>
      <c r="B103" s="3" t="s">
        <v>68</v>
      </c>
      <c r="C103" s="3" t="s">
        <v>14</v>
      </c>
      <c r="D103" s="3" t="s">
        <v>15</v>
      </c>
      <c r="E103" s="3" t="s">
        <v>166</v>
      </c>
      <c r="F103" s="3"/>
      <c r="G103" s="3"/>
      <c r="H103" s="3"/>
      <c r="I103" s="4" t="str">
        <f aca="false">IF(AND($A103&lt;&gt;"",$A103=Подбор!$C$4),MAX(I$1:I102)+1,"")</f>
        <v/>
      </c>
    </row>
    <row r="104" customFormat="false" ht="15" hidden="false" customHeight="false" outlineLevel="0" collapsed="false">
      <c r="A104" s="3" t="s">
        <v>164</v>
      </c>
      <c r="B104" s="3" t="s">
        <v>68</v>
      </c>
      <c r="C104" s="3" t="s">
        <v>28</v>
      </c>
      <c r="D104" s="3" t="s">
        <v>15</v>
      </c>
      <c r="E104" s="3" t="s">
        <v>167</v>
      </c>
      <c r="F104" s="3"/>
      <c r="G104" s="3"/>
      <c r="H104" s="3"/>
      <c r="I104" s="4" t="str">
        <f aca="false">IF(AND($A104&lt;&gt;"",$A104=Подбор!$C$4),MAX(I$1:I103)+1,"")</f>
        <v/>
      </c>
    </row>
    <row r="105" customFormat="false" ht="15" hidden="false" customHeight="false" outlineLevel="0" collapsed="false">
      <c r="A105" s="3" t="s">
        <v>164</v>
      </c>
      <c r="B105" s="3" t="s">
        <v>68</v>
      </c>
      <c r="C105" s="3" t="s">
        <v>17</v>
      </c>
      <c r="D105" s="3" t="s">
        <v>15</v>
      </c>
      <c r="E105" s="3" t="s">
        <v>168</v>
      </c>
      <c r="F105" s="3"/>
      <c r="G105" s="3"/>
      <c r="H105" s="3"/>
      <c r="I105" s="4" t="str">
        <f aca="false">IF(AND($A105&lt;&gt;"",$A105=Подбор!$C$4),MAX(I$1:I104)+1,"")</f>
        <v/>
      </c>
    </row>
    <row r="106" customFormat="false" ht="15" hidden="false" customHeight="false" outlineLevel="0" collapsed="false">
      <c r="A106" s="3" t="s">
        <v>169</v>
      </c>
      <c r="B106" s="3" t="s">
        <v>10</v>
      </c>
      <c r="C106" s="3" t="s">
        <v>11</v>
      </c>
      <c r="D106" s="3" t="s">
        <v>12</v>
      </c>
      <c r="E106" s="3" t="s">
        <v>118</v>
      </c>
      <c r="F106" s="3" t="n">
        <v>22000</v>
      </c>
      <c r="G106" s="3"/>
      <c r="H106" s="3"/>
      <c r="I106" s="4" t="str">
        <f aca="false">IF(AND($A106&lt;&gt;"",$A106=Подбор!$C$4),MAX(I$1:I105)+1,"")</f>
        <v/>
      </c>
    </row>
    <row r="107" customFormat="false" ht="15" hidden="false" customHeight="false" outlineLevel="0" collapsed="false">
      <c r="A107" s="3" t="s">
        <v>170</v>
      </c>
      <c r="B107" s="3" t="s">
        <v>68</v>
      </c>
      <c r="C107" s="3" t="s">
        <v>11</v>
      </c>
      <c r="D107" s="3" t="s">
        <v>12</v>
      </c>
      <c r="E107" s="3" t="s">
        <v>171</v>
      </c>
      <c r="F107" s="3" t="n">
        <v>3000</v>
      </c>
      <c r="G107" s="3"/>
      <c r="H107" s="3"/>
      <c r="I107" s="4" t="str">
        <f aca="false">IF(AND($A107&lt;&gt;"",$A107=Подбор!$C$4),MAX(I$1:I106)+1,"")</f>
        <v/>
      </c>
    </row>
    <row r="108" customFormat="false" ht="15" hidden="false" customHeight="false" outlineLevel="0" collapsed="false">
      <c r="A108" s="3" t="s">
        <v>172</v>
      </c>
      <c r="B108" s="3" t="s">
        <v>57</v>
      </c>
      <c r="C108" s="3" t="s">
        <v>11</v>
      </c>
      <c r="D108" s="3" t="s">
        <v>12</v>
      </c>
      <c r="E108" s="3" t="s">
        <v>173</v>
      </c>
      <c r="F108" s="3" t="n">
        <v>2500</v>
      </c>
      <c r="G108" s="3"/>
      <c r="H108" s="3"/>
      <c r="I108" s="4" t="str">
        <f aca="false">IF(AND($A108&lt;&gt;"",$A108=Подбор!$C$4),MAX(I$1:I107)+1,"")</f>
        <v/>
      </c>
    </row>
    <row r="109" customFormat="false" ht="15" hidden="false" customHeight="false" outlineLevel="0" collapsed="false">
      <c r="A109" s="3" t="s">
        <v>174</v>
      </c>
      <c r="B109" s="3" t="s">
        <v>57</v>
      </c>
      <c r="C109" s="3" t="s">
        <v>11</v>
      </c>
      <c r="D109" s="3" t="s">
        <v>12</v>
      </c>
      <c r="E109" s="3" t="s">
        <v>173</v>
      </c>
      <c r="F109" s="3" t="n">
        <v>2500</v>
      </c>
      <c r="G109" s="3"/>
      <c r="H109" s="3"/>
      <c r="I109" s="4" t="str">
        <f aca="false">IF(AND($A109&lt;&gt;"",$A109=Подбор!$C$4),MAX(I$1:I108)+1,"")</f>
        <v/>
      </c>
    </row>
    <row r="110" customFormat="false" ht="15" hidden="false" customHeight="false" outlineLevel="0" collapsed="false">
      <c r="A110" s="3" t="s">
        <v>175</v>
      </c>
      <c r="B110" s="3" t="s">
        <v>57</v>
      </c>
      <c r="C110" s="3" t="s">
        <v>11</v>
      </c>
      <c r="D110" s="3" t="s">
        <v>12</v>
      </c>
      <c r="E110" s="3" t="s">
        <v>89</v>
      </c>
      <c r="F110" s="3" t="n">
        <v>2000</v>
      </c>
      <c r="G110" s="3"/>
      <c r="H110" s="3"/>
      <c r="I110" s="4" t="str">
        <f aca="false">IF(AND($A110&lt;&gt;"",$A110=Подбор!$C$4),MAX(I$1:I109)+1,"")</f>
        <v/>
      </c>
    </row>
    <row r="111" customFormat="false" ht="15" hidden="false" customHeight="false" outlineLevel="0" collapsed="false">
      <c r="A111" s="3" t="s">
        <v>176</v>
      </c>
      <c r="B111" s="3" t="s">
        <v>57</v>
      </c>
      <c r="C111" s="3" t="s">
        <v>11</v>
      </c>
      <c r="D111" s="3" t="s">
        <v>12</v>
      </c>
      <c r="E111" s="3" t="s">
        <v>177</v>
      </c>
      <c r="F111" s="3" t="n">
        <v>2500</v>
      </c>
      <c r="G111" s="3"/>
      <c r="H111" s="3"/>
      <c r="I111" s="4" t="str">
        <f aca="false">IF(AND($A111&lt;&gt;"",$A111=Подбор!$C$4),MAX(I$1:I110)+1,"")</f>
        <v/>
      </c>
    </row>
    <row r="112" customFormat="false" ht="15" hidden="false" customHeight="false" outlineLevel="0" collapsed="false">
      <c r="A112" s="3" t="s">
        <v>176</v>
      </c>
      <c r="B112" s="3" t="s">
        <v>57</v>
      </c>
      <c r="C112" s="3" t="s">
        <v>11</v>
      </c>
      <c r="D112" s="3" t="s">
        <v>21</v>
      </c>
      <c r="E112" s="3" t="s">
        <v>178</v>
      </c>
      <c r="F112" s="3" t="n">
        <v>2000</v>
      </c>
      <c r="G112" s="3"/>
      <c r="H112" s="3"/>
      <c r="I112" s="4" t="str">
        <f aca="false">IF(AND($A112&lt;&gt;"",$A112=Подбор!$C$4),MAX(I$1:I111)+1,"")</f>
        <v/>
      </c>
    </row>
    <row r="113" customFormat="false" ht="15" hidden="false" customHeight="false" outlineLevel="0" collapsed="false">
      <c r="A113" s="3" t="s">
        <v>176</v>
      </c>
      <c r="B113" s="3" t="s">
        <v>57</v>
      </c>
      <c r="C113" s="3" t="s">
        <v>11</v>
      </c>
      <c r="D113" s="3" t="s">
        <v>23</v>
      </c>
      <c r="E113" s="3" t="s">
        <v>179</v>
      </c>
      <c r="F113" s="3" t="n">
        <v>2000</v>
      </c>
      <c r="G113" s="3"/>
      <c r="H113" s="3"/>
      <c r="I113" s="4" t="str">
        <f aca="false">IF(AND($A113&lt;&gt;"",$A113=Подбор!$C$4),MAX(I$1:I112)+1,"")</f>
        <v/>
      </c>
    </row>
    <row r="114" customFormat="false" ht="15" hidden="false" customHeight="false" outlineLevel="0" collapsed="false">
      <c r="A114" s="3" t="s">
        <v>176</v>
      </c>
      <c r="B114" s="3" t="s">
        <v>57</v>
      </c>
      <c r="C114" s="3" t="s">
        <v>11</v>
      </c>
      <c r="D114" s="3" t="s">
        <v>25</v>
      </c>
      <c r="E114" s="3" t="s">
        <v>180</v>
      </c>
      <c r="F114" s="3" t="n">
        <v>2000</v>
      </c>
      <c r="G114" s="3"/>
      <c r="H114" s="3"/>
      <c r="I114" s="4" t="str">
        <f aca="false">IF(AND($A114&lt;&gt;"",$A114=Подбор!$C$4),MAX(I$1:I113)+1,"")</f>
        <v/>
      </c>
    </row>
    <row r="115" customFormat="false" ht="15" hidden="false" customHeight="false" outlineLevel="0" collapsed="false">
      <c r="A115" s="3" t="s">
        <v>181</v>
      </c>
      <c r="B115" s="3" t="s">
        <v>57</v>
      </c>
      <c r="C115" s="3" t="s">
        <v>11</v>
      </c>
      <c r="D115" s="3" t="s">
        <v>12</v>
      </c>
      <c r="E115" s="3" t="s">
        <v>182</v>
      </c>
      <c r="F115" s="3" t="n">
        <v>2000</v>
      </c>
      <c r="G115" s="3"/>
      <c r="H115" s="3"/>
      <c r="I115" s="4" t="str">
        <f aca="false">IF(AND($A115&lt;&gt;"",$A115=Подбор!$C$4),MAX(I$1:I114)+1,"")</f>
        <v/>
      </c>
    </row>
    <row r="116" customFormat="false" ht="15" hidden="false" customHeight="false" outlineLevel="0" collapsed="false">
      <c r="A116" s="3" t="s">
        <v>183</v>
      </c>
      <c r="B116" s="3" t="s">
        <v>57</v>
      </c>
      <c r="C116" s="3" t="s">
        <v>11</v>
      </c>
      <c r="D116" s="3" t="s">
        <v>12</v>
      </c>
      <c r="E116" s="3" t="s">
        <v>184</v>
      </c>
      <c r="F116" s="3" t="n">
        <v>13500</v>
      </c>
      <c r="G116" s="3"/>
      <c r="H116" s="3"/>
      <c r="I116" s="4" t="str">
        <f aca="false">IF(AND($A116&lt;&gt;"",$A116=Подбор!$C$4),MAX(I$1:I115)+1,"")</f>
        <v/>
      </c>
    </row>
    <row r="117" customFormat="false" ht="15" hidden="false" customHeight="false" outlineLevel="0" collapsed="false">
      <c r="A117" s="3" t="s">
        <v>183</v>
      </c>
      <c r="B117" s="3" t="s">
        <v>57</v>
      </c>
      <c r="C117" s="3" t="s">
        <v>11</v>
      </c>
      <c r="D117" s="3" t="s">
        <v>21</v>
      </c>
      <c r="E117" s="3" t="s">
        <v>185</v>
      </c>
      <c r="F117" s="3" t="n">
        <v>16000</v>
      </c>
      <c r="G117" s="3"/>
      <c r="H117" s="3"/>
      <c r="I117" s="4" t="str">
        <f aca="false">IF(AND($A117&lt;&gt;"",$A117=Подбор!$C$4),MAX(I$1:I116)+1,"")</f>
        <v/>
      </c>
    </row>
    <row r="118" customFormat="false" ht="15" hidden="false" customHeight="false" outlineLevel="0" collapsed="false">
      <c r="A118" s="3" t="s">
        <v>183</v>
      </c>
      <c r="B118" s="3" t="s">
        <v>57</v>
      </c>
      <c r="C118" s="3" t="s">
        <v>11</v>
      </c>
      <c r="D118" s="3" t="s">
        <v>23</v>
      </c>
      <c r="E118" s="3" t="s">
        <v>186</v>
      </c>
      <c r="F118" s="3" t="n">
        <v>16000</v>
      </c>
      <c r="G118" s="3"/>
      <c r="H118" s="3"/>
      <c r="I118" s="4" t="str">
        <f aca="false">IF(AND($A118&lt;&gt;"",$A118=Подбор!$C$4),MAX(I$1:I117)+1,"")</f>
        <v/>
      </c>
    </row>
    <row r="119" customFormat="false" ht="15" hidden="false" customHeight="false" outlineLevel="0" collapsed="false">
      <c r="A119" s="3" t="s">
        <v>183</v>
      </c>
      <c r="B119" s="3" t="s">
        <v>57</v>
      </c>
      <c r="C119" s="3" t="s">
        <v>11</v>
      </c>
      <c r="D119" s="3" t="s">
        <v>25</v>
      </c>
      <c r="E119" s="3" t="s">
        <v>187</v>
      </c>
      <c r="F119" s="3" t="n">
        <v>16000</v>
      </c>
      <c r="G119" s="3"/>
      <c r="H119" s="3"/>
      <c r="I119" s="4" t="str">
        <f aca="false">IF(AND($A119&lt;&gt;"",$A119=Подбор!$C$4),MAX(I$1:I118)+1,"")</f>
        <v/>
      </c>
    </row>
    <row r="120" customFormat="false" ht="15" hidden="false" customHeight="false" outlineLevel="0" collapsed="false">
      <c r="A120" s="3" t="s">
        <v>183</v>
      </c>
      <c r="B120" s="3" t="s">
        <v>57</v>
      </c>
      <c r="C120" s="3" t="s">
        <v>17</v>
      </c>
      <c r="D120" s="3" t="s">
        <v>15</v>
      </c>
      <c r="E120" s="3" t="s">
        <v>188</v>
      </c>
      <c r="F120" s="3"/>
      <c r="G120" s="3"/>
      <c r="H120" s="3"/>
      <c r="I120" s="4" t="str">
        <f aca="false">IF(AND($A120&lt;&gt;"",$A120=Подбор!$C$4),MAX(I$1:I119)+1,"")</f>
        <v/>
      </c>
    </row>
    <row r="121" customFormat="false" ht="15" hidden="false" customHeight="false" outlineLevel="0" collapsed="false">
      <c r="A121" s="3" t="s">
        <v>189</v>
      </c>
      <c r="B121" s="3" t="s">
        <v>10</v>
      </c>
      <c r="C121" s="3" t="s">
        <v>11</v>
      </c>
      <c r="D121" s="3" t="s">
        <v>12</v>
      </c>
      <c r="E121" s="3" t="s">
        <v>190</v>
      </c>
      <c r="F121" s="3" t="n">
        <v>9000</v>
      </c>
      <c r="G121" s="3"/>
      <c r="H121" s="3"/>
      <c r="I121" s="4" t="str">
        <f aca="false">IF(AND($A121&lt;&gt;"",$A121=Подбор!$C$4),MAX(I$1:I120)+1,"")</f>
        <v/>
      </c>
    </row>
    <row r="122" customFormat="false" ht="15" hidden="false" customHeight="false" outlineLevel="0" collapsed="false">
      <c r="A122" s="3" t="s">
        <v>191</v>
      </c>
      <c r="B122" s="3" t="s">
        <v>110</v>
      </c>
      <c r="C122" s="3" t="s">
        <v>11</v>
      </c>
      <c r="D122" s="3" t="s">
        <v>12</v>
      </c>
      <c r="E122" s="3" t="s">
        <v>192</v>
      </c>
      <c r="F122" s="3" t="n">
        <v>1000</v>
      </c>
      <c r="G122" s="3"/>
      <c r="H122" s="3"/>
      <c r="I122" s="4" t="str">
        <f aca="false">IF(AND($A122&lt;&gt;"",$A122=Подбор!$C$4),MAX(I$1:I121)+1,"")</f>
        <v/>
      </c>
    </row>
    <row r="123" customFormat="false" ht="15" hidden="false" customHeight="false" outlineLevel="0" collapsed="false">
      <c r="A123" s="3" t="s">
        <v>193</v>
      </c>
      <c r="B123" s="3" t="s">
        <v>68</v>
      </c>
      <c r="C123" s="3" t="s">
        <v>11</v>
      </c>
      <c r="D123" s="3" t="s">
        <v>12</v>
      </c>
      <c r="E123" s="3" t="s">
        <v>194</v>
      </c>
      <c r="F123" s="3" t="n">
        <v>15000</v>
      </c>
      <c r="G123" s="3"/>
      <c r="H123" s="3"/>
      <c r="I123" s="4" t="str">
        <f aca="false">IF(AND($A123&lt;&gt;"",$A123=Подбор!$C$4),MAX(I$1:I122)+1,"")</f>
        <v/>
      </c>
    </row>
    <row r="124" customFormat="false" ht="15" hidden="false" customHeight="false" outlineLevel="0" collapsed="false">
      <c r="A124" s="3" t="s">
        <v>193</v>
      </c>
      <c r="B124" s="3" t="s">
        <v>68</v>
      </c>
      <c r="C124" s="3" t="s">
        <v>14</v>
      </c>
      <c r="D124" s="3" t="s">
        <v>15</v>
      </c>
      <c r="E124" s="3" t="s">
        <v>195</v>
      </c>
      <c r="F124" s="3"/>
      <c r="G124" s="3"/>
      <c r="H124" s="3"/>
      <c r="I124" s="4" t="str">
        <f aca="false">IF(AND($A124&lt;&gt;"",$A124=Подбор!$C$4),MAX(I$1:I123)+1,"")</f>
        <v/>
      </c>
    </row>
    <row r="125" customFormat="false" ht="15" hidden="false" customHeight="false" outlineLevel="0" collapsed="false">
      <c r="A125" s="3" t="s">
        <v>193</v>
      </c>
      <c r="B125" s="3" t="s">
        <v>68</v>
      </c>
      <c r="C125" s="3" t="s">
        <v>28</v>
      </c>
      <c r="D125" s="3" t="s">
        <v>15</v>
      </c>
      <c r="E125" s="3" t="s">
        <v>196</v>
      </c>
      <c r="F125" s="3"/>
      <c r="G125" s="3"/>
      <c r="H125" s="3"/>
      <c r="I125" s="4" t="str">
        <f aca="false">IF(AND($A125&lt;&gt;"",$A125=Подбор!$C$4),MAX(I$1:I124)+1,"")</f>
        <v/>
      </c>
    </row>
    <row r="126" customFormat="false" ht="15" hidden="false" customHeight="false" outlineLevel="0" collapsed="false">
      <c r="A126" s="3" t="s">
        <v>193</v>
      </c>
      <c r="B126" s="3" t="s">
        <v>68</v>
      </c>
      <c r="C126" s="3" t="s">
        <v>17</v>
      </c>
      <c r="D126" s="3" t="s">
        <v>15</v>
      </c>
      <c r="E126" s="3" t="s">
        <v>197</v>
      </c>
      <c r="F126" s="3"/>
      <c r="G126" s="3"/>
      <c r="H126" s="3"/>
      <c r="I126" s="4" t="str">
        <f aca="false">IF(AND($A126&lt;&gt;"",$A126=Подбор!$C$4),MAX(I$1:I125)+1,"")</f>
        <v/>
      </c>
    </row>
    <row r="127" customFormat="false" ht="15" hidden="false" customHeight="false" outlineLevel="0" collapsed="false">
      <c r="A127" s="3" t="s">
        <v>198</v>
      </c>
      <c r="B127" s="3" t="s">
        <v>68</v>
      </c>
      <c r="C127" s="3" t="s">
        <v>11</v>
      </c>
      <c r="D127" s="3" t="s">
        <v>12</v>
      </c>
      <c r="E127" s="3" t="s">
        <v>199</v>
      </c>
      <c r="F127" s="3" t="n">
        <v>12000</v>
      </c>
      <c r="G127" s="3"/>
      <c r="H127" s="3"/>
      <c r="I127" s="4" t="str">
        <f aca="false">IF(AND($A127&lt;&gt;"",$A127=Подбор!$C$4),MAX(I$1:I126)+1,"")</f>
        <v/>
      </c>
    </row>
    <row r="128" customFormat="false" ht="15" hidden="false" customHeight="false" outlineLevel="0" collapsed="false">
      <c r="A128" s="3" t="s">
        <v>198</v>
      </c>
      <c r="B128" s="3" t="s">
        <v>68</v>
      </c>
      <c r="C128" s="3" t="s">
        <v>11</v>
      </c>
      <c r="D128" s="3" t="s">
        <v>21</v>
      </c>
      <c r="E128" s="3" t="s">
        <v>200</v>
      </c>
      <c r="F128" s="3" t="n">
        <v>6000</v>
      </c>
      <c r="G128" s="3"/>
      <c r="H128" s="3"/>
      <c r="I128" s="4" t="str">
        <f aca="false">IF(AND($A128&lt;&gt;"",$A128=Подбор!$C$4),MAX(I$1:I127)+1,"")</f>
        <v/>
      </c>
    </row>
    <row r="129" customFormat="false" ht="15" hidden="false" customHeight="false" outlineLevel="0" collapsed="false">
      <c r="A129" s="3" t="s">
        <v>198</v>
      </c>
      <c r="B129" s="3" t="s">
        <v>68</v>
      </c>
      <c r="C129" s="3" t="s">
        <v>11</v>
      </c>
      <c r="D129" s="3" t="s">
        <v>23</v>
      </c>
      <c r="E129" s="3" t="s">
        <v>201</v>
      </c>
      <c r="F129" s="3" t="n">
        <v>6000</v>
      </c>
      <c r="G129" s="3"/>
      <c r="H129" s="3"/>
      <c r="I129" s="4" t="str">
        <f aca="false">IF(AND($A129&lt;&gt;"",$A129=Подбор!$C$4),MAX(I$1:I128)+1,"")</f>
        <v/>
      </c>
    </row>
    <row r="130" customFormat="false" ht="15" hidden="false" customHeight="false" outlineLevel="0" collapsed="false">
      <c r="A130" s="3" t="s">
        <v>198</v>
      </c>
      <c r="B130" s="3" t="s">
        <v>68</v>
      </c>
      <c r="C130" s="3" t="s">
        <v>11</v>
      </c>
      <c r="D130" s="3" t="s">
        <v>25</v>
      </c>
      <c r="E130" s="3" t="s">
        <v>202</v>
      </c>
      <c r="F130" s="3" t="n">
        <v>6000</v>
      </c>
      <c r="G130" s="3"/>
      <c r="H130" s="3"/>
      <c r="I130" s="4" t="str">
        <f aca="false">IF(AND($A130&lt;&gt;"",$A130=Подбор!$C$4),MAX(I$1:I129)+1,"")</f>
        <v/>
      </c>
    </row>
    <row r="131" customFormat="false" ht="15" hidden="false" customHeight="false" outlineLevel="0" collapsed="false">
      <c r="A131" s="3" t="s">
        <v>203</v>
      </c>
      <c r="B131" s="3" t="s">
        <v>110</v>
      </c>
      <c r="C131" s="3" t="s">
        <v>11</v>
      </c>
      <c r="D131" s="3" t="s">
        <v>12</v>
      </c>
      <c r="E131" s="3" t="s">
        <v>204</v>
      </c>
      <c r="F131" s="3" t="n">
        <v>10000</v>
      </c>
      <c r="G131" s="3"/>
      <c r="H131" s="3"/>
      <c r="I131" s="4" t="str">
        <f aca="false">IF(AND($A131&lt;&gt;"",$A131=Подбор!$C$4),MAX(I$1:I130)+1,"")</f>
        <v/>
      </c>
    </row>
    <row r="132" customFormat="false" ht="15" hidden="false" customHeight="false" outlineLevel="0" collapsed="false">
      <c r="A132" s="3" t="s">
        <v>203</v>
      </c>
      <c r="B132" s="3" t="s">
        <v>110</v>
      </c>
      <c r="C132" s="3" t="s">
        <v>17</v>
      </c>
      <c r="D132" s="3" t="s">
        <v>15</v>
      </c>
      <c r="E132" s="3" t="s">
        <v>205</v>
      </c>
      <c r="F132" s="3"/>
      <c r="G132" s="3"/>
      <c r="H132" s="3"/>
      <c r="I132" s="4" t="str">
        <f aca="false">IF(AND($A132&lt;&gt;"",$A132=Подбор!$C$4),MAX(I$1:I131)+1,"")</f>
        <v/>
      </c>
    </row>
    <row r="133" customFormat="false" ht="15" hidden="false" customHeight="false" outlineLevel="0" collapsed="false">
      <c r="A133" s="3" t="s">
        <v>206</v>
      </c>
      <c r="B133" s="3" t="s">
        <v>57</v>
      </c>
      <c r="C133" s="3" t="s">
        <v>11</v>
      </c>
      <c r="D133" s="3" t="s">
        <v>12</v>
      </c>
      <c r="E133" s="3" t="s">
        <v>207</v>
      </c>
      <c r="F133" s="3" t="n">
        <v>2700</v>
      </c>
      <c r="G133" s="3"/>
      <c r="H133" s="3"/>
      <c r="I133" s="4" t="str">
        <f aca="false">IF(AND($A133&lt;&gt;"",$A133=Подбор!$C$4),MAX(I$1:I132)+1,"")</f>
        <v/>
      </c>
    </row>
    <row r="134" customFormat="false" ht="15" hidden="false" customHeight="false" outlineLevel="0" collapsed="false">
      <c r="A134" s="3" t="s">
        <v>206</v>
      </c>
      <c r="B134" s="3" t="s">
        <v>57</v>
      </c>
      <c r="C134" s="3" t="s">
        <v>17</v>
      </c>
      <c r="D134" s="3" t="s">
        <v>15</v>
      </c>
      <c r="E134" s="3" t="s">
        <v>208</v>
      </c>
      <c r="F134" s="3"/>
      <c r="G134" s="3"/>
      <c r="H134" s="3"/>
      <c r="I134" s="4" t="str">
        <f aca="false">IF(AND($A134&lt;&gt;"",$A134=Подбор!$C$4),MAX(I$1:I133)+1,"")</f>
        <v/>
      </c>
    </row>
    <row r="135" customFormat="false" ht="15" hidden="false" customHeight="false" outlineLevel="0" collapsed="false">
      <c r="A135" s="3" t="s">
        <v>209</v>
      </c>
      <c r="B135" s="3" t="s">
        <v>57</v>
      </c>
      <c r="C135" s="3" t="s">
        <v>11</v>
      </c>
      <c r="D135" s="3" t="s">
        <v>12</v>
      </c>
      <c r="E135" s="3" t="s">
        <v>210</v>
      </c>
      <c r="F135" s="3" t="n">
        <v>2500</v>
      </c>
      <c r="G135" s="3"/>
      <c r="H135" s="3"/>
      <c r="I135" s="4" t="str">
        <f aca="false">IF(AND($A135&lt;&gt;"",$A135=Подбор!$C$4),MAX(I$1:I134)+1,"")</f>
        <v/>
      </c>
    </row>
    <row r="136" customFormat="false" ht="15" hidden="false" customHeight="false" outlineLevel="0" collapsed="false">
      <c r="A136" s="3" t="s">
        <v>211</v>
      </c>
      <c r="B136" s="3" t="s">
        <v>68</v>
      </c>
      <c r="C136" s="3" t="s">
        <v>11</v>
      </c>
      <c r="D136" s="3" t="s">
        <v>12</v>
      </c>
      <c r="E136" s="3" t="s">
        <v>212</v>
      </c>
      <c r="F136" s="3" t="n">
        <v>3000</v>
      </c>
      <c r="G136" s="3"/>
      <c r="H136" s="3"/>
      <c r="I136" s="4" t="str">
        <f aca="false">IF(AND($A136&lt;&gt;"",$A136=Подбор!$C$4),MAX(I$1:I135)+1,"")</f>
        <v/>
      </c>
    </row>
    <row r="137" customFormat="false" ht="15" hidden="false" customHeight="false" outlineLevel="0" collapsed="false">
      <c r="A137" s="3" t="s">
        <v>213</v>
      </c>
      <c r="B137" s="3" t="s">
        <v>68</v>
      </c>
      <c r="C137" s="3" t="s">
        <v>11</v>
      </c>
      <c r="D137" s="3" t="s">
        <v>12</v>
      </c>
      <c r="E137" s="3" t="s">
        <v>214</v>
      </c>
      <c r="F137" s="3" t="n">
        <v>7000</v>
      </c>
      <c r="G137" s="3"/>
      <c r="H137" s="3"/>
      <c r="I137" s="4" t="str">
        <f aca="false">IF(AND($A137&lt;&gt;"",$A137=Подбор!$C$4),MAX(I$1:I136)+1,"")</f>
        <v/>
      </c>
    </row>
    <row r="138" customFormat="false" ht="15" hidden="false" customHeight="false" outlineLevel="0" collapsed="false">
      <c r="A138" s="3" t="s">
        <v>213</v>
      </c>
      <c r="B138" s="3" t="s">
        <v>68</v>
      </c>
      <c r="C138" s="3" t="s">
        <v>11</v>
      </c>
      <c r="D138" s="3" t="s">
        <v>21</v>
      </c>
      <c r="E138" s="3" t="s">
        <v>215</v>
      </c>
      <c r="F138" s="3" t="n">
        <v>5000</v>
      </c>
      <c r="G138" s="3"/>
      <c r="H138" s="3"/>
      <c r="I138" s="4" t="str">
        <f aca="false">IF(AND($A138&lt;&gt;"",$A138=Подбор!$C$4),MAX(I$1:I137)+1,"")</f>
        <v/>
      </c>
    </row>
    <row r="139" customFormat="false" ht="15" hidden="false" customHeight="false" outlineLevel="0" collapsed="false">
      <c r="A139" s="3" t="s">
        <v>213</v>
      </c>
      <c r="B139" s="3" t="s">
        <v>68</v>
      </c>
      <c r="C139" s="3" t="s">
        <v>11</v>
      </c>
      <c r="D139" s="3" t="s">
        <v>23</v>
      </c>
      <c r="E139" s="3" t="s">
        <v>216</v>
      </c>
      <c r="F139" s="3" t="n">
        <v>5000</v>
      </c>
      <c r="G139" s="3"/>
      <c r="H139" s="3"/>
      <c r="I139" s="4" t="str">
        <f aca="false">IF(AND($A139&lt;&gt;"",$A139=Подбор!$C$4),MAX(I$1:I138)+1,"")</f>
        <v/>
      </c>
    </row>
    <row r="140" customFormat="false" ht="15" hidden="false" customHeight="false" outlineLevel="0" collapsed="false">
      <c r="A140" s="3" t="s">
        <v>213</v>
      </c>
      <c r="B140" s="3" t="s">
        <v>68</v>
      </c>
      <c r="C140" s="3" t="s">
        <v>11</v>
      </c>
      <c r="D140" s="3" t="s">
        <v>25</v>
      </c>
      <c r="E140" s="3" t="s">
        <v>217</v>
      </c>
      <c r="F140" s="3" t="n">
        <v>5000</v>
      </c>
      <c r="G140" s="3"/>
      <c r="H140" s="3"/>
      <c r="I140" s="4" t="str">
        <f aca="false">IF(AND($A140&lt;&gt;"",$A140=Подбор!$C$4),MAX(I$1:I139)+1,"")</f>
        <v/>
      </c>
    </row>
    <row r="141" customFormat="false" ht="15" hidden="false" customHeight="false" outlineLevel="0" collapsed="false">
      <c r="A141" s="3" t="s">
        <v>218</v>
      </c>
      <c r="B141" s="3" t="s">
        <v>57</v>
      </c>
      <c r="C141" s="3" t="s">
        <v>11</v>
      </c>
      <c r="D141" s="3" t="s">
        <v>12</v>
      </c>
      <c r="E141" s="3" t="s">
        <v>219</v>
      </c>
      <c r="F141" s="3" t="n">
        <v>25000</v>
      </c>
      <c r="G141" s="3"/>
      <c r="H141" s="3"/>
      <c r="I141" s="4" t="str">
        <f aca="false">IF(AND($A141&lt;&gt;"",$A141=Подбор!$C$4),MAX(I$1:I140)+1,"")</f>
        <v/>
      </c>
    </row>
    <row r="142" customFormat="false" ht="15" hidden="false" customHeight="false" outlineLevel="0" collapsed="false">
      <c r="A142" s="3" t="s">
        <v>220</v>
      </c>
      <c r="B142" s="3" t="s">
        <v>57</v>
      </c>
      <c r="C142" s="3" t="s">
        <v>11</v>
      </c>
      <c r="D142" s="3" t="s">
        <v>12</v>
      </c>
      <c r="E142" s="3" t="s">
        <v>221</v>
      </c>
      <c r="F142" s="3" t="n">
        <v>17500</v>
      </c>
      <c r="G142" s="3"/>
      <c r="H142" s="3"/>
      <c r="I142" s="4" t="str">
        <f aca="false">IF(AND($A142&lt;&gt;"",$A142=Подбор!$C$4),MAX(I$1:I141)+1,"")</f>
        <v/>
      </c>
    </row>
    <row r="143" customFormat="false" ht="15" hidden="false" customHeight="false" outlineLevel="0" collapsed="false">
      <c r="A143" s="3" t="s">
        <v>220</v>
      </c>
      <c r="B143" s="3" t="s">
        <v>57</v>
      </c>
      <c r="C143" s="3" t="s">
        <v>17</v>
      </c>
      <c r="D143" s="3" t="s">
        <v>15</v>
      </c>
      <c r="E143" s="3" t="s">
        <v>222</v>
      </c>
      <c r="F143" s="3"/>
      <c r="G143" s="3"/>
      <c r="H143" s="3"/>
      <c r="I143" s="4" t="str">
        <f aca="false">IF(AND($A143&lt;&gt;"",$A143=Подбор!$C$4),MAX(I$1:I142)+1,"")</f>
        <v/>
      </c>
    </row>
    <row r="144" customFormat="false" ht="15" hidden="false" customHeight="false" outlineLevel="0" collapsed="false">
      <c r="A144" s="3" t="s">
        <v>223</v>
      </c>
      <c r="B144" s="3" t="s">
        <v>68</v>
      </c>
      <c r="C144" s="3" t="s">
        <v>11</v>
      </c>
      <c r="D144" s="3" t="s">
        <v>12</v>
      </c>
      <c r="E144" s="3" t="s">
        <v>224</v>
      </c>
      <c r="F144" s="3" t="n">
        <v>25000</v>
      </c>
      <c r="G144" s="3"/>
      <c r="H144" s="3"/>
      <c r="I144" s="4" t="str">
        <f aca="false">IF(AND($A144&lt;&gt;"",$A144=Подбор!$C$4),MAX(I$1:I143)+1,"")</f>
        <v/>
      </c>
    </row>
    <row r="145" customFormat="false" ht="15" hidden="false" customHeight="false" outlineLevel="0" collapsed="false">
      <c r="A145" s="3" t="s">
        <v>223</v>
      </c>
      <c r="B145" s="3" t="s">
        <v>68</v>
      </c>
      <c r="C145" s="3" t="s">
        <v>14</v>
      </c>
      <c r="D145" s="3" t="s">
        <v>15</v>
      </c>
      <c r="E145" s="3" t="s">
        <v>225</v>
      </c>
      <c r="F145" s="3"/>
      <c r="G145" s="3"/>
      <c r="H145" s="3"/>
      <c r="I145" s="4" t="str">
        <f aca="false">IF(AND($A145&lt;&gt;"",$A145=Подбор!$C$4),MAX(I$1:I144)+1,"")</f>
        <v/>
      </c>
    </row>
    <row r="146" customFormat="false" ht="15" hidden="false" customHeight="false" outlineLevel="0" collapsed="false">
      <c r="A146" s="3" t="s">
        <v>226</v>
      </c>
      <c r="B146" s="3" t="s">
        <v>57</v>
      </c>
      <c r="C146" s="3" t="s">
        <v>11</v>
      </c>
      <c r="D146" s="3" t="s">
        <v>12</v>
      </c>
      <c r="E146" s="3" t="s">
        <v>154</v>
      </c>
      <c r="F146" s="3" t="n">
        <v>15000</v>
      </c>
      <c r="G146" s="3"/>
      <c r="H146" s="3"/>
      <c r="I146" s="4" t="str">
        <f aca="false">IF(AND($A146&lt;&gt;"",$A146=Подбор!$C$4),MAX(I$1:I145)+1,"")</f>
        <v/>
      </c>
    </row>
    <row r="147" customFormat="false" ht="15" hidden="false" customHeight="false" outlineLevel="0" collapsed="false">
      <c r="A147" s="3" t="s">
        <v>226</v>
      </c>
      <c r="B147" s="3" t="s">
        <v>57</v>
      </c>
      <c r="C147" s="3" t="s">
        <v>17</v>
      </c>
      <c r="D147" s="3" t="s">
        <v>15</v>
      </c>
      <c r="E147" s="3" t="s">
        <v>227</v>
      </c>
      <c r="F147" s="3"/>
      <c r="G147" s="3"/>
      <c r="H147" s="3"/>
      <c r="I147" s="4" t="str">
        <f aca="false">IF(AND($A147&lt;&gt;"",$A147=Подбор!$C$4),MAX(I$1:I146)+1,"")</f>
        <v/>
      </c>
    </row>
    <row r="148" customFormat="false" ht="15" hidden="false" customHeight="false" outlineLevel="0" collapsed="false">
      <c r="A148" s="3" t="s">
        <v>228</v>
      </c>
      <c r="B148" s="3" t="s">
        <v>84</v>
      </c>
      <c r="C148" s="3" t="s">
        <v>11</v>
      </c>
      <c r="D148" s="3" t="s">
        <v>12</v>
      </c>
      <c r="E148" s="3" t="s">
        <v>229</v>
      </c>
      <c r="F148" s="3" t="n">
        <v>30000</v>
      </c>
      <c r="G148" s="3"/>
      <c r="H148" s="3"/>
      <c r="I148" s="4" t="str">
        <f aca="false">IF(AND($A148&lt;&gt;"",$A148=Подбор!$C$4),MAX(I$1:I147)+1,"")</f>
        <v/>
      </c>
    </row>
    <row r="149" customFormat="false" ht="15" hidden="false" customHeight="false" outlineLevel="0" collapsed="false">
      <c r="A149" s="3" t="s">
        <v>228</v>
      </c>
      <c r="B149" s="3" t="s">
        <v>84</v>
      </c>
      <c r="C149" s="3" t="s">
        <v>11</v>
      </c>
      <c r="D149" s="3" t="s">
        <v>21</v>
      </c>
      <c r="E149" s="3" t="s">
        <v>230</v>
      </c>
      <c r="F149" s="3" t="n">
        <v>30000</v>
      </c>
      <c r="G149" s="3"/>
      <c r="H149" s="3"/>
      <c r="I149" s="4" t="str">
        <f aca="false">IF(AND($A149&lt;&gt;"",$A149=Подбор!$C$4),MAX(I$1:I148)+1,"")</f>
        <v/>
      </c>
    </row>
    <row r="150" customFormat="false" ht="15" hidden="false" customHeight="false" outlineLevel="0" collapsed="false">
      <c r="A150" s="3" t="s">
        <v>228</v>
      </c>
      <c r="B150" s="3" t="s">
        <v>84</v>
      </c>
      <c r="C150" s="3" t="s">
        <v>11</v>
      </c>
      <c r="D150" s="3" t="s">
        <v>23</v>
      </c>
      <c r="E150" s="3" t="s">
        <v>231</v>
      </c>
      <c r="F150" s="3" t="n">
        <v>30000</v>
      </c>
      <c r="G150" s="3"/>
      <c r="H150" s="3"/>
      <c r="I150" s="4" t="str">
        <f aca="false">IF(AND($A150&lt;&gt;"",$A150=Подбор!$C$4),MAX(I$1:I149)+1,"")</f>
        <v/>
      </c>
    </row>
    <row r="151" customFormat="false" ht="15" hidden="false" customHeight="false" outlineLevel="0" collapsed="false">
      <c r="A151" s="3" t="s">
        <v>228</v>
      </c>
      <c r="B151" s="3" t="s">
        <v>84</v>
      </c>
      <c r="C151" s="3" t="s">
        <v>11</v>
      </c>
      <c r="D151" s="3" t="s">
        <v>25</v>
      </c>
      <c r="E151" s="3" t="s">
        <v>232</v>
      </c>
      <c r="F151" s="3" t="n">
        <v>30000</v>
      </c>
      <c r="G151" s="3"/>
      <c r="H151" s="3"/>
      <c r="I151" s="4" t="str">
        <f aca="false">IF(AND($A151&lt;&gt;"",$A151=Подбор!$C$4),MAX(I$1:I150)+1,"")</f>
        <v/>
      </c>
    </row>
    <row r="152" customFormat="false" ht="15" hidden="false" customHeight="false" outlineLevel="0" collapsed="false">
      <c r="A152" s="3" t="s">
        <v>233</v>
      </c>
      <c r="B152" s="3" t="s">
        <v>84</v>
      </c>
      <c r="C152" s="3" t="s">
        <v>11</v>
      </c>
      <c r="D152" s="3" t="s">
        <v>12</v>
      </c>
      <c r="E152" s="3" t="s">
        <v>234</v>
      </c>
      <c r="F152" s="3" t="n">
        <v>2000</v>
      </c>
      <c r="G152" s="3"/>
      <c r="H152" s="3"/>
      <c r="I152" s="4" t="str">
        <f aca="false">IF(AND($A152&lt;&gt;"",$A152=Подбор!$C$4),MAX(I$1:I151)+1,"")</f>
        <v/>
      </c>
    </row>
    <row r="153" customFormat="false" ht="15" hidden="false" customHeight="false" outlineLevel="0" collapsed="false">
      <c r="A153" s="3" t="s">
        <v>235</v>
      </c>
      <c r="B153" s="3" t="s">
        <v>10</v>
      </c>
      <c r="C153" s="3" t="s">
        <v>11</v>
      </c>
      <c r="D153" s="3" t="s">
        <v>12</v>
      </c>
      <c r="E153" s="3" t="s">
        <v>236</v>
      </c>
      <c r="F153" s="3" t="n">
        <v>4000</v>
      </c>
      <c r="G153" s="3"/>
      <c r="H153" s="3"/>
      <c r="I153" s="4" t="str">
        <f aca="false">IF(AND($A153&lt;&gt;"",$A153=Подбор!$C$4),MAX(I$1:I152)+1,"")</f>
        <v/>
      </c>
    </row>
    <row r="154" customFormat="false" ht="15" hidden="false" customHeight="false" outlineLevel="0" collapsed="false">
      <c r="A154" s="3" t="s">
        <v>237</v>
      </c>
      <c r="B154" s="3" t="s">
        <v>84</v>
      </c>
      <c r="C154" s="3" t="s">
        <v>11</v>
      </c>
      <c r="D154" s="3" t="s">
        <v>12</v>
      </c>
      <c r="E154" s="3" t="n">
        <v>51</v>
      </c>
      <c r="F154" s="3" t="n">
        <v>1700</v>
      </c>
      <c r="G154" s="3"/>
      <c r="H154" s="3"/>
      <c r="I154" s="4" t="str">
        <f aca="false">IF(AND($A154&lt;&gt;"",$A154=Подбор!$C$4),MAX(I$1:I153)+1,"")</f>
        <v/>
      </c>
    </row>
    <row r="155" customFormat="false" ht="15" hidden="false" customHeight="false" outlineLevel="0" collapsed="false">
      <c r="A155" s="3" t="s">
        <v>237</v>
      </c>
      <c r="B155" s="3" t="s">
        <v>84</v>
      </c>
      <c r="C155" s="3" t="s">
        <v>14</v>
      </c>
      <c r="D155" s="3" t="s">
        <v>15</v>
      </c>
      <c r="E155" s="3" t="s">
        <v>238</v>
      </c>
      <c r="F155" s="3"/>
      <c r="G155" s="3"/>
      <c r="H155" s="3"/>
      <c r="I155" s="4" t="str">
        <f aca="false">IF(AND($A155&lt;&gt;"",$A155=Подбор!$C$4),MAX(I$1:I154)+1,"")</f>
        <v/>
      </c>
    </row>
    <row r="156" customFormat="false" ht="15" hidden="false" customHeight="false" outlineLevel="0" collapsed="false">
      <c r="A156" s="3" t="s">
        <v>239</v>
      </c>
      <c r="B156" s="3" t="s">
        <v>84</v>
      </c>
      <c r="C156" s="3" t="s">
        <v>11</v>
      </c>
      <c r="D156" s="3" t="s">
        <v>12</v>
      </c>
      <c r="E156" s="3" t="s">
        <v>160</v>
      </c>
      <c r="F156" s="3" t="n">
        <v>3400</v>
      </c>
      <c r="G156" s="3"/>
      <c r="H156" s="3"/>
      <c r="I156" s="4" t="str">
        <f aca="false">IF(AND($A156&lt;&gt;"",$A156=Подбор!$C$4),MAX(I$1:I155)+1,"")</f>
        <v/>
      </c>
    </row>
    <row r="157" customFormat="false" ht="15" hidden="false" customHeight="false" outlineLevel="0" collapsed="false">
      <c r="A157" s="3" t="s">
        <v>239</v>
      </c>
      <c r="B157" s="3" t="s">
        <v>84</v>
      </c>
      <c r="C157" s="3" t="s">
        <v>11</v>
      </c>
      <c r="D157" s="3" t="s">
        <v>21</v>
      </c>
      <c r="E157" s="3" t="s">
        <v>161</v>
      </c>
      <c r="F157" s="3" t="n">
        <v>2900</v>
      </c>
      <c r="G157" s="3"/>
      <c r="H157" s="3"/>
      <c r="I157" s="4" t="str">
        <f aca="false">IF(AND($A157&lt;&gt;"",$A157=Подбор!$C$4),MAX(I$1:I156)+1,"")</f>
        <v/>
      </c>
    </row>
    <row r="158" customFormat="false" ht="15" hidden="false" customHeight="false" outlineLevel="0" collapsed="false">
      <c r="A158" s="3" t="s">
        <v>239</v>
      </c>
      <c r="B158" s="3" t="s">
        <v>84</v>
      </c>
      <c r="C158" s="3" t="s">
        <v>11</v>
      </c>
      <c r="D158" s="3" t="s">
        <v>23</v>
      </c>
      <c r="E158" s="3" t="s">
        <v>162</v>
      </c>
      <c r="F158" s="3" t="n">
        <v>2900</v>
      </c>
      <c r="G158" s="3"/>
      <c r="H158" s="3"/>
      <c r="I158" s="4" t="str">
        <f aca="false">IF(AND($A158&lt;&gt;"",$A158=Подбор!$C$4),MAX(I$1:I157)+1,"")</f>
        <v/>
      </c>
    </row>
    <row r="159" customFormat="false" ht="15" hidden="false" customHeight="false" outlineLevel="0" collapsed="false">
      <c r="A159" s="3" t="s">
        <v>239</v>
      </c>
      <c r="B159" s="3" t="s">
        <v>84</v>
      </c>
      <c r="C159" s="3" t="s">
        <v>11</v>
      </c>
      <c r="D159" s="3" t="s">
        <v>25</v>
      </c>
      <c r="E159" s="3" t="s">
        <v>163</v>
      </c>
      <c r="F159" s="3" t="n">
        <v>2900</v>
      </c>
      <c r="G159" s="3"/>
      <c r="H159" s="3"/>
      <c r="I159" s="4" t="str">
        <f aca="false">IF(AND($A159&lt;&gt;"",$A159=Подбор!$C$4),MAX(I$1:I158)+1,"")</f>
        <v/>
      </c>
    </row>
    <row r="160" customFormat="false" ht="15" hidden="false" customHeight="false" outlineLevel="0" collapsed="false">
      <c r="A160" s="3" t="s">
        <v>240</v>
      </c>
      <c r="B160" s="3" t="s">
        <v>84</v>
      </c>
      <c r="C160" s="3" t="s">
        <v>11</v>
      </c>
      <c r="D160" s="3" t="s">
        <v>12</v>
      </c>
      <c r="E160" s="3" t="s">
        <v>241</v>
      </c>
      <c r="F160" s="3" t="n">
        <v>6300</v>
      </c>
      <c r="G160" s="3"/>
      <c r="H160" s="3"/>
      <c r="I160" s="4" t="str">
        <f aca="false">IF(AND($A160&lt;&gt;"",$A160=Подбор!$C$4),MAX(I$1:I159)+1,"")</f>
        <v/>
      </c>
    </row>
    <row r="161" customFormat="false" ht="15" hidden="false" customHeight="false" outlineLevel="0" collapsed="false">
      <c r="A161" s="3" t="s">
        <v>240</v>
      </c>
      <c r="B161" s="3" t="s">
        <v>84</v>
      </c>
      <c r="C161" s="3" t="s">
        <v>11</v>
      </c>
      <c r="D161" s="3" t="s">
        <v>21</v>
      </c>
      <c r="E161" s="3" t="s">
        <v>242</v>
      </c>
      <c r="F161" s="3" t="n">
        <v>5900</v>
      </c>
      <c r="G161" s="3"/>
      <c r="H161" s="3"/>
      <c r="I161" s="4" t="str">
        <f aca="false">IF(AND($A161&lt;&gt;"",$A161=Подбор!$C$4),MAX(I$1:I160)+1,"")</f>
        <v/>
      </c>
    </row>
    <row r="162" customFormat="false" ht="15" hidden="false" customHeight="false" outlineLevel="0" collapsed="false">
      <c r="A162" s="3" t="s">
        <v>240</v>
      </c>
      <c r="B162" s="3" t="s">
        <v>84</v>
      </c>
      <c r="C162" s="3" t="s">
        <v>11</v>
      </c>
      <c r="D162" s="3" t="s">
        <v>23</v>
      </c>
      <c r="E162" s="3" t="s">
        <v>243</v>
      </c>
      <c r="F162" s="3" t="n">
        <v>5900</v>
      </c>
      <c r="G162" s="3"/>
      <c r="H162" s="3"/>
      <c r="I162" s="4" t="str">
        <f aca="false">IF(AND($A162&lt;&gt;"",$A162=Подбор!$C$4),MAX(I$1:I161)+1,"")</f>
        <v/>
      </c>
    </row>
    <row r="163" customFormat="false" ht="15" hidden="false" customHeight="false" outlineLevel="0" collapsed="false">
      <c r="A163" s="3" t="s">
        <v>240</v>
      </c>
      <c r="B163" s="3" t="s">
        <v>84</v>
      </c>
      <c r="C163" s="3" t="s">
        <v>11</v>
      </c>
      <c r="D163" s="3" t="s">
        <v>25</v>
      </c>
      <c r="E163" s="3" t="s">
        <v>244</v>
      </c>
      <c r="F163" s="3" t="n">
        <v>5900</v>
      </c>
      <c r="G163" s="3"/>
      <c r="H163" s="3"/>
      <c r="I163" s="4" t="str">
        <f aca="false">IF(AND($A163&lt;&gt;"",$A163=Подбор!$C$4),MAX(I$1:I162)+1,"")</f>
        <v/>
      </c>
    </row>
    <row r="164" customFormat="false" ht="15" hidden="false" customHeight="false" outlineLevel="0" collapsed="false">
      <c r="A164" s="3" t="s">
        <v>245</v>
      </c>
      <c r="B164" s="3" t="s">
        <v>84</v>
      </c>
      <c r="C164" s="3" t="s">
        <v>11</v>
      </c>
      <c r="D164" s="3" t="s">
        <v>12</v>
      </c>
      <c r="E164" s="3" t="s">
        <v>246</v>
      </c>
      <c r="F164" s="3" t="n">
        <v>2100</v>
      </c>
      <c r="G164" s="3"/>
      <c r="H164" s="3"/>
      <c r="I164" s="4" t="str">
        <f aca="false">IF(AND($A164&lt;&gt;"",$A164=Подбор!$C$4),MAX(I$1:I163)+1,"")</f>
        <v/>
      </c>
    </row>
    <row r="165" customFormat="false" ht="15" hidden="false" customHeight="false" outlineLevel="0" collapsed="false">
      <c r="A165" s="3" t="s">
        <v>247</v>
      </c>
      <c r="B165" s="3" t="s">
        <v>10</v>
      </c>
      <c r="C165" s="3" t="s">
        <v>11</v>
      </c>
      <c r="D165" s="3" t="s">
        <v>12</v>
      </c>
      <c r="E165" s="3" t="s">
        <v>248</v>
      </c>
      <c r="F165" s="3" t="n">
        <v>9000</v>
      </c>
      <c r="G165" s="3"/>
      <c r="H165" s="3"/>
      <c r="I165" s="4" t="str">
        <f aca="false">IF(AND($A165&lt;&gt;"",$A165=Подбор!$C$4),MAX(I$1:I164)+1,"")</f>
        <v/>
      </c>
    </row>
    <row r="166" customFormat="false" ht="15" hidden="false" customHeight="false" outlineLevel="0" collapsed="false">
      <c r="A166" s="3" t="s">
        <v>249</v>
      </c>
      <c r="B166" s="3" t="s">
        <v>84</v>
      </c>
      <c r="C166" s="3" t="s">
        <v>11</v>
      </c>
      <c r="D166" s="3" t="s">
        <v>12</v>
      </c>
      <c r="E166" s="3" t="s">
        <v>250</v>
      </c>
      <c r="F166" s="3" t="n">
        <v>30000</v>
      </c>
      <c r="G166" s="3"/>
      <c r="H166" s="3"/>
      <c r="I166" s="4" t="str">
        <f aca="false">IF(AND($A166&lt;&gt;"",$A166=Подбор!$C$4),MAX(I$1:I165)+1,"")</f>
        <v/>
      </c>
    </row>
    <row r="167" customFormat="false" ht="15" hidden="false" customHeight="false" outlineLevel="0" collapsed="false">
      <c r="A167" s="3" t="s">
        <v>251</v>
      </c>
      <c r="B167" s="3" t="s">
        <v>10</v>
      </c>
      <c r="C167" s="3" t="s">
        <v>11</v>
      </c>
      <c r="D167" s="3" t="s">
        <v>12</v>
      </c>
      <c r="E167" s="3" t="s">
        <v>252</v>
      </c>
      <c r="F167" s="3" t="n">
        <v>100000</v>
      </c>
      <c r="G167" s="3"/>
      <c r="H167" s="3"/>
      <c r="I167" s="4" t="str">
        <f aca="false">IF(AND($A167&lt;&gt;"",$A167=Подбор!$C$4),MAX(I$1:I166)+1,"")</f>
        <v/>
      </c>
    </row>
    <row r="168" customFormat="false" ht="15" hidden="false" customHeight="false" outlineLevel="0" collapsed="false">
      <c r="A168" s="3" t="s">
        <v>251</v>
      </c>
      <c r="B168" s="3" t="s">
        <v>10</v>
      </c>
      <c r="C168" s="3" t="s">
        <v>14</v>
      </c>
      <c r="D168" s="3" t="s">
        <v>15</v>
      </c>
      <c r="E168" s="3" t="s">
        <v>253</v>
      </c>
      <c r="F168" s="3"/>
      <c r="G168" s="3"/>
      <c r="H168" s="3"/>
      <c r="I168" s="4" t="str">
        <f aca="false">IF(AND($A168&lt;&gt;"",$A168=Подбор!$C$4),MAX(I$1:I167)+1,"")</f>
        <v/>
      </c>
    </row>
    <row r="169" customFormat="false" ht="15" hidden="false" customHeight="false" outlineLevel="0" collapsed="false">
      <c r="A169" s="3" t="s">
        <v>251</v>
      </c>
      <c r="B169" s="3" t="s">
        <v>10</v>
      </c>
      <c r="C169" s="3" t="s">
        <v>28</v>
      </c>
      <c r="D169" s="3" t="s">
        <v>15</v>
      </c>
      <c r="E169" s="3" t="s">
        <v>254</v>
      </c>
      <c r="F169" s="3"/>
      <c r="G169" s="3"/>
      <c r="H169" s="3"/>
      <c r="I169" s="4" t="str">
        <f aca="false">IF(AND($A169&lt;&gt;"",$A169=Подбор!$C$4),MAX(I$1:I168)+1,"")</f>
        <v/>
      </c>
    </row>
    <row r="170" customFormat="false" ht="15" hidden="false" customHeight="false" outlineLevel="0" collapsed="false">
      <c r="A170" s="3" t="s">
        <v>251</v>
      </c>
      <c r="B170" s="3" t="s">
        <v>10</v>
      </c>
      <c r="C170" s="3" t="s">
        <v>30</v>
      </c>
      <c r="D170" s="3" t="s">
        <v>15</v>
      </c>
      <c r="E170" s="3" t="s">
        <v>255</v>
      </c>
      <c r="F170" s="3"/>
      <c r="G170" s="3"/>
      <c r="H170" s="3"/>
      <c r="I170" s="4" t="str">
        <f aca="false">IF(AND($A170&lt;&gt;"",$A170=Подбор!$C$4),MAX(I$1:I169)+1,"")</f>
        <v/>
      </c>
    </row>
    <row r="171" customFormat="false" ht="15" hidden="false" customHeight="false" outlineLevel="0" collapsed="false">
      <c r="A171" s="3" t="s">
        <v>251</v>
      </c>
      <c r="B171" s="3" t="s">
        <v>10</v>
      </c>
      <c r="C171" s="3" t="s">
        <v>17</v>
      </c>
      <c r="D171" s="3" t="s">
        <v>15</v>
      </c>
      <c r="E171" s="3" t="s">
        <v>256</v>
      </c>
      <c r="F171" s="3"/>
      <c r="G171" s="3"/>
      <c r="H171" s="3"/>
      <c r="I171" s="4" t="str">
        <f aca="false">IF(AND($A171&lt;&gt;"",$A171=Подбор!$C$4),MAX(I$1:I170)+1,"")</f>
        <v/>
      </c>
    </row>
    <row r="172" customFormat="false" ht="15" hidden="false" customHeight="false" outlineLevel="0" collapsed="false">
      <c r="A172" s="3" t="s">
        <v>257</v>
      </c>
      <c r="B172" s="3" t="s">
        <v>10</v>
      </c>
      <c r="C172" s="3" t="s">
        <v>11</v>
      </c>
      <c r="D172" s="3" t="s">
        <v>12</v>
      </c>
      <c r="E172" s="3" t="s">
        <v>258</v>
      </c>
      <c r="F172" s="3" t="n">
        <v>18000</v>
      </c>
      <c r="G172" s="3"/>
      <c r="H172" s="3"/>
      <c r="I172" s="4" t="str">
        <f aca="false">IF(AND($A172&lt;&gt;"",$A172=Подбор!$C$4),MAX(I$1:I171)+1,"")</f>
        <v/>
      </c>
    </row>
    <row r="173" customFormat="false" ht="15" hidden="false" customHeight="false" outlineLevel="0" collapsed="false">
      <c r="A173" s="3" t="s">
        <v>257</v>
      </c>
      <c r="B173" s="3" t="s">
        <v>10</v>
      </c>
      <c r="C173" s="3" t="s">
        <v>14</v>
      </c>
      <c r="D173" s="3" t="s">
        <v>15</v>
      </c>
      <c r="E173" s="3" t="s">
        <v>259</v>
      </c>
      <c r="F173" s="3"/>
      <c r="G173" s="3"/>
      <c r="H173" s="3"/>
      <c r="I173" s="4" t="str">
        <f aca="false">IF(AND($A173&lt;&gt;"",$A173=Подбор!$C$4),MAX(I$1:I172)+1,"")</f>
        <v/>
      </c>
    </row>
    <row r="174" customFormat="false" ht="15" hidden="false" customHeight="false" outlineLevel="0" collapsed="false">
      <c r="A174" s="3" t="s">
        <v>260</v>
      </c>
      <c r="B174" s="3" t="s">
        <v>10</v>
      </c>
      <c r="C174" s="3" t="s">
        <v>11</v>
      </c>
      <c r="D174" s="3" t="s">
        <v>12</v>
      </c>
      <c r="E174" s="3" t="s">
        <v>261</v>
      </c>
      <c r="F174" s="3" t="n">
        <v>6000</v>
      </c>
      <c r="G174" s="3"/>
      <c r="H174" s="3"/>
      <c r="I174" s="4" t="str">
        <f aca="false">IF(AND($A174&lt;&gt;"",$A174=Подбор!$C$4),MAX(I$1:I173)+1,"")</f>
        <v/>
      </c>
    </row>
    <row r="175" customFormat="false" ht="15" hidden="false" customHeight="false" outlineLevel="0" collapsed="false">
      <c r="A175" s="3" t="s">
        <v>260</v>
      </c>
      <c r="B175" s="3" t="s">
        <v>10</v>
      </c>
      <c r="C175" s="3" t="s">
        <v>11</v>
      </c>
      <c r="D175" s="3" t="s">
        <v>21</v>
      </c>
      <c r="E175" s="3" t="s">
        <v>262</v>
      </c>
      <c r="F175" s="3" t="n">
        <v>4000</v>
      </c>
      <c r="G175" s="3"/>
      <c r="H175" s="3"/>
      <c r="I175" s="4" t="str">
        <f aca="false">IF(AND($A175&lt;&gt;"",$A175=Подбор!$C$4),MAX(I$1:I174)+1,"")</f>
        <v/>
      </c>
    </row>
    <row r="176" customFormat="false" ht="15" hidden="false" customHeight="false" outlineLevel="0" collapsed="false">
      <c r="A176" s="3" t="s">
        <v>260</v>
      </c>
      <c r="B176" s="3" t="s">
        <v>10</v>
      </c>
      <c r="C176" s="3" t="s">
        <v>11</v>
      </c>
      <c r="D176" s="3" t="s">
        <v>23</v>
      </c>
      <c r="E176" s="3" t="s">
        <v>263</v>
      </c>
      <c r="F176" s="3" t="n">
        <v>4000</v>
      </c>
      <c r="G176" s="3"/>
      <c r="H176" s="3"/>
      <c r="I176" s="4" t="str">
        <f aca="false">IF(AND($A176&lt;&gt;"",$A176=Подбор!$C$4),MAX(I$1:I175)+1,"")</f>
        <v/>
      </c>
    </row>
    <row r="177" customFormat="false" ht="15" hidden="false" customHeight="false" outlineLevel="0" collapsed="false">
      <c r="A177" s="3" t="s">
        <v>260</v>
      </c>
      <c r="B177" s="3" t="s">
        <v>10</v>
      </c>
      <c r="C177" s="3" t="s">
        <v>11</v>
      </c>
      <c r="D177" s="3" t="s">
        <v>25</v>
      </c>
      <c r="E177" s="3" t="s">
        <v>264</v>
      </c>
      <c r="F177" s="3" t="n">
        <v>4000</v>
      </c>
      <c r="G177" s="3"/>
      <c r="H177" s="3"/>
      <c r="I177" s="4" t="str">
        <f aca="false">IF(AND($A177&lt;&gt;"",$A177=Подбор!$C$4),MAX(I$1:I176)+1,"")</f>
        <v/>
      </c>
    </row>
    <row r="178" customFormat="false" ht="15" hidden="false" customHeight="false" outlineLevel="0" collapsed="false">
      <c r="A178" s="3" t="s">
        <v>265</v>
      </c>
      <c r="B178" s="3" t="s">
        <v>10</v>
      </c>
      <c r="C178" s="3" t="s">
        <v>11</v>
      </c>
      <c r="D178" s="3" t="s">
        <v>12</v>
      </c>
      <c r="E178" s="3" t="s">
        <v>266</v>
      </c>
      <c r="F178" s="3" t="n">
        <v>11000</v>
      </c>
      <c r="G178" s="3"/>
      <c r="H178" s="3"/>
      <c r="I178" s="4" t="str">
        <f aca="false">IF(AND($A178&lt;&gt;"",$A178=Подбор!$C$4),MAX(I$1:I177)+1,"")</f>
        <v/>
      </c>
    </row>
    <row r="179" customFormat="false" ht="15" hidden="false" customHeight="false" outlineLevel="0" collapsed="false">
      <c r="A179" s="3" t="s">
        <v>265</v>
      </c>
      <c r="B179" s="3" t="s">
        <v>10</v>
      </c>
      <c r="C179" s="3" t="s">
        <v>11</v>
      </c>
      <c r="D179" s="3" t="s">
        <v>21</v>
      </c>
      <c r="E179" s="3" t="s">
        <v>267</v>
      </c>
      <c r="F179" s="3" t="n">
        <v>6000</v>
      </c>
      <c r="G179" s="3"/>
      <c r="H179" s="3"/>
      <c r="I179" s="4" t="str">
        <f aca="false">IF(AND($A179&lt;&gt;"",$A179=Подбор!$C$4),MAX(I$1:I178)+1,"")</f>
        <v/>
      </c>
    </row>
    <row r="180" customFormat="false" ht="15" hidden="false" customHeight="false" outlineLevel="0" collapsed="false">
      <c r="A180" s="3" t="s">
        <v>265</v>
      </c>
      <c r="B180" s="3" t="s">
        <v>10</v>
      </c>
      <c r="C180" s="3" t="s">
        <v>11</v>
      </c>
      <c r="D180" s="3" t="s">
        <v>23</v>
      </c>
      <c r="E180" s="3" t="s">
        <v>268</v>
      </c>
      <c r="F180" s="3" t="n">
        <v>6000</v>
      </c>
      <c r="G180" s="3"/>
      <c r="H180" s="3"/>
      <c r="I180" s="4" t="str">
        <f aca="false">IF(AND($A180&lt;&gt;"",$A180=Подбор!$C$4),MAX(I$1:I179)+1,"")</f>
        <v/>
      </c>
    </row>
    <row r="181" customFormat="false" ht="15" hidden="false" customHeight="false" outlineLevel="0" collapsed="false">
      <c r="A181" s="3" t="s">
        <v>265</v>
      </c>
      <c r="B181" s="3" t="s">
        <v>10</v>
      </c>
      <c r="C181" s="3" t="s">
        <v>11</v>
      </c>
      <c r="D181" s="3" t="s">
        <v>25</v>
      </c>
      <c r="E181" s="3" t="s">
        <v>269</v>
      </c>
      <c r="F181" s="3" t="n">
        <v>6000</v>
      </c>
      <c r="G181" s="3"/>
      <c r="H181" s="3"/>
      <c r="I181" s="4" t="str">
        <f aca="false">IF(AND($A181&lt;&gt;"",$A181=Подбор!$C$4),MAX(I$1:I180)+1,"")</f>
        <v/>
      </c>
    </row>
    <row r="182" customFormat="false" ht="15" hidden="false" customHeight="false" outlineLevel="0" collapsed="false">
      <c r="A182" s="3" t="s">
        <v>270</v>
      </c>
      <c r="B182" s="3" t="s">
        <v>10</v>
      </c>
      <c r="C182" s="3" t="s">
        <v>11</v>
      </c>
      <c r="D182" s="3" t="s">
        <v>12</v>
      </c>
      <c r="E182" s="3" t="s">
        <v>271</v>
      </c>
      <c r="F182" s="3" t="n">
        <v>2000</v>
      </c>
      <c r="G182" s="3"/>
      <c r="H182" s="3"/>
      <c r="I182" s="4" t="str">
        <f aca="false">IF(AND($A182&lt;&gt;"",$A182=Подбор!$C$4),MAX(I$1:I181)+1,"")</f>
        <v/>
      </c>
    </row>
    <row r="183" customFormat="false" ht="15" hidden="false" customHeight="false" outlineLevel="0" collapsed="false">
      <c r="A183" s="3" t="s">
        <v>270</v>
      </c>
      <c r="B183" s="3" t="s">
        <v>10</v>
      </c>
      <c r="C183" s="3" t="s">
        <v>11</v>
      </c>
      <c r="D183" s="3" t="s">
        <v>21</v>
      </c>
      <c r="E183" s="3" t="s">
        <v>272</v>
      </c>
      <c r="F183" s="3" t="n">
        <v>1000</v>
      </c>
      <c r="G183" s="3"/>
      <c r="H183" s="3"/>
      <c r="I183" s="4" t="str">
        <f aca="false">IF(AND($A183&lt;&gt;"",$A183=Подбор!$C$4),MAX(I$1:I182)+1,"")</f>
        <v/>
      </c>
    </row>
    <row r="184" customFormat="false" ht="15" hidden="false" customHeight="false" outlineLevel="0" collapsed="false">
      <c r="A184" s="3" t="s">
        <v>270</v>
      </c>
      <c r="B184" s="3" t="s">
        <v>10</v>
      </c>
      <c r="C184" s="3" t="s">
        <v>11</v>
      </c>
      <c r="D184" s="3" t="s">
        <v>23</v>
      </c>
      <c r="E184" s="3" t="s">
        <v>273</v>
      </c>
      <c r="F184" s="3" t="n">
        <v>1000</v>
      </c>
      <c r="G184" s="3"/>
      <c r="H184" s="3"/>
      <c r="I184" s="4" t="str">
        <f aca="false">IF(AND($A184&lt;&gt;"",$A184=Подбор!$C$4),MAX(I$1:I183)+1,"")</f>
        <v/>
      </c>
    </row>
    <row r="185" customFormat="false" ht="15" hidden="false" customHeight="false" outlineLevel="0" collapsed="false">
      <c r="A185" s="3" t="s">
        <v>270</v>
      </c>
      <c r="B185" s="3" t="s">
        <v>10</v>
      </c>
      <c r="C185" s="3" t="s">
        <v>11</v>
      </c>
      <c r="D185" s="3" t="s">
        <v>25</v>
      </c>
      <c r="E185" s="3" t="s">
        <v>274</v>
      </c>
      <c r="F185" s="3" t="n">
        <v>1000</v>
      </c>
      <c r="G185" s="3"/>
      <c r="H185" s="3"/>
      <c r="I185" s="4" t="str">
        <f aca="false">IF(AND($A185&lt;&gt;"",$A185=Подбор!$C$4),MAX(I$1:I184)+1,"")</f>
        <v/>
      </c>
    </row>
    <row r="186" customFormat="false" ht="15" hidden="false" customHeight="false" outlineLevel="0" collapsed="false">
      <c r="A186" s="3" t="s">
        <v>275</v>
      </c>
      <c r="B186" s="3" t="s">
        <v>10</v>
      </c>
      <c r="C186" s="3" t="s">
        <v>11</v>
      </c>
      <c r="D186" s="3" t="s">
        <v>12</v>
      </c>
      <c r="E186" s="3" t="s">
        <v>276</v>
      </c>
      <c r="F186" s="3" t="n">
        <v>2500</v>
      </c>
      <c r="G186" s="3"/>
      <c r="H186" s="3"/>
      <c r="I186" s="4" t="str">
        <f aca="false">IF(AND($A186&lt;&gt;"",$A186=Подбор!$C$4),MAX(I$1:I185)+1,"")</f>
        <v/>
      </c>
    </row>
    <row r="187" customFormat="false" ht="15" hidden="false" customHeight="false" outlineLevel="0" collapsed="false">
      <c r="A187" s="3" t="s">
        <v>277</v>
      </c>
      <c r="B187" s="3" t="s">
        <v>10</v>
      </c>
      <c r="C187" s="3" t="s">
        <v>11</v>
      </c>
      <c r="D187" s="3" t="s">
        <v>12</v>
      </c>
      <c r="E187" s="3" t="s">
        <v>278</v>
      </c>
      <c r="F187" s="3" t="n">
        <v>3000</v>
      </c>
      <c r="G187" s="3"/>
      <c r="H187" s="3"/>
      <c r="I187" s="4" t="str">
        <f aca="false">IF(AND($A187&lt;&gt;"",$A187=Подбор!$C$4),MAX(I$1:I186)+1,"")</f>
        <v/>
      </c>
    </row>
    <row r="188" customFormat="false" ht="15" hidden="false" customHeight="false" outlineLevel="0" collapsed="false">
      <c r="A188" s="3" t="s">
        <v>279</v>
      </c>
      <c r="B188" s="3" t="s">
        <v>10</v>
      </c>
      <c r="C188" s="3" t="s">
        <v>11</v>
      </c>
      <c r="D188" s="3" t="s">
        <v>12</v>
      </c>
      <c r="E188" s="3" t="s">
        <v>280</v>
      </c>
      <c r="F188" s="3" t="n">
        <v>10000</v>
      </c>
      <c r="G188" s="3"/>
      <c r="H188" s="3"/>
      <c r="I188" s="4" t="str">
        <f aca="false">IF(AND($A188&lt;&gt;"",$A188=Подбор!$C$4),MAX(I$1:I187)+1,"")</f>
        <v/>
      </c>
    </row>
    <row r="189" customFormat="false" ht="15" hidden="false" customHeight="false" outlineLevel="0" collapsed="false">
      <c r="A189" s="3" t="s">
        <v>281</v>
      </c>
      <c r="B189" s="3" t="s">
        <v>10</v>
      </c>
      <c r="C189" s="3" t="s">
        <v>11</v>
      </c>
      <c r="D189" s="3" t="s">
        <v>12</v>
      </c>
      <c r="E189" s="3" t="s">
        <v>282</v>
      </c>
      <c r="F189" s="3" t="n">
        <v>3000</v>
      </c>
      <c r="G189" s="3"/>
      <c r="H189" s="3"/>
      <c r="I189" s="4" t="str">
        <f aca="false">IF(AND($A189&lt;&gt;"",$A189=Подбор!$C$4),MAX(I$1:I188)+1,"")</f>
        <v/>
      </c>
    </row>
    <row r="190" customFormat="false" ht="15" hidden="false" customHeight="false" outlineLevel="0" collapsed="false">
      <c r="A190" s="3" t="s">
        <v>283</v>
      </c>
      <c r="B190" s="3" t="s">
        <v>10</v>
      </c>
      <c r="C190" s="3" t="s">
        <v>11</v>
      </c>
      <c r="D190" s="3" t="s">
        <v>12</v>
      </c>
      <c r="E190" s="3" t="s">
        <v>284</v>
      </c>
      <c r="F190" s="3" t="n">
        <v>5000</v>
      </c>
      <c r="G190" s="3"/>
      <c r="H190" s="3"/>
      <c r="I190" s="4" t="str">
        <f aca="false">IF(AND($A190&lt;&gt;"",$A190=Подбор!$C$4),MAX(I$1:I189)+1,"")</f>
        <v/>
      </c>
    </row>
    <row r="191" customFormat="false" ht="15" hidden="false" customHeight="false" outlineLevel="0" collapsed="false">
      <c r="A191" s="3" t="s">
        <v>285</v>
      </c>
      <c r="B191" s="3" t="s">
        <v>10</v>
      </c>
      <c r="C191" s="3" t="s">
        <v>11</v>
      </c>
      <c r="D191" s="3" t="s">
        <v>12</v>
      </c>
      <c r="E191" s="3" t="s">
        <v>286</v>
      </c>
      <c r="F191" s="3" t="n">
        <v>25000</v>
      </c>
      <c r="G191" s="3"/>
      <c r="H191" s="3"/>
      <c r="I191" s="4" t="str">
        <f aca="false">IF(AND($A191&lt;&gt;"",$A191=Подбор!$C$4),MAX(I$1:I190)+1,"")</f>
        <v/>
      </c>
    </row>
    <row r="192" customFormat="false" ht="15" hidden="false" customHeight="false" outlineLevel="0" collapsed="false">
      <c r="A192" s="3" t="s">
        <v>285</v>
      </c>
      <c r="B192" s="3" t="s">
        <v>10</v>
      </c>
      <c r="C192" s="3" t="s">
        <v>14</v>
      </c>
      <c r="D192" s="3" t="s">
        <v>15</v>
      </c>
      <c r="E192" s="3" t="s">
        <v>287</v>
      </c>
      <c r="F192" s="3"/>
      <c r="G192" s="3"/>
      <c r="H192" s="3"/>
      <c r="I192" s="4" t="str">
        <f aca="false">IF(AND($A192&lt;&gt;"",$A192=Подбор!$C$4),MAX(I$1:I191)+1,"")</f>
        <v/>
      </c>
    </row>
    <row r="193" customFormat="false" ht="15" hidden="false" customHeight="false" outlineLevel="0" collapsed="false">
      <c r="A193" s="3" t="s">
        <v>288</v>
      </c>
      <c r="B193" s="3" t="s">
        <v>10</v>
      </c>
      <c r="C193" s="3" t="s">
        <v>11</v>
      </c>
      <c r="D193" s="3" t="s">
        <v>12</v>
      </c>
      <c r="E193" s="3" t="s">
        <v>289</v>
      </c>
      <c r="F193" s="3" t="n">
        <v>20000</v>
      </c>
      <c r="G193" s="3"/>
      <c r="H193" s="3"/>
      <c r="I193" s="4" t="str">
        <f aca="false">IF(AND($A193&lt;&gt;"",$A193=Подбор!$C$4),MAX(I$1:I192)+1,"")</f>
        <v/>
      </c>
    </row>
    <row r="194" customFormat="false" ht="15" hidden="false" customHeight="false" outlineLevel="0" collapsed="false">
      <c r="A194" s="3" t="s">
        <v>290</v>
      </c>
      <c r="B194" s="3" t="s">
        <v>10</v>
      </c>
      <c r="C194" s="3" t="s">
        <v>11</v>
      </c>
      <c r="D194" s="3" t="s">
        <v>12</v>
      </c>
      <c r="E194" s="3" t="s">
        <v>291</v>
      </c>
      <c r="F194" s="3" t="n">
        <v>5000</v>
      </c>
      <c r="G194" s="3"/>
      <c r="H194" s="3"/>
      <c r="I194" s="4" t="str">
        <f aca="false">IF(AND($A194&lt;&gt;"",$A194=Подбор!$C$4),MAX(I$1:I193)+1,"")</f>
        <v/>
      </c>
    </row>
    <row r="195" customFormat="false" ht="15" hidden="false" customHeight="false" outlineLevel="0" collapsed="false">
      <c r="A195" s="3" t="s">
        <v>292</v>
      </c>
      <c r="B195" s="3" t="s">
        <v>10</v>
      </c>
      <c r="C195" s="3" t="s">
        <v>11</v>
      </c>
      <c r="D195" s="3" t="s">
        <v>12</v>
      </c>
      <c r="E195" s="3" t="s">
        <v>293</v>
      </c>
      <c r="F195" s="3" t="n">
        <v>5000</v>
      </c>
      <c r="G195" s="3"/>
      <c r="H195" s="3"/>
      <c r="I195" s="4" t="str">
        <f aca="false">IF(AND($A195&lt;&gt;"",$A195=Подбор!$C$4),MAX(I$1:I194)+1,"")</f>
        <v/>
      </c>
    </row>
    <row r="196" customFormat="false" ht="15" hidden="false" customHeight="false" outlineLevel="0" collapsed="false">
      <c r="A196" s="3" t="s">
        <v>294</v>
      </c>
      <c r="B196" s="3" t="s">
        <v>10</v>
      </c>
      <c r="C196" s="3" t="s">
        <v>11</v>
      </c>
      <c r="D196" s="3" t="s">
        <v>12</v>
      </c>
      <c r="E196" s="3" t="s">
        <v>289</v>
      </c>
      <c r="F196" s="3" t="n">
        <v>20000</v>
      </c>
      <c r="G196" s="3"/>
      <c r="H196" s="3"/>
      <c r="I196" s="4" t="str">
        <f aca="false">IF(AND($A196&lt;&gt;"",$A196=Подбор!$C$4),MAX(I$1:I195)+1,"")</f>
        <v/>
      </c>
    </row>
    <row r="197" customFormat="false" ht="15" hidden="false" customHeight="false" outlineLevel="0" collapsed="false">
      <c r="A197" s="3" t="s">
        <v>295</v>
      </c>
      <c r="B197" s="3" t="s">
        <v>10</v>
      </c>
      <c r="C197" s="3" t="s">
        <v>11</v>
      </c>
      <c r="D197" s="3" t="s">
        <v>12</v>
      </c>
      <c r="E197" s="3" t="s">
        <v>296</v>
      </c>
      <c r="F197" s="3" t="n">
        <v>15000</v>
      </c>
      <c r="G197" s="3"/>
      <c r="H197" s="3"/>
      <c r="I197" s="4" t="str">
        <f aca="false">IF(AND($A197&lt;&gt;"",$A197=Подбор!$C$4),MAX(I$1:I196)+1,"")</f>
        <v/>
      </c>
    </row>
    <row r="198" customFormat="false" ht="15" hidden="false" customHeight="false" outlineLevel="0" collapsed="false">
      <c r="A198" s="3" t="s">
        <v>297</v>
      </c>
      <c r="B198" s="3" t="s">
        <v>10</v>
      </c>
      <c r="C198" s="3" t="s">
        <v>11</v>
      </c>
      <c r="D198" s="3" t="s">
        <v>12</v>
      </c>
      <c r="E198" s="3" t="s">
        <v>296</v>
      </c>
      <c r="F198" s="3" t="n">
        <v>15000</v>
      </c>
      <c r="G198" s="3"/>
      <c r="H198" s="3"/>
      <c r="I198" s="4" t="str">
        <f aca="false">IF(AND($A198&lt;&gt;"",$A198=Подбор!$C$4),MAX(I$1:I197)+1,"")</f>
        <v/>
      </c>
    </row>
    <row r="199" customFormat="false" ht="15" hidden="false" customHeight="false" outlineLevel="0" collapsed="false">
      <c r="A199" s="3" t="s">
        <v>297</v>
      </c>
      <c r="B199" s="3" t="s">
        <v>10</v>
      </c>
      <c r="C199" s="3" t="s">
        <v>14</v>
      </c>
      <c r="D199" s="3" t="s">
        <v>15</v>
      </c>
      <c r="E199" s="3" t="s">
        <v>298</v>
      </c>
      <c r="F199" s="3"/>
      <c r="G199" s="3"/>
      <c r="H199" s="3"/>
      <c r="I199" s="4" t="str">
        <f aca="false">IF(AND($A199&lt;&gt;"",$A199=Подбор!$C$4),MAX(I$1:I198)+1,"")</f>
        <v/>
      </c>
    </row>
    <row r="200" customFormat="false" ht="15" hidden="false" customHeight="false" outlineLevel="0" collapsed="false">
      <c r="A200" s="3" t="s">
        <v>299</v>
      </c>
      <c r="B200" s="3" t="s">
        <v>10</v>
      </c>
      <c r="C200" s="3" t="s">
        <v>11</v>
      </c>
      <c r="D200" s="3" t="s">
        <v>12</v>
      </c>
      <c r="E200" s="3" t="s">
        <v>300</v>
      </c>
      <c r="F200" s="3" t="n">
        <v>22000</v>
      </c>
      <c r="G200" s="3"/>
      <c r="H200" s="3"/>
      <c r="I200" s="4" t="str">
        <f aca="false">IF(AND($A200&lt;&gt;"",$A200=Подбор!$C$4),MAX(I$1:I199)+1,"")</f>
        <v/>
      </c>
    </row>
    <row r="201" customFormat="false" ht="15" hidden="false" customHeight="false" outlineLevel="0" collapsed="false">
      <c r="A201" s="3" t="s">
        <v>299</v>
      </c>
      <c r="B201" s="3" t="s">
        <v>10</v>
      </c>
      <c r="C201" s="3" t="s">
        <v>11</v>
      </c>
      <c r="D201" s="3" t="s">
        <v>21</v>
      </c>
      <c r="E201" s="3" t="s">
        <v>301</v>
      </c>
      <c r="F201" s="3" t="n">
        <v>15000</v>
      </c>
      <c r="G201" s="3"/>
      <c r="H201" s="3"/>
      <c r="I201" s="4" t="str">
        <f aca="false">IF(AND($A201&lt;&gt;"",$A201=Подбор!$C$4),MAX(I$1:I200)+1,"")</f>
        <v/>
      </c>
    </row>
    <row r="202" customFormat="false" ht="15" hidden="false" customHeight="false" outlineLevel="0" collapsed="false">
      <c r="A202" s="3" t="s">
        <v>299</v>
      </c>
      <c r="B202" s="3" t="s">
        <v>10</v>
      </c>
      <c r="C202" s="3" t="s">
        <v>11</v>
      </c>
      <c r="D202" s="3" t="s">
        <v>23</v>
      </c>
      <c r="E202" s="3" t="s">
        <v>302</v>
      </c>
      <c r="F202" s="3" t="n">
        <v>15000</v>
      </c>
      <c r="G202" s="3"/>
      <c r="H202" s="3"/>
      <c r="I202" s="4" t="str">
        <f aca="false">IF(AND($A202&lt;&gt;"",$A202=Подбор!$C$4),MAX(I$1:I201)+1,"")</f>
        <v/>
      </c>
    </row>
    <row r="203" customFormat="false" ht="15" hidden="false" customHeight="false" outlineLevel="0" collapsed="false">
      <c r="A203" s="3" t="s">
        <v>299</v>
      </c>
      <c r="B203" s="3" t="s">
        <v>10</v>
      </c>
      <c r="C203" s="3" t="s">
        <v>11</v>
      </c>
      <c r="D203" s="3" t="s">
        <v>25</v>
      </c>
      <c r="E203" s="3" t="s">
        <v>303</v>
      </c>
      <c r="F203" s="3" t="n">
        <v>15000</v>
      </c>
      <c r="G203" s="3"/>
      <c r="H203" s="3"/>
      <c r="I203" s="4" t="str">
        <f aca="false">IF(AND($A203&lt;&gt;"",$A203=Подбор!$C$4),MAX(I$1:I202)+1,"")</f>
        <v/>
      </c>
    </row>
    <row r="204" customFormat="false" ht="15" hidden="false" customHeight="false" outlineLevel="0" collapsed="false">
      <c r="A204" s="3" t="s">
        <v>299</v>
      </c>
      <c r="B204" s="3" t="s">
        <v>10</v>
      </c>
      <c r="C204" s="3" t="s">
        <v>14</v>
      </c>
      <c r="D204" s="3" t="s">
        <v>15</v>
      </c>
      <c r="E204" s="3" t="s">
        <v>304</v>
      </c>
      <c r="F204" s="3"/>
      <c r="G204" s="3"/>
      <c r="H204" s="3"/>
      <c r="I204" s="4" t="str">
        <f aca="false">IF(AND($A204&lt;&gt;"",$A204=Подбор!$C$4),MAX(I$1:I203)+1,"")</f>
        <v/>
      </c>
    </row>
    <row r="205" customFormat="false" ht="15" hidden="false" customHeight="false" outlineLevel="0" collapsed="false">
      <c r="A205" s="3" t="s">
        <v>305</v>
      </c>
      <c r="B205" s="3" t="s">
        <v>10</v>
      </c>
      <c r="C205" s="3" t="s">
        <v>11</v>
      </c>
      <c r="D205" s="3" t="s">
        <v>12</v>
      </c>
      <c r="E205" s="3" t="s">
        <v>306</v>
      </c>
      <c r="F205" s="3" t="n">
        <v>10000</v>
      </c>
      <c r="G205" s="3"/>
      <c r="H205" s="3"/>
      <c r="I205" s="4" t="str">
        <f aca="false">IF(AND($A205&lt;&gt;"",$A205=Подбор!$C$4),MAX(I$1:I204)+1,"")</f>
        <v/>
      </c>
    </row>
    <row r="206" customFormat="false" ht="15" hidden="false" customHeight="false" outlineLevel="0" collapsed="false">
      <c r="A206" s="3" t="s">
        <v>307</v>
      </c>
      <c r="B206" s="3" t="s">
        <v>10</v>
      </c>
      <c r="C206" s="3" t="s">
        <v>11</v>
      </c>
      <c r="D206" s="3" t="s">
        <v>12</v>
      </c>
      <c r="E206" s="3" t="s">
        <v>146</v>
      </c>
      <c r="F206" s="3" t="n">
        <v>30000</v>
      </c>
      <c r="G206" s="3"/>
      <c r="H206" s="3"/>
      <c r="I206" s="4" t="str">
        <f aca="false">IF(AND($A206&lt;&gt;"",$A206=Подбор!$C$4),MAX(I$1:I205)+1,"")</f>
        <v/>
      </c>
    </row>
    <row r="207" customFormat="false" ht="15" hidden="false" customHeight="false" outlineLevel="0" collapsed="false">
      <c r="A207" s="3" t="s">
        <v>307</v>
      </c>
      <c r="B207" s="3" t="s">
        <v>10</v>
      </c>
      <c r="C207" s="3" t="s">
        <v>14</v>
      </c>
      <c r="D207" s="3" t="s">
        <v>15</v>
      </c>
      <c r="E207" s="3" t="s">
        <v>147</v>
      </c>
      <c r="F207" s="3"/>
      <c r="G207" s="3"/>
      <c r="H207" s="3"/>
      <c r="I207" s="4" t="str">
        <f aca="false">IF(AND($A207&lt;&gt;"",$A207=Подбор!$C$4),MAX(I$1:I206)+1,"")</f>
        <v/>
      </c>
    </row>
    <row r="208" customFormat="false" ht="15" hidden="false" customHeight="false" outlineLevel="0" collapsed="false">
      <c r="A208" s="3" t="s">
        <v>308</v>
      </c>
      <c r="B208" s="3" t="s">
        <v>10</v>
      </c>
      <c r="C208" s="3" t="s">
        <v>11</v>
      </c>
      <c r="D208" s="3" t="s">
        <v>12</v>
      </c>
      <c r="E208" s="3" t="s">
        <v>309</v>
      </c>
      <c r="F208" s="3" t="n">
        <v>22000</v>
      </c>
      <c r="G208" s="3"/>
      <c r="H208" s="3"/>
      <c r="I208" s="4" t="str">
        <f aca="false">IF(AND($A208&lt;&gt;"",$A208=Подбор!$C$4),MAX(I$1:I207)+1,"")</f>
        <v/>
      </c>
    </row>
    <row r="209" customFormat="false" ht="15" hidden="false" customHeight="false" outlineLevel="0" collapsed="false">
      <c r="A209" s="3" t="s">
        <v>310</v>
      </c>
      <c r="B209" s="3" t="s">
        <v>10</v>
      </c>
      <c r="C209" s="3" t="s">
        <v>11</v>
      </c>
      <c r="D209" s="3" t="s">
        <v>12</v>
      </c>
      <c r="E209" s="3" t="s">
        <v>311</v>
      </c>
      <c r="F209" s="3" t="n">
        <v>30000</v>
      </c>
      <c r="G209" s="3"/>
      <c r="H209" s="3"/>
      <c r="I209" s="4" t="str">
        <f aca="false">IF(AND($A209&lt;&gt;"",$A209=Подбор!$C$4),MAX(I$1:I208)+1,"")</f>
        <v/>
      </c>
    </row>
    <row r="210" customFormat="false" ht="15" hidden="false" customHeight="false" outlineLevel="0" collapsed="false">
      <c r="A210" s="3" t="s">
        <v>310</v>
      </c>
      <c r="B210" s="3" t="s">
        <v>10</v>
      </c>
      <c r="C210" s="3" t="s">
        <v>14</v>
      </c>
      <c r="D210" s="3" t="s">
        <v>15</v>
      </c>
      <c r="E210" s="3" t="s">
        <v>147</v>
      </c>
      <c r="F210" s="3"/>
      <c r="G210" s="3"/>
      <c r="H210" s="3"/>
      <c r="I210" s="4" t="str">
        <f aca="false">IF(AND($A210&lt;&gt;"",$A210=Подбор!$C$4),MAX(I$1:I209)+1,"")</f>
        <v/>
      </c>
    </row>
    <row r="211" customFormat="false" ht="15" hidden="false" customHeight="false" outlineLevel="0" collapsed="false">
      <c r="A211" s="3" t="s">
        <v>312</v>
      </c>
      <c r="B211" s="3" t="s">
        <v>10</v>
      </c>
      <c r="C211" s="3" t="s">
        <v>11</v>
      </c>
      <c r="D211" s="3" t="s">
        <v>12</v>
      </c>
      <c r="E211" s="3" t="s">
        <v>313</v>
      </c>
      <c r="F211" s="3" t="n">
        <v>22000</v>
      </c>
      <c r="G211" s="3"/>
      <c r="H211" s="3"/>
      <c r="I211" s="4" t="str">
        <f aca="false">IF(AND($A211&lt;&gt;"",$A211=Подбор!$C$4),MAX(I$1:I210)+1,"")</f>
        <v/>
      </c>
    </row>
    <row r="212" customFormat="false" ht="15" hidden="false" customHeight="false" outlineLevel="0" collapsed="false">
      <c r="A212" s="3" t="s">
        <v>312</v>
      </c>
      <c r="B212" s="3" t="s">
        <v>10</v>
      </c>
      <c r="C212" s="3" t="s">
        <v>11</v>
      </c>
      <c r="D212" s="3" t="s">
        <v>21</v>
      </c>
      <c r="E212" s="3" t="s">
        <v>314</v>
      </c>
      <c r="F212" s="3" t="n">
        <v>15000</v>
      </c>
      <c r="G212" s="3"/>
      <c r="H212" s="3"/>
      <c r="I212" s="4" t="str">
        <f aca="false">IF(AND($A212&lt;&gt;"",$A212=Подбор!$C$4),MAX(I$1:I211)+1,"")</f>
        <v/>
      </c>
    </row>
    <row r="213" customFormat="false" ht="15" hidden="false" customHeight="false" outlineLevel="0" collapsed="false">
      <c r="A213" s="3" t="s">
        <v>312</v>
      </c>
      <c r="B213" s="3" t="s">
        <v>10</v>
      </c>
      <c r="C213" s="3" t="s">
        <v>11</v>
      </c>
      <c r="D213" s="3" t="s">
        <v>23</v>
      </c>
      <c r="E213" s="3" t="s">
        <v>315</v>
      </c>
      <c r="F213" s="3" t="n">
        <v>15000</v>
      </c>
      <c r="G213" s="3"/>
      <c r="H213" s="3"/>
      <c r="I213" s="4" t="str">
        <f aca="false">IF(AND($A213&lt;&gt;"",$A213=Подбор!$C$4),MAX(I$1:I212)+1,"")</f>
        <v/>
      </c>
    </row>
    <row r="214" customFormat="false" ht="15" hidden="false" customHeight="false" outlineLevel="0" collapsed="false">
      <c r="A214" s="3" t="s">
        <v>312</v>
      </c>
      <c r="B214" s="3" t="s">
        <v>10</v>
      </c>
      <c r="C214" s="3" t="s">
        <v>11</v>
      </c>
      <c r="D214" s="3" t="s">
        <v>25</v>
      </c>
      <c r="E214" s="3" t="s">
        <v>316</v>
      </c>
      <c r="F214" s="3" t="n">
        <v>15000</v>
      </c>
      <c r="G214" s="3"/>
      <c r="H214" s="3"/>
      <c r="I214" s="4" t="str">
        <f aca="false">IF(AND($A214&lt;&gt;"",$A214=Подбор!$C$4),MAX(I$1:I213)+1,"")</f>
        <v/>
      </c>
    </row>
    <row r="215" customFormat="false" ht="15" hidden="false" customHeight="false" outlineLevel="0" collapsed="false">
      <c r="A215" s="3" t="s">
        <v>312</v>
      </c>
      <c r="B215" s="3" t="s">
        <v>10</v>
      </c>
      <c r="C215" s="3" t="s">
        <v>14</v>
      </c>
      <c r="D215" s="3" t="s">
        <v>15</v>
      </c>
      <c r="E215" s="3" t="s">
        <v>317</v>
      </c>
      <c r="F215" s="3"/>
      <c r="G215" s="3"/>
      <c r="H215" s="3"/>
      <c r="I215" s="4" t="str">
        <f aca="false">IF(AND($A215&lt;&gt;"",$A215=Подбор!$C$4),MAX(I$1:I214)+1,"")</f>
        <v/>
      </c>
    </row>
    <row r="216" customFormat="false" ht="15" hidden="false" customHeight="false" outlineLevel="0" collapsed="false">
      <c r="A216" s="3" t="s">
        <v>318</v>
      </c>
      <c r="B216" s="3" t="s">
        <v>10</v>
      </c>
      <c r="C216" s="3" t="s">
        <v>11</v>
      </c>
      <c r="D216" s="3" t="s">
        <v>12</v>
      </c>
      <c r="E216" s="3" t="s">
        <v>13</v>
      </c>
      <c r="F216" s="3" t="n">
        <v>30000</v>
      </c>
      <c r="G216" s="3"/>
      <c r="H216" s="3"/>
      <c r="I216" s="4" t="str">
        <f aca="false">IF(AND($A216&lt;&gt;"",$A216=Подбор!$C$4),MAX(I$1:I215)+1,"")</f>
        <v/>
      </c>
    </row>
    <row r="217" customFormat="false" ht="15" hidden="false" customHeight="false" outlineLevel="0" collapsed="false">
      <c r="A217" s="3" t="s">
        <v>318</v>
      </c>
      <c r="B217" s="3" t="s">
        <v>10</v>
      </c>
      <c r="C217" s="3" t="s">
        <v>14</v>
      </c>
      <c r="D217" s="3" t="s">
        <v>15</v>
      </c>
      <c r="E217" s="3" t="s">
        <v>16</v>
      </c>
      <c r="F217" s="3"/>
      <c r="G217" s="3"/>
      <c r="H217" s="3"/>
      <c r="I217" s="4" t="str">
        <f aca="false">IF(AND($A217&lt;&gt;"",$A217=Подбор!$C$4),MAX(I$1:I216)+1,"")</f>
        <v/>
      </c>
    </row>
    <row r="218" customFormat="false" ht="15" hidden="false" customHeight="false" outlineLevel="0" collapsed="false">
      <c r="A218" s="3" t="s">
        <v>318</v>
      </c>
      <c r="B218" s="3" t="s">
        <v>10</v>
      </c>
      <c r="C218" s="3" t="s">
        <v>17</v>
      </c>
      <c r="D218" s="3" t="s">
        <v>15</v>
      </c>
      <c r="E218" s="3" t="s">
        <v>18</v>
      </c>
      <c r="F218" s="3"/>
      <c r="G218" s="3"/>
      <c r="H218" s="3"/>
      <c r="I218" s="4" t="str">
        <f aca="false">IF(AND($A218&lt;&gt;"",$A218=Подбор!$C$4),MAX(I$1:I217)+1,"")</f>
        <v/>
      </c>
    </row>
    <row r="219" customFormat="false" ht="15" hidden="false" customHeight="false" outlineLevel="0" collapsed="false">
      <c r="A219" s="3" t="s">
        <v>319</v>
      </c>
      <c r="B219" s="3" t="s">
        <v>10</v>
      </c>
      <c r="C219" s="3" t="s">
        <v>11</v>
      </c>
      <c r="D219" s="3" t="s">
        <v>12</v>
      </c>
      <c r="E219" s="3" t="s">
        <v>13</v>
      </c>
      <c r="F219" s="3" t="n">
        <v>30000</v>
      </c>
      <c r="G219" s="3"/>
      <c r="H219" s="3"/>
      <c r="I219" s="4" t="str">
        <f aca="false">IF(AND($A219&lt;&gt;"",$A219=Подбор!$C$4),MAX(I$1:I218)+1,"")</f>
        <v/>
      </c>
    </row>
    <row r="220" customFormat="false" ht="15" hidden="false" customHeight="false" outlineLevel="0" collapsed="false">
      <c r="A220" s="3" t="s">
        <v>319</v>
      </c>
      <c r="B220" s="3" t="s">
        <v>10</v>
      </c>
      <c r="C220" s="3" t="s">
        <v>14</v>
      </c>
      <c r="D220" s="3" t="s">
        <v>15</v>
      </c>
      <c r="E220" s="3" t="s">
        <v>16</v>
      </c>
      <c r="F220" s="3"/>
      <c r="G220" s="3"/>
      <c r="H220" s="3"/>
      <c r="I220" s="4" t="str">
        <f aca="false">IF(AND($A220&lt;&gt;"",$A220=Подбор!$C$4),MAX(I$1:I219)+1,"")</f>
        <v/>
      </c>
    </row>
    <row r="221" customFormat="false" ht="15" hidden="false" customHeight="false" outlineLevel="0" collapsed="false">
      <c r="A221" s="3" t="s">
        <v>319</v>
      </c>
      <c r="B221" s="3" t="s">
        <v>10</v>
      </c>
      <c r="C221" s="3" t="s">
        <v>17</v>
      </c>
      <c r="D221" s="3" t="s">
        <v>15</v>
      </c>
      <c r="E221" s="3" t="s">
        <v>18</v>
      </c>
      <c r="F221" s="3"/>
      <c r="G221" s="3"/>
      <c r="H221" s="3"/>
      <c r="I221" s="4" t="str">
        <f aca="false">IF(AND($A221&lt;&gt;"",$A221=Подбор!$C$4),MAX(I$1:I220)+1,"")</f>
        <v/>
      </c>
    </row>
    <row r="222" customFormat="false" ht="15" hidden="false" customHeight="false" outlineLevel="0" collapsed="false">
      <c r="A222" s="3" t="s">
        <v>320</v>
      </c>
      <c r="B222" s="3" t="s">
        <v>10</v>
      </c>
      <c r="C222" s="3" t="s">
        <v>11</v>
      </c>
      <c r="D222" s="3" t="s">
        <v>12</v>
      </c>
      <c r="E222" s="3" t="s">
        <v>321</v>
      </c>
      <c r="F222" s="3" t="n">
        <v>10000</v>
      </c>
      <c r="G222" s="3"/>
      <c r="H222" s="3"/>
      <c r="I222" s="4" t="str">
        <f aca="false">IF(AND($A222&lt;&gt;"",$A222=Подбор!$C$4),MAX(I$1:I221)+1,"")</f>
        <v/>
      </c>
    </row>
    <row r="223" customFormat="false" ht="15" hidden="false" customHeight="false" outlineLevel="0" collapsed="false">
      <c r="A223" s="3" t="s">
        <v>320</v>
      </c>
      <c r="B223" s="3" t="s">
        <v>10</v>
      </c>
      <c r="C223" s="3" t="s">
        <v>11</v>
      </c>
      <c r="D223" s="3" t="s">
        <v>21</v>
      </c>
      <c r="E223" s="3" t="s">
        <v>322</v>
      </c>
      <c r="F223" s="3" t="n">
        <v>9000</v>
      </c>
      <c r="G223" s="3"/>
      <c r="H223" s="3"/>
      <c r="I223" s="4" t="str">
        <f aca="false">IF(AND($A223&lt;&gt;"",$A223=Подбор!$C$4),MAX(I$1:I222)+1,"")</f>
        <v/>
      </c>
    </row>
    <row r="224" customFormat="false" ht="15" hidden="false" customHeight="false" outlineLevel="0" collapsed="false">
      <c r="A224" s="3" t="s">
        <v>320</v>
      </c>
      <c r="B224" s="3" t="s">
        <v>10</v>
      </c>
      <c r="C224" s="3" t="s">
        <v>11</v>
      </c>
      <c r="D224" s="3" t="s">
        <v>23</v>
      </c>
      <c r="E224" s="3" t="s">
        <v>323</v>
      </c>
      <c r="F224" s="3" t="n">
        <v>9000</v>
      </c>
      <c r="G224" s="3"/>
      <c r="H224" s="3"/>
      <c r="I224" s="4" t="str">
        <f aca="false">IF(AND($A224&lt;&gt;"",$A224=Подбор!$C$4),MAX(I$1:I223)+1,"")</f>
        <v/>
      </c>
    </row>
    <row r="225" customFormat="false" ht="15" hidden="false" customHeight="false" outlineLevel="0" collapsed="false">
      <c r="A225" s="3" t="s">
        <v>320</v>
      </c>
      <c r="B225" s="3" t="s">
        <v>10</v>
      </c>
      <c r="C225" s="3" t="s">
        <v>11</v>
      </c>
      <c r="D225" s="3" t="s">
        <v>25</v>
      </c>
      <c r="E225" s="3" t="s">
        <v>324</v>
      </c>
      <c r="F225" s="3" t="n">
        <v>9000</v>
      </c>
      <c r="G225" s="3"/>
      <c r="H225" s="3"/>
      <c r="I225" s="4" t="str">
        <f aca="false">IF(AND($A225&lt;&gt;"",$A225=Подбор!$C$4),MAX(I$1:I224)+1,"")</f>
        <v/>
      </c>
    </row>
    <row r="226" customFormat="false" ht="15" hidden="false" customHeight="false" outlineLevel="0" collapsed="false">
      <c r="A226" s="3" t="s">
        <v>320</v>
      </c>
      <c r="B226" s="3" t="s">
        <v>10</v>
      </c>
      <c r="C226" s="3" t="s">
        <v>14</v>
      </c>
      <c r="D226" s="3" t="s">
        <v>15</v>
      </c>
      <c r="E226" s="3" t="s">
        <v>325</v>
      </c>
      <c r="F226" s="3"/>
      <c r="G226" s="3"/>
      <c r="H226" s="3"/>
      <c r="I226" s="4" t="str">
        <f aca="false">IF(AND($A226&lt;&gt;"",$A226=Подбор!$C$4),MAX(I$1:I225)+1,"")</f>
        <v/>
      </c>
    </row>
    <row r="227" customFormat="false" ht="15" hidden="false" customHeight="false" outlineLevel="0" collapsed="false">
      <c r="A227" s="3" t="s">
        <v>320</v>
      </c>
      <c r="B227" s="3" t="s">
        <v>10</v>
      </c>
      <c r="C227" s="3" t="s">
        <v>30</v>
      </c>
      <c r="D227" s="3" t="s">
        <v>15</v>
      </c>
      <c r="E227" s="3" t="s">
        <v>326</v>
      </c>
      <c r="F227" s="3"/>
      <c r="G227" s="3"/>
      <c r="H227" s="3"/>
      <c r="I227" s="4" t="str">
        <f aca="false">IF(AND($A227&lt;&gt;"",$A227=Подбор!$C$4),MAX(I$1:I226)+1,"")</f>
        <v/>
      </c>
    </row>
    <row r="228" customFormat="false" ht="15" hidden="false" customHeight="false" outlineLevel="0" collapsed="false">
      <c r="A228" s="3" t="s">
        <v>327</v>
      </c>
      <c r="B228" s="3" t="s">
        <v>10</v>
      </c>
      <c r="C228" s="3" t="s">
        <v>11</v>
      </c>
      <c r="D228" s="3" t="s">
        <v>12</v>
      </c>
      <c r="E228" s="3" t="s">
        <v>313</v>
      </c>
      <c r="F228" s="3" t="n">
        <v>22000</v>
      </c>
      <c r="G228" s="3"/>
      <c r="H228" s="3"/>
      <c r="I228" s="4" t="str">
        <f aca="false">IF(AND($A228&lt;&gt;"",$A228=Подбор!$C$4),MAX(I$1:I227)+1,"")</f>
        <v/>
      </c>
    </row>
    <row r="229" customFormat="false" ht="15" hidden="false" customHeight="false" outlineLevel="0" collapsed="false">
      <c r="A229" s="3" t="s">
        <v>327</v>
      </c>
      <c r="B229" s="3" t="s">
        <v>10</v>
      </c>
      <c r="C229" s="3" t="s">
        <v>11</v>
      </c>
      <c r="D229" s="3" t="s">
        <v>21</v>
      </c>
      <c r="E229" s="3" t="s">
        <v>314</v>
      </c>
      <c r="F229" s="3" t="n">
        <v>15000</v>
      </c>
      <c r="G229" s="3"/>
      <c r="H229" s="3"/>
      <c r="I229" s="4" t="str">
        <f aca="false">IF(AND($A229&lt;&gt;"",$A229=Подбор!$C$4),MAX(I$1:I228)+1,"")</f>
        <v/>
      </c>
    </row>
    <row r="230" customFormat="false" ht="15" hidden="false" customHeight="false" outlineLevel="0" collapsed="false">
      <c r="A230" s="3" t="s">
        <v>327</v>
      </c>
      <c r="B230" s="3" t="s">
        <v>10</v>
      </c>
      <c r="C230" s="3" t="s">
        <v>11</v>
      </c>
      <c r="D230" s="3" t="s">
        <v>23</v>
      </c>
      <c r="E230" s="3" t="s">
        <v>315</v>
      </c>
      <c r="F230" s="3" t="n">
        <v>15000</v>
      </c>
      <c r="G230" s="3"/>
      <c r="H230" s="3"/>
      <c r="I230" s="4" t="str">
        <f aca="false">IF(AND($A230&lt;&gt;"",$A230=Подбор!$C$4),MAX(I$1:I229)+1,"")</f>
        <v/>
      </c>
    </row>
    <row r="231" customFormat="false" ht="15" hidden="false" customHeight="false" outlineLevel="0" collapsed="false">
      <c r="A231" s="3" t="s">
        <v>327</v>
      </c>
      <c r="B231" s="3" t="s">
        <v>10</v>
      </c>
      <c r="C231" s="3" t="s">
        <v>11</v>
      </c>
      <c r="D231" s="3" t="s">
        <v>25</v>
      </c>
      <c r="E231" s="3" t="s">
        <v>316</v>
      </c>
      <c r="F231" s="3" t="n">
        <v>15000</v>
      </c>
      <c r="G231" s="3"/>
      <c r="H231" s="3"/>
      <c r="I231" s="4" t="str">
        <f aca="false">IF(AND($A231&lt;&gt;"",$A231=Подбор!$C$4),MAX(I$1:I230)+1,"")</f>
        <v/>
      </c>
    </row>
    <row r="232" customFormat="false" ht="15" hidden="false" customHeight="false" outlineLevel="0" collapsed="false">
      <c r="A232" s="3" t="s">
        <v>327</v>
      </c>
      <c r="B232" s="3" t="s">
        <v>10</v>
      </c>
      <c r="C232" s="3" t="s">
        <v>14</v>
      </c>
      <c r="D232" s="3" t="s">
        <v>15</v>
      </c>
      <c r="E232" s="3" t="s">
        <v>317</v>
      </c>
      <c r="F232" s="3"/>
      <c r="G232" s="3"/>
      <c r="H232" s="3"/>
      <c r="I232" s="4" t="str">
        <f aca="false">IF(AND($A232&lt;&gt;"",$A232=Подбор!$C$4),MAX(I$1:I231)+1,"")</f>
        <v/>
      </c>
    </row>
    <row r="233" customFormat="false" ht="15" hidden="false" customHeight="false" outlineLevel="0" collapsed="false">
      <c r="A233" s="3" t="s">
        <v>327</v>
      </c>
      <c r="B233" s="3" t="s">
        <v>10</v>
      </c>
      <c r="C233" s="3" t="s">
        <v>30</v>
      </c>
      <c r="D233" s="3" t="s">
        <v>15</v>
      </c>
      <c r="E233" s="3" t="s">
        <v>328</v>
      </c>
      <c r="F233" s="3"/>
      <c r="G233" s="3"/>
      <c r="H233" s="3"/>
      <c r="I233" s="4" t="str">
        <f aca="false">IF(AND($A233&lt;&gt;"",$A233=Подбор!$C$4),MAX(I$1:I232)+1,"")</f>
        <v/>
      </c>
    </row>
    <row r="234" customFormat="false" ht="15" hidden="false" customHeight="false" outlineLevel="0" collapsed="false">
      <c r="A234" s="3" t="s">
        <v>329</v>
      </c>
      <c r="B234" s="3" t="s">
        <v>10</v>
      </c>
      <c r="C234" s="3" t="s">
        <v>11</v>
      </c>
      <c r="D234" s="3" t="s">
        <v>12</v>
      </c>
      <c r="E234" s="3" t="s">
        <v>330</v>
      </c>
      <c r="F234" s="3" t="n">
        <v>3000</v>
      </c>
      <c r="G234" s="3"/>
      <c r="H234" s="3"/>
      <c r="I234" s="4" t="str">
        <f aca="false">IF(AND($A234&lt;&gt;"",$A234=Подбор!$C$4),MAX(I$1:I233)+1,"")</f>
        <v/>
      </c>
    </row>
    <row r="235" customFormat="false" ht="15" hidden="false" customHeight="false" outlineLevel="0" collapsed="false">
      <c r="A235" s="3" t="s">
        <v>329</v>
      </c>
      <c r="B235" s="3" t="s">
        <v>10</v>
      </c>
      <c r="C235" s="3" t="s">
        <v>14</v>
      </c>
      <c r="D235" s="3" t="s">
        <v>15</v>
      </c>
      <c r="E235" s="3" t="s">
        <v>331</v>
      </c>
      <c r="F235" s="3"/>
      <c r="G235" s="3"/>
      <c r="H235" s="3"/>
      <c r="I235" s="4" t="str">
        <f aca="false">IF(AND($A235&lt;&gt;"",$A235=Подбор!$C$4),MAX(I$1:I234)+1,"")</f>
        <v/>
      </c>
    </row>
    <row r="236" customFormat="false" ht="15" hidden="false" customHeight="false" outlineLevel="0" collapsed="false">
      <c r="A236" s="3" t="s">
        <v>332</v>
      </c>
      <c r="B236" s="3" t="s">
        <v>10</v>
      </c>
      <c r="C236" s="3" t="s">
        <v>11</v>
      </c>
      <c r="D236" s="3" t="s">
        <v>12</v>
      </c>
      <c r="E236" s="3" t="s">
        <v>330</v>
      </c>
      <c r="F236" s="3" t="n">
        <v>3000</v>
      </c>
      <c r="G236" s="3"/>
      <c r="H236" s="3"/>
      <c r="I236" s="4" t="str">
        <f aca="false">IF(AND($A236&lt;&gt;"",$A236=Подбор!$C$4),MAX(I$1:I235)+1,"")</f>
        <v/>
      </c>
    </row>
    <row r="237" customFormat="false" ht="15" hidden="false" customHeight="false" outlineLevel="0" collapsed="false">
      <c r="A237" s="3" t="s">
        <v>332</v>
      </c>
      <c r="B237" s="3" t="s">
        <v>10</v>
      </c>
      <c r="C237" s="3" t="s">
        <v>14</v>
      </c>
      <c r="D237" s="3" t="s">
        <v>15</v>
      </c>
      <c r="E237" s="3" t="s">
        <v>331</v>
      </c>
      <c r="F237" s="3"/>
      <c r="G237" s="3"/>
      <c r="H237" s="3"/>
      <c r="I237" s="4" t="str">
        <f aca="false">IF(AND($A237&lt;&gt;"",$A237=Подбор!$C$4),MAX(I$1:I236)+1,"")</f>
        <v/>
      </c>
    </row>
    <row r="238" customFormat="false" ht="15" hidden="false" customHeight="false" outlineLevel="0" collapsed="false">
      <c r="A238" s="3" t="s">
        <v>333</v>
      </c>
      <c r="B238" s="3" t="s">
        <v>10</v>
      </c>
      <c r="C238" s="3" t="s">
        <v>11</v>
      </c>
      <c r="D238" s="3" t="s">
        <v>12</v>
      </c>
      <c r="E238" s="3" t="s">
        <v>334</v>
      </c>
      <c r="F238" s="3" t="n">
        <v>2000</v>
      </c>
      <c r="G238" s="3"/>
      <c r="H238" s="3"/>
      <c r="I238" s="4" t="str">
        <f aca="false">IF(AND($A238&lt;&gt;"",$A238=Подбор!$C$4),MAX(I$1:I237)+1,"")</f>
        <v/>
      </c>
    </row>
    <row r="239" customFormat="false" ht="15" hidden="false" customHeight="false" outlineLevel="0" collapsed="false">
      <c r="A239" s="3" t="s">
        <v>333</v>
      </c>
      <c r="B239" s="3" t="s">
        <v>10</v>
      </c>
      <c r="C239" s="3" t="s">
        <v>11</v>
      </c>
      <c r="D239" s="3" t="s">
        <v>21</v>
      </c>
      <c r="E239" s="3" t="s">
        <v>335</v>
      </c>
      <c r="F239" s="3" t="n">
        <v>1000</v>
      </c>
      <c r="G239" s="3"/>
      <c r="H239" s="3"/>
      <c r="I239" s="4" t="str">
        <f aca="false">IF(AND($A239&lt;&gt;"",$A239=Подбор!$C$4),MAX(I$1:I238)+1,"")</f>
        <v/>
      </c>
    </row>
    <row r="240" customFormat="false" ht="15" hidden="false" customHeight="false" outlineLevel="0" collapsed="false">
      <c r="A240" s="3" t="s">
        <v>333</v>
      </c>
      <c r="B240" s="3" t="s">
        <v>10</v>
      </c>
      <c r="C240" s="3" t="s">
        <v>11</v>
      </c>
      <c r="D240" s="3" t="s">
        <v>23</v>
      </c>
      <c r="E240" s="3" t="s">
        <v>336</v>
      </c>
      <c r="F240" s="3" t="n">
        <v>1000</v>
      </c>
      <c r="G240" s="3"/>
      <c r="H240" s="3"/>
      <c r="I240" s="4" t="str">
        <f aca="false">IF(AND($A240&lt;&gt;"",$A240=Подбор!$C$4),MAX(I$1:I239)+1,"")</f>
        <v/>
      </c>
    </row>
    <row r="241" customFormat="false" ht="15" hidden="false" customHeight="false" outlineLevel="0" collapsed="false">
      <c r="A241" s="3" t="s">
        <v>333</v>
      </c>
      <c r="B241" s="3" t="s">
        <v>10</v>
      </c>
      <c r="C241" s="3" t="s">
        <v>11</v>
      </c>
      <c r="D241" s="3" t="s">
        <v>25</v>
      </c>
      <c r="E241" s="3" t="s">
        <v>337</v>
      </c>
      <c r="F241" s="3" t="n">
        <v>1000</v>
      </c>
      <c r="G241" s="3"/>
      <c r="H241" s="3"/>
      <c r="I241" s="4" t="str">
        <f aca="false">IF(AND($A241&lt;&gt;"",$A241=Подбор!$C$4),MAX(I$1:I240)+1,"")</f>
        <v/>
      </c>
    </row>
    <row r="242" customFormat="false" ht="15" hidden="false" customHeight="false" outlineLevel="0" collapsed="false">
      <c r="A242" s="3" t="s">
        <v>338</v>
      </c>
      <c r="B242" s="3" t="s">
        <v>10</v>
      </c>
      <c r="C242" s="3" t="s">
        <v>11</v>
      </c>
      <c r="D242" s="3" t="s">
        <v>12</v>
      </c>
      <c r="E242" s="3" t="s">
        <v>334</v>
      </c>
      <c r="F242" s="3" t="n">
        <v>2000</v>
      </c>
      <c r="G242" s="3"/>
      <c r="H242" s="3"/>
      <c r="I242" s="4" t="str">
        <f aca="false">IF(AND($A242&lt;&gt;"",$A242=Подбор!$C$4),MAX(I$1:I241)+1,"")</f>
        <v/>
      </c>
    </row>
    <row r="243" customFormat="false" ht="15" hidden="false" customHeight="false" outlineLevel="0" collapsed="false">
      <c r="A243" s="3" t="s">
        <v>338</v>
      </c>
      <c r="B243" s="3" t="s">
        <v>10</v>
      </c>
      <c r="C243" s="3" t="s">
        <v>11</v>
      </c>
      <c r="D243" s="3" t="s">
        <v>21</v>
      </c>
      <c r="E243" s="3" t="s">
        <v>335</v>
      </c>
      <c r="F243" s="3" t="n">
        <v>1000</v>
      </c>
      <c r="G243" s="3"/>
      <c r="H243" s="3"/>
      <c r="I243" s="4" t="str">
        <f aca="false">IF(AND($A243&lt;&gt;"",$A243=Подбор!$C$4),MAX(I$1:I242)+1,"")</f>
        <v/>
      </c>
    </row>
    <row r="244" customFormat="false" ht="15" hidden="false" customHeight="false" outlineLevel="0" collapsed="false">
      <c r="A244" s="3" t="s">
        <v>338</v>
      </c>
      <c r="B244" s="3" t="s">
        <v>10</v>
      </c>
      <c r="C244" s="3" t="s">
        <v>11</v>
      </c>
      <c r="D244" s="3" t="s">
        <v>23</v>
      </c>
      <c r="E244" s="3" t="s">
        <v>336</v>
      </c>
      <c r="F244" s="3" t="n">
        <v>1000</v>
      </c>
      <c r="G244" s="3"/>
      <c r="H244" s="3"/>
      <c r="I244" s="4" t="str">
        <f aca="false">IF(AND($A244&lt;&gt;"",$A244=Подбор!$C$4),MAX(I$1:I243)+1,"")</f>
        <v/>
      </c>
    </row>
    <row r="245" customFormat="false" ht="15" hidden="false" customHeight="false" outlineLevel="0" collapsed="false">
      <c r="A245" s="3" t="s">
        <v>338</v>
      </c>
      <c r="B245" s="3" t="s">
        <v>10</v>
      </c>
      <c r="C245" s="3" t="s">
        <v>11</v>
      </c>
      <c r="D245" s="3" t="s">
        <v>25</v>
      </c>
      <c r="E245" s="3" t="s">
        <v>337</v>
      </c>
      <c r="F245" s="3" t="n">
        <v>1000</v>
      </c>
      <c r="G245" s="3"/>
      <c r="H245" s="3"/>
      <c r="I245" s="4" t="str">
        <f aca="false">IF(AND($A245&lt;&gt;"",$A245=Подбор!$C$4),MAX(I$1:I244)+1,"")</f>
        <v/>
      </c>
    </row>
    <row r="246" customFormat="false" ht="15" hidden="false" customHeight="false" outlineLevel="0" collapsed="false">
      <c r="A246" s="3" t="s">
        <v>339</v>
      </c>
      <c r="B246" s="3" t="s">
        <v>10</v>
      </c>
      <c r="C246" s="3" t="s">
        <v>11</v>
      </c>
      <c r="D246" s="3" t="s">
        <v>12</v>
      </c>
      <c r="E246" s="3" t="s">
        <v>340</v>
      </c>
      <c r="F246" s="3" t="n">
        <v>5500</v>
      </c>
      <c r="G246" s="3"/>
      <c r="H246" s="3"/>
      <c r="I246" s="4" t="str">
        <f aca="false">IF(AND($A246&lt;&gt;"",$A246=Подбор!$C$4),MAX(I$1:I245)+1,"")</f>
        <v/>
      </c>
    </row>
    <row r="247" customFormat="false" ht="15" hidden="false" customHeight="false" outlineLevel="0" collapsed="false">
      <c r="A247" s="3" t="s">
        <v>339</v>
      </c>
      <c r="B247" s="3" t="s">
        <v>10</v>
      </c>
      <c r="C247" s="3" t="s">
        <v>11</v>
      </c>
      <c r="D247" s="3" t="s">
        <v>21</v>
      </c>
      <c r="E247" s="3" t="s">
        <v>341</v>
      </c>
      <c r="F247" s="3" t="n">
        <v>2400</v>
      </c>
      <c r="G247" s="3"/>
      <c r="H247" s="3"/>
      <c r="I247" s="4" t="str">
        <f aca="false">IF(AND($A247&lt;&gt;"",$A247=Подбор!$C$4),MAX(I$1:I246)+1,"")</f>
        <v/>
      </c>
    </row>
    <row r="248" customFormat="false" ht="15" hidden="false" customHeight="false" outlineLevel="0" collapsed="false">
      <c r="A248" s="3" t="s">
        <v>339</v>
      </c>
      <c r="B248" s="3" t="s">
        <v>10</v>
      </c>
      <c r="C248" s="3" t="s">
        <v>11</v>
      </c>
      <c r="D248" s="3" t="s">
        <v>23</v>
      </c>
      <c r="E248" s="3" t="s">
        <v>342</v>
      </c>
      <c r="F248" s="3" t="n">
        <v>2400</v>
      </c>
      <c r="G248" s="3"/>
      <c r="H248" s="3"/>
      <c r="I248" s="4" t="str">
        <f aca="false">IF(AND($A248&lt;&gt;"",$A248=Подбор!$C$4),MAX(I$1:I247)+1,"")</f>
        <v/>
      </c>
    </row>
    <row r="249" customFormat="false" ht="15" hidden="false" customHeight="false" outlineLevel="0" collapsed="false">
      <c r="A249" s="3" t="s">
        <v>339</v>
      </c>
      <c r="B249" s="3" t="s">
        <v>10</v>
      </c>
      <c r="C249" s="3" t="s">
        <v>11</v>
      </c>
      <c r="D249" s="3" t="s">
        <v>25</v>
      </c>
      <c r="E249" s="3" t="s">
        <v>343</v>
      </c>
      <c r="F249" s="3" t="n">
        <v>2400</v>
      </c>
      <c r="G249" s="3"/>
      <c r="H249" s="3"/>
      <c r="I249" s="4" t="str">
        <f aca="false">IF(AND($A249&lt;&gt;"",$A249=Подбор!$C$4),MAX(I$1:I248)+1,"")</f>
        <v/>
      </c>
    </row>
    <row r="250" customFormat="false" ht="15" hidden="false" customHeight="false" outlineLevel="0" collapsed="false">
      <c r="A250" s="3" t="s">
        <v>339</v>
      </c>
      <c r="B250" s="3" t="s">
        <v>10</v>
      </c>
      <c r="C250" s="3" t="s">
        <v>14</v>
      </c>
      <c r="D250" s="3" t="s">
        <v>15</v>
      </c>
      <c r="E250" s="3" t="s">
        <v>344</v>
      </c>
      <c r="F250" s="3" t="n">
        <v>48000</v>
      </c>
      <c r="G250" s="3"/>
      <c r="H250" s="3"/>
      <c r="I250" s="4" t="str">
        <f aca="false">IF(AND($A250&lt;&gt;"",$A250=Подбор!$C$4),MAX(I$1:I249)+1,"")</f>
        <v/>
      </c>
    </row>
    <row r="251" customFormat="false" ht="15" hidden="false" customHeight="false" outlineLevel="0" collapsed="false">
      <c r="A251" s="3" t="s">
        <v>339</v>
      </c>
      <c r="B251" s="3" t="s">
        <v>10</v>
      </c>
      <c r="C251" s="3" t="s">
        <v>30</v>
      </c>
      <c r="D251" s="3" t="s">
        <v>15</v>
      </c>
      <c r="E251" s="3" t="s">
        <v>345</v>
      </c>
      <c r="F251" s="3"/>
      <c r="G251" s="3"/>
      <c r="H251" s="3"/>
      <c r="I251" s="4" t="str">
        <f aca="false">IF(AND($A251&lt;&gt;"",$A251=Подбор!$C$4),MAX(I$1:I250)+1,"")</f>
        <v/>
      </c>
    </row>
    <row r="252" customFormat="false" ht="15" hidden="false" customHeight="false" outlineLevel="0" collapsed="false">
      <c r="A252" s="3" t="s">
        <v>339</v>
      </c>
      <c r="B252" s="3" t="s">
        <v>10</v>
      </c>
      <c r="C252" s="3" t="s">
        <v>17</v>
      </c>
      <c r="D252" s="3" t="s">
        <v>15</v>
      </c>
      <c r="E252" s="3" t="s">
        <v>346</v>
      </c>
      <c r="F252" s="3"/>
      <c r="G252" s="3"/>
      <c r="H252" s="3"/>
      <c r="I252" s="4" t="str">
        <f aca="false">IF(AND($A252&lt;&gt;"",$A252=Подбор!$C$4),MAX(I$1:I251)+1,"")</f>
        <v/>
      </c>
    </row>
    <row r="253" customFormat="false" ht="15" hidden="false" customHeight="false" outlineLevel="0" collapsed="false">
      <c r="A253" s="3" t="s">
        <v>347</v>
      </c>
      <c r="B253" s="3" t="s">
        <v>10</v>
      </c>
      <c r="C253" s="3" t="s">
        <v>11</v>
      </c>
      <c r="D253" s="3" t="s">
        <v>12</v>
      </c>
      <c r="E253" s="3" t="s">
        <v>340</v>
      </c>
      <c r="F253" s="3" t="n">
        <v>5500</v>
      </c>
      <c r="G253" s="3"/>
      <c r="H253" s="3"/>
      <c r="I253" s="4" t="str">
        <f aca="false">IF(AND($A253&lt;&gt;"",$A253=Подбор!$C$4),MAX(I$1:I252)+1,"")</f>
        <v/>
      </c>
    </row>
    <row r="254" customFormat="false" ht="15" hidden="false" customHeight="false" outlineLevel="0" collapsed="false">
      <c r="A254" s="3" t="s">
        <v>347</v>
      </c>
      <c r="B254" s="3" t="s">
        <v>10</v>
      </c>
      <c r="C254" s="3" t="s">
        <v>11</v>
      </c>
      <c r="D254" s="3" t="s">
        <v>21</v>
      </c>
      <c r="E254" s="3" t="s">
        <v>341</v>
      </c>
      <c r="F254" s="3" t="n">
        <v>2400</v>
      </c>
      <c r="G254" s="3"/>
      <c r="H254" s="3"/>
      <c r="I254" s="4" t="str">
        <f aca="false">IF(AND($A254&lt;&gt;"",$A254=Подбор!$C$4),MAX(I$1:I253)+1,"")</f>
        <v/>
      </c>
    </row>
    <row r="255" customFormat="false" ht="15" hidden="false" customHeight="false" outlineLevel="0" collapsed="false">
      <c r="A255" s="3" t="s">
        <v>347</v>
      </c>
      <c r="B255" s="3" t="s">
        <v>10</v>
      </c>
      <c r="C255" s="3" t="s">
        <v>11</v>
      </c>
      <c r="D255" s="3" t="s">
        <v>23</v>
      </c>
      <c r="E255" s="3" t="s">
        <v>342</v>
      </c>
      <c r="F255" s="3" t="n">
        <v>2400</v>
      </c>
      <c r="G255" s="3"/>
      <c r="H255" s="3"/>
      <c r="I255" s="4" t="str">
        <f aca="false">IF(AND($A255&lt;&gt;"",$A255=Подбор!$C$4),MAX(I$1:I254)+1,"")</f>
        <v/>
      </c>
    </row>
    <row r="256" customFormat="false" ht="15" hidden="false" customHeight="false" outlineLevel="0" collapsed="false">
      <c r="A256" s="3" t="s">
        <v>347</v>
      </c>
      <c r="B256" s="3" t="s">
        <v>10</v>
      </c>
      <c r="C256" s="3" t="s">
        <v>11</v>
      </c>
      <c r="D256" s="3" t="s">
        <v>25</v>
      </c>
      <c r="E256" s="3" t="s">
        <v>343</v>
      </c>
      <c r="F256" s="3" t="n">
        <v>2400</v>
      </c>
      <c r="G256" s="3"/>
      <c r="H256" s="3"/>
      <c r="I256" s="4" t="str">
        <f aca="false">IF(AND($A256&lt;&gt;"",$A256=Подбор!$C$4),MAX(I$1:I255)+1,"")</f>
        <v/>
      </c>
    </row>
    <row r="257" customFormat="false" ht="15" hidden="false" customHeight="false" outlineLevel="0" collapsed="false">
      <c r="A257" s="3" t="s">
        <v>347</v>
      </c>
      <c r="B257" s="3" t="s">
        <v>10</v>
      </c>
      <c r="C257" s="3" t="s">
        <v>14</v>
      </c>
      <c r="D257" s="3" t="s">
        <v>15</v>
      </c>
      <c r="E257" s="3" t="s">
        <v>344</v>
      </c>
      <c r="F257" s="3" t="n">
        <v>48000</v>
      </c>
      <c r="G257" s="3"/>
      <c r="H257" s="3"/>
      <c r="I257" s="4" t="str">
        <f aca="false">IF(AND($A257&lt;&gt;"",$A257=Подбор!$C$4),MAX(I$1:I256)+1,"")</f>
        <v/>
      </c>
    </row>
    <row r="258" customFormat="false" ht="15" hidden="false" customHeight="false" outlineLevel="0" collapsed="false">
      <c r="A258" s="3" t="s">
        <v>347</v>
      </c>
      <c r="B258" s="3" t="s">
        <v>10</v>
      </c>
      <c r="C258" s="3" t="s">
        <v>30</v>
      </c>
      <c r="D258" s="3" t="s">
        <v>15</v>
      </c>
      <c r="E258" s="3" t="s">
        <v>345</v>
      </c>
      <c r="F258" s="3"/>
      <c r="G258" s="3"/>
      <c r="H258" s="3"/>
      <c r="I258" s="4" t="str">
        <f aca="false">IF(AND($A258&lt;&gt;"",$A258=Подбор!$C$4),MAX(I$1:I257)+1,"")</f>
        <v/>
      </c>
    </row>
    <row r="259" customFormat="false" ht="15" hidden="false" customHeight="false" outlineLevel="0" collapsed="false">
      <c r="A259" s="3" t="s">
        <v>347</v>
      </c>
      <c r="B259" s="3" t="s">
        <v>10</v>
      </c>
      <c r="C259" s="3" t="s">
        <v>17</v>
      </c>
      <c r="D259" s="3" t="s">
        <v>15</v>
      </c>
      <c r="E259" s="3" t="s">
        <v>346</v>
      </c>
      <c r="F259" s="3"/>
      <c r="G259" s="3"/>
      <c r="H259" s="3"/>
      <c r="I259" s="4" t="str">
        <f aca="false">IF(AND($A259&lt;&gt;"",$A259=Подбор!$C$4),MAX(I$1:I258)+1,"")</f>
        <v/>
      </c>
    </row>
    <row r="260" customFormat="false" ht="15" hidden="false" customHeight="false" outlineLevel="0" collapsed="false">
      <c r="A260" s="3" t="s">
        <v>348</v>
      </c>
      <c r="B260" s="3" t="s">
        <v>10</v>
      </c>
      <c r="C260" s="3" t="s">
        <v>11</v>
      </c>
      <c r="D260" s="3" t="s">
        <v>12</v>
      </c>
      <c r="E260" s="3" t="s">
        <v>349</v>
      </c>
      <c r="F260" s="3" t="n">
        <v>15000</v>
      </c>
      <c r="G260" s="3"/>
      <c r="H260" s="3"/>
      <c r="I260" s="4" t="str">
        <f aca="false">IF(AND($A260&lt;&gt;"",$A260=Подбор!$C$4),MAX(I$1:I259)+1,"")</f>
        <v/>
      </c>
    </row>
    <row r="261" customFormat="false" ht="15" hidden="false" customHeight="false" outlineLevel="0" collapsed="false">
      <c r="A261" s="3" t="s">
        <v>348</v>
      </c>
      <c r="B261" s="3" t="s">
        <v>10</v>
      </c>
      <c r="C261" s="3" t="s">
        <v>14</v>
      </c>
      <c r="D261" s="3" t="s">
        <v>15</v>
      </c>
      <c r="E261" s="3" t="s">
        <v>350</v>
      </c>
      <c r="F261" s="3"/>
      <c r="G261" s="3"/>
      <c r="H261" s="3"/>
      <c r="I261" s="4" t="str">
        <f aca="false">IF(AND($A261&lt;&gt;"",$A261=Подбор!$C$4),MAX(I$1:I260)+1,"")</f>
        <v/>
      </c>
    </row>
    <row r="262" customFormat="false" ht="15" hidden="false" customHeight="false" outlineLevel="0" collapsed="false">
      <c r="A262" s="3" t="s">
        <v>351</v>
      </c>
      <c r="B262" s="3" t="s">
        <v>10</v>
      </c>
      <c r="C262" s="3" t="s">
        <v>11</v>
      </c>
      <c r="D262" s="3" t="s">
        <v>12</v>
      </c>
      <c r="E262" s="3" t="s">
        <v>349</v>
      </c>
      <c r="F262" s="3" t="n">
        <v>15000</v>
      </c>
      <c r="G262" s="3"/>
      <c r="H262" s="3"/>
      <c r="I262" s="4" t="str">
        <f aca="false">IF(AND($A262&lt;&gt;"",$A262=Подбор!$C$4),MAX(I$1:I261)+1,"")</f>
        <v/>
      </c>
    </row>
    <row r="263" customFormat="false" ht="15" hidden="false" customHeight="false" outlineLevel="0" collapsed="false">
      <c r="A263" s="3" t="s">
        <v>351</v>
      </c>
      <c r="B263" s="3" t="s">
        <v>10</v>
      </c>
      <c r="C263" s="3" t="s">
        <v>14</v>
      </c>
      <c r="D263" s="3" t="s">
        <v>15</v>
      </c>
      <c r="E263" s="3" t="s">
        <v>350</v>
      </c>
      <c r="F263" s="3"/>
      <c r="G263" s="3"/>
      <c r="H263" s="3"/>
      <c r="I263" s="4" t="str">
        <f aca="false">IF(AND($A263&lt;&gt;"",$A263=Подбор!$C$4),MAX(I$1:I262)+1,"")</f>
        <v/>
      </c>
    </row>
    <row r="264" customFormat="false" ht="15" hidden="false" customHeight="false" outlineLevel="0" collapsed="false">
      <c r="A264" s="3" t="s">
        <v>352</v>
      </c>
      <c r="B264" s="3" t="s">
        <v>10</v>
      </c>
      <c r="C264" s="3" t="s">
        <v>11</v>
      </c>
      <c r="D264" s="3" t="s">
        <v>12</v>
      </c>
      <c r="E264" s="3" t="s">
        <v>349</v>
      </c>
      <c r="F264" s="3" t="n">
        <v>15000</v>
      </c>
      <c r="G264" s="3"/>
      <c r="H264" s="3"/>
      <c r="I264" s="4" t="str">
        <f aca="false">IF(AND($A264&lt;&gt;"",$A264=Подбор!$C$4),MAX(I$1:I263)+1,"")</f>
        <v/>
      </c>
    </row>
    <row r="265" customFormat="false" ht="15" hidden="false" customHeight="false" outlineLevel="0" collapsed="false">
      <c r="A265" s="3" t="s">
        <v>352</v>
      </c>
      <c r="B265" s="3" t="s">
        <v>10</v>
      </c>
      <c r="C265" s="3" t="s">
        <v>14</v>
      </c>
      <c r="D265" s="3" t="s">
        <v>15</v>
      </c>
      <c r="E265" s="3" t="s">
        <v>350</v>
      </c>
      <c r="F265" s="3"/>
      <c r="G265" s="3"/>
      <c r="H265" s="3"/>
      <c r="I265" s="4" t="str">
        <f aca="false">IF(AND($A265&lt;&gt;"",$A265=Подбор!$C$4),MAX(I$1:I264)+1,"")</f>
        <v/>
      </c>
    </row>
    <row r="266" customFormat="false" ht="15" hidden="false" customHeight="false" outlineLevel="0" collapsed="false">
      <c r="A266" s="3" t="s">
        <v>353</v>
      </c>
      <c r="B266" s="3" t="s">
        <v>10</v>
      </c>
      <c r="C266" s="3" t="s">
        <v>11</v>
      </c>
      <c r="D266" s="3" t="s">
        <v>12</v>
      </c>
      <c r="E266" s="3" t="s">
        <v>354</v>
      </c>
      <c r="F266" s="3" t="n">
        <v>20000</v>
      </c>
      <c r="G266" s="3"/>
      <c r="H266" s="3"/>
      <c r="I266" s="4" t="str">
        <f aca="false">IF(AND($A266&lt;&gt;"",$A266=Подбор!$C$4),MAX(I$1:I265)+1,"")</f>
        <v/>
      </c>
    </row>
    <row r="267" customFormat="false" ht="15" hidden="false" customHeight="false" outlineLevel="0" collapsed="false">
      <c r="A267" s="3" t="s">
        <v>353</v>
      </c>
      <c r="B267" s="3" t="s">
        <v>10</v>
      </c>
      <c r="C267" s="3" t="s">
        <v>14</v>
      </c>
      <c r="D267" s="3" t="s">
        <v>15</v>
      </c>
      <c r="E267" s="3" t="s">
        <v>254</v>
      </c>
      <c r="F267" s="3"/>
      <c r="G267" s="3"/>
      <c r="H267" s="3"/>
      <c r="I267" s="4" t="str">
        <f aca="false">IF(AND($A267&lt;&gt;"",$A267=Подбор!$C$4),MAX(I$1:I266)+1,"")</f>
        <v/>
      </c>
    </row>
    <row r="268" customFormat="false" ht="15" hidden="false" customHeight="false" outlineLevel="0" collapsed="false">
      <c r="A268" s="3" t="s">
        <v>353</v>
      </c>
      <c r="B268" s="3" t="s">
        <v>10</v>
      </c>
      <c r="C268" s="3" t="s">
        <v>17</v>
      </c>
      <c r="D268" s="3" t="s">
        <v>15</v>
      </c>
      <c r="E268" s="3" t="s">
        <v>355</v>
      </c>
      <c r="F268" s="3"/>
      <c r="G268" s="3"/>
      <c r="H268" s="3"/>
      <c r="I268" s="4" t="str">
        <f aca="false">IF(AND($A268&lt;&gt;"",$A268=Подбор!$C$4),MAX(I$1:I267)+1,"")</f>
        <v/>
      </c>
    </row>
    <row r="269" customFormat="false" ht="15" hidden="false" customHeight="false" outlineLevel="0" collapsed="false">
      <c r="A269" s="3" t="s">
        <v>356</v>
      </c>
      <c r="B269" s="3" t="s">
        <v>10</v>
      </c>
      <c r="C269" s="3" t="s">
        <v>11</v>
      </c>
      <c r="D269" s="3" t="s">
        <v>12</v>
      </c>
      <c r="E269" s="3" t="s">
        <v>354</v>
      </c>
      <c r="F269" s="3" t="n">
        <v>20000</v>
      </c>
      <c r="G269" s="3"/>
      <c r="H269" s="3"/>
      <c r="I269" s="4" t="str">
        <f aca="false">IF(AND($A269&lt;&gt;"",$A269=Подбор!$C$4),MAX(I$1:I268)+1,"")</f>
        <v/>
      </c>
    </row>
    <row r="270" customFormat="false" ht="15" hidden="false" customHeight="false" outlineLevel="0" collapsed="false">
      <c r="A270" s="3" t="s">
        <v>356</v>
      </c>
      <c r="B270" s="3" t="s">
        <v>10</v>
      </c>
      <c r="C270" s="3" t="s">
        <v>14</v>
      </c>
      <c r="D270" s="3" t="s">
        <v>15</v>
      </c>
      <c r="E270" s="3" t="s">
        <v>254</v>
      </c>
      <c r="F270" s="3"/>
      <c r="G270" s="3"/>
      <c r="H270" s="3"/>
      <c r="I270" s="4" t="str">
        <f aca="false">IF(AND($A270&lt;&gt;"",$A270=Подбор!$C$4),MAX(I$1:I269)+1,"")</f>
        <v/>
      </c>
    </row>
    <row r="271" customFormat="false" ht="15" hidden="false" customHeight="false" outlineLevel="0" collapsed="false">
      <c r="A271" s="3" t="s">
        <v>356</v>
      </c>
      <c r="B271" s="3" t="s">
        <v>10</v>
      </c>
      <c r="C271" s="3" t="s">
        <v>17</v>
      </c>
      <c r="D271" s="3" t="s">
        <v>15</v>
      </c>
      <c r="E271" s="3" t="s">
        <v>355</v>
      </c>
      <c r="F271" s="3"/>
      <c r="G271" s="3"/>
      <c r="H271" s="3"/>
      <c r="I271" s="4" t="str">
        <f aca="false">IF(AND($A271&lt;&gt;"",$A271=Подбор!$C$4),MAX(I$1:I270)+1,"")</f>
        <v/>
      </c>
    </row>
    <row r="272" customFormat="false" ht="15" hidden="false" customHeight="false" outlineLevel="0" collapsed="false">
      <c r="A272" s="3" t="s">
        <v>357</v>
      </c>
      <c r="B272" s="3" t="s">
        <v>10</v>
      </c>
      <c r="C272" s="3" t="s">
        <v>11</v>
      </c>
      <c r="D272" s="3" t="s">
        <v>12</v>
      </c>
      <c r="E272" s="3" t="s">
        <v>358</v>
      </c>
      <c r="F272" s="3" t="n">
        <v>6100</v>
      </c>
      <c r="G272" s="3"/>
      <c r="H272" s="3"/>
      <c r="I272" s="4" t="str">
        <f aca="false">IF(AND($A272&lt;&gt;"",$A272=Подбор!$C$4),MAX(I$1:I271)+1,"")</f>
        <v/>
      </c>
    </row>
    <row r="273" customFormat="false" ht="15" hidden="false" customHeight="false" outlineLevel="0" collapsed="false">
      <c r="A273" s="3" t="s">
        <v>357</v>
      </c>
      <c r="B273" s="3" t="s">
        <v>10</v>
      </c>
      <c r="C273" s="3" t="s">
        <v>11</v>
      </c>
      <c r="D273" s="3" t="s">
        <v>21</v>
      </c>
      <c r="E273" s="3" t="s">
        <v>359</v>
      </c>
      <c r="F273" s="3" t="n">
        <v>4300</v>
      </c>
      <c r="G273" s="3"/>
      <c r="H273" s="3"/>
      <c r="I273" s="4" t="str">
        <f aca="false">IF(AND($A273&lt;&gt;"",$A273=Подбор!$C$4),MAX(I$1:I272)+1,"")</f>
        <v/>
      </c>
    </row>
    <row r="274" customFormat="false" ht="15" hidden="false" customHeight="false" outlineLevel="0" collapsed="false">
      <c r="A274" s="3" t="s">
        <v>357</v>
      </c>
      <c r="B274" s="3" t="s">
        <v>10</v>
      </c>
      <c r="C274" s="3" t="s">
        <v>11</v>
      </c>
      <c r="D274" s="3" t="s">
        <v>23</v>
      </c>
      <c r="E274" s="3" t="s">
        <v>360</v>
      </c>
      <c r="F274" s="3" t="n">
        <v>4300</v>
      </c>
      <c r="G274" s="3"/>
      <c r="H274" s="3"/>
      <c r="I274" s="4" t="str">
        <f aca="false">IF(AND($A274&lt;&gt;"",$A274=Подбор!$C$4),MAX(I$1:I273)+1,"")</f>
        <v/>
      </c>
    </row>
    <row r="275" customFormat="false" ht="15" hidden="false" customHeight="false" outlineLevel="0" collapsed="false">
      <c r="A275" s="3" t="s">
        <v>357</v>
      </c>
      <c r="B275" s="3" t="s">
        <v>10</v>
      </c>
      <c r="C275" s="3" t="s">
        <v>11</v>
      </c>
      <c r="D275" s="3" t="s">
        <v>25</v>
      </c>
      <c r="E275" s="3" t="s">
        <v>361</v>
      </c>
      <c r="F275" s="3" t="n">
        <v>4300</v>
      </c>
      <c r="G275" s="3"/>
      <c r="H275" s="3"/>
      <c r="I275" s="4" t="str">
        <f aca="false">IF(AND($A275&lt;&gt;"",$A275=Подбор!$C$4),MAX(I$1:I274)+1,"")</f>
        <v/>
      </c>
    </row>
    <row r="276" customFormat="false" ht="15" hidden="false" customHeight="false" outlineLevel="0" collapsed="false">
      <c r="A276" s="3" t="s">
        <v>357</v>
      </c>
      <c r="B276" s="3" t="s">
        <v>10</v>
      </c>
      <c r="C276" s="3" t="s">
        <v>14</v>
      </c>
      <c r="D276" s="3" t="s">
        <v>15</v>
      </c>
      <c r="E276" s="3" t="s">
        <v>362</v>
      </c>
      <c r="F276" s="3"/>
      <c r="G276" s="3"/>
      <c r="H276" s="3"/>
      <c r="I276" s="4" t="str">
        <f aca="false">IF(AND($A276&lt;&gt;"",$A276=Подбор!$C$4),MAX(I$1:I275)+1,"")</f>
        <v/>
      </c>
    </row>
    <row r="277" customFormat="false" ht="15" hidden="false" customHeight="false" outlineLevel="0" collapsed="false">
      <c r="A277" s="3" t="s">
        <v>357</v>
      </c>
      <c r="B277" s="3" t="s">
        <v>10</v>
      </c>
      <c r="C277" s="3" t="s">
        <v>30</v>
      </c>
      <c r="D277" s="3" t="s">
        <v>15</v>
      </c>
      <c r="E277" s="3" t="s">
        <v>363</v>
      </c>
      <c r="F277" s="3"/>
      <c r="G277" s="3"/>
      <c r="H277" s="3"/>
      <c r="I277" s="4" t="str">
        <f aca="false">IF(AND($A277&lt;&gt;"",$A277=Подбор!$C$4),MAX(I$1:I276)+1,"")</f>
        <v/>
      </c>
    </row>
    <row r="278" customFormat="false" ht="15" hidden="false" customHeight="false" outlineLevel="0" collapsed="false">
      <c r="A278" s="3" t="s">
        <v>357</v>
      </c>
      <c r="B278" s="3" t="s">
        <v>10</v>
      </c>
      <c r="C278" s="3" t="s">
        <v>17</v>
      </c>
      <c r="D278" s="3" t="s">
        <v>15</v>
      </c>
      <c r="E278" s="3" t="s">
        <v>355</v>
      </c>
      <c r="F278" s="3"/>
      <c r="G278" s="3"/>
      <c r="H278" s="3"/>
      <c r="I278" s="4" t="str">
        <f aca="false">IF(AND($A278&lt;&gt;"",$A278=Подбор!$C$4),MAX(I$1:I277)+1,"")</f>
        <v/>
      </c>
    </row>
    <row r="279" customFormat="false" ht="15" hidden="false" customHeight="false" outlineLevel="0" collapsed="false">
      <c r="A279" s="3" t="s">
        <v>364</v>
      </c>
      <c r="B279" s="3" t="s">
        <v>10</v>
      </c>
      <c r="C279" s="3" t="s">
        <v>11</v>
      </c>
      <c r="D279" s="3" t="s">
        <v>12</v>
      </c>
      <c r="E279" s="3" t="s">
        <v>365</v>
      </c>
      <c r="F279" s="3" t="n">
        <v>20000</v>
      </c>
      <c r="G279" s="3"/>
      <c r="H279" s="3"/>
      <c r="I279" s="4" t="str">
        <f aca="false">IF(AND($A279&lt;&gt;"",$A279=Подбор!$C$4),MAX(I$1:I278)+1,"")</f>
        <v/>
      </c>
    </row>
    <row r="280" customFormat="false" ht="15" hidden="false" customHeight="false" outlineLevel="0" collapsed="false">
      <c r="A280" s="3" t="s">
        <v>364</v>
      </c>
      <c r="B280" s="3" t="s">
        <v>10</v>
      </c>
      <c r="C280" s="3" t="s">
        <v>14</v>
      </c>
      <c r="D280" s="3" t="s">
        <v>15</v>
      </c>
      <c r="E280" s="3" t="s">
        <v>366</v>
      </c>
      <c r="F280" s="3"/>
      <c r="G280" s="3"/>
      <c r="H280" s="3"/>
      <c r="I280" s="4" t="str">
        <f aca="false">IF(AND($A280&lt;&gt;"",$A280=Подбор!$C$4),MAX(I$1:I279)+1,"")</f>
        <v/>
      </c>
    </row>
    <row r="281" customFormat="false" ht="15" hidden="false" customHeight="false" outlineLevel="0" collapsed="false">
      <c r="A281" s="3" t="s">
        <v>364</v>
      </c>
      <c r="B281" s="3" t="s">
        <v>10</v>
      </c>
      <c r="C281" s="3" t="s">
        <v>30</v>
      </c>
      <c r="D281" s="3" t="s">
        <v>15</v>
      </c>
      <c r="E281" s="3" t="s">
        <v>367</v>
      </c>
      <c r="F281" s="3"/>
      <c r="G281" s="3"/>
      <c r="H281" s="3"/>
      <c r="I281" s="4" t="str">
        <f aca="false">IF(AND($A281&lt;&gt;"",$A281=Подбор!$C$4),MAX(I$1:I280)+1,"")</f>
        <v/>
      </c>
    </row>
    <row r="282" customFormat="false" ht="15" hidden="false" customHeight="false" outlineLevel="0" collapsed="false">
      <c r="A282" s="3" t="s">
        <v>364</v>
      </c>
      <c r="B282" s="3" t="s">
        <v>10</v>
      </c>
      <c r="C282" s="3" t="s">
        <v>17</v>
      </c>
      <c r="D282" s="3" t="s">
        <v>15</v>
      </c>
      <c r="E282" s="3" t="s">
        <v>355</v>
      </c>
      <c r="F282" s="3"/>
      <c r="G282" s="3"/>
      <c r="H282" s="3"/>
      <c r="I282" s="4" t="str">
        <f aca="false">IF(AND($A282&lt;&gt;"",$A282=Подбор!$C$4),MAX(I$1:I281)+1,"")</f>
        <v/>
      </c>
    </row>
    <row r="283" customFormat="false" ht="15" hidden="false" customHeight="false" outlineLevel="0" collapsed="false">
      <c r="A283" s="3" t="s">
        <v>368</v>
      </c>
      <c r="B283" s="3" t="s">
        <v>10</v>
      </c>
      <c r="C283" s="3" t="s">
        <v>11</v>
      </c>
      <c r="D283" s="3" t="s">
        <v>12</v>
      </c>
      <c r="E283" s="3" t="s">
        <v>365</v>
      </c>
      <c r="F283" s="3" t="n">
        <v>20000</v>
      </c>
      <c r="G283" s="3"/>
      <c r="H283" s="3"/>
      <c r="I283" s="4" t="str">
        <f aca="false">IF(AND($A283&lt;&gt;"",$A283=Подбор!$C$4),MAX(I$1:I282)+1,"")</f>
        <v/>
      </c>
    </row>
    <row r="284" customFormat="false" ht="15" hidden="false" customHeight="false" outlineLevel="0" collapsed="false">
      <c r="A284" s="3" t="s">
        <v>368</v>
      </c>
      <c r="B284" s="3" t="s">
        <v>10</v>
      </c>
      <c r="C284" s="3" t="s">
        <v>14</v>
      </c>
      <c r="D284" s="3" t="s">
        <v>15</v>
      </c>
      <c r="E284" s="3" t="s">
        <v>366</v>
      </c>
      <c r="F284" s="3"/>
      <c r="G284" s="3"/>
      <c r="H284" s="3"/>
      <c r="I284" s="4" t="str">
        <f aca="false">IF(AND($A284&lt;&gt;"",$A284=Подбор!$C$4),MAX(I$1:I283)+1,"")</f>
        <v/>
      </c>
    </row>
    <row r="285" customFormat="false" ht="15" hidden="false" customHeight="false" outlineLevel="0" collapsed="false">
      <c r="A285" s="3" t="s">
        <v>368</v>
      </c>
      <c r="B285" s="3" t="s">
        <v>10</v>
      </c>
      <c r="C285" s="3" t="s">
        <v>17</v>
      </c>
      <c r="D285" s="3" t="s">
        <v>15</v>
      </c>
      <c r="E285" s="3" t="s">
        <v>355</v>
      </c>
      <c r="F285" s="3"/>
      <c r="G285" s="3"/>
      <c r="H285" s="3"/>
      <c r="I285" s="4" t="str">
        <f aca="false">IF(AND($A285&lt;&gt;"",$A285=Подбор!$C$4),MAX(I$1:I284)+1,"")</f>
        <v/>
      </c>
    </row>
    <row r="286" customFormat="false" ht="15" hidden="false" customHeight="false" outlineLevel="0" collapsed="false">
      <c r="A286" s="3" t="s">
        <v>369</v>
      </c>
      <c r="B286" s="3" t="s">
        <v>10</v>
      </c>
      <c r="C286" s="3" t="s">
        <v>11</v>
      </c>
      <c r="D286" s="3" t="s">
        <v>12</v>
      </c>
      <c r="E286" s="3" t="s">
        <v>365</v>
      </c>
      <c r="F286" s="3" t="n">
        <v>20000</v>
      </c>
      <c r="G286" s="3"/>
      <c r="H286" s="3"/>
      <c r="I286" s="4" t="str">
        <f aca="false">IF(AND($A286&lt;&gt;"",$A286=Подбор!$C$4),MAX(I$1:I285)+1,"")</f>
        <v/>
      </c>
    </row>
    <row r="287" customFormat="false" ht="15" hidden="false" customHeight="false" outlineLevel="0" collapsed="false">
      <c r="A287" s="3" t="s">
        <v>369</v>
      </c>
      <c r="B287" s="3" t="s">
        <v>10</v>
      </c>
      <c r="C287" s="3" t="s">
        <v>14</v>
      </c>
      <c r="D287" s="3" t="s">
        <v>15</v>
      </c>
      <c r="E287" s="3" t="s">
        <v>366</v>
      </c>
      <c r="F287" s="3"/>
      <c r="G287" s="3"/>
      <c r="H287" s="3"/>
      <c r="I287" s="4" t="str">
        <f aca="false">IF(AND($A287&lt;&gt;"",$A287=Подбор!$C$4),MAX(I$1:I286)+1,"")</f>
        <v/>
      </c>
    </row>
    <row r="288" customFormat="false" ht="15" hidden="false" customHeight="false" outlineLevel="0" collapsed="false">
      <c r="A288" s="3" t="s">
        <v>369</v>
      </c>
      <c r="B288" s="3" t="s">
        <v>10</v>
      </c>
      <c r="C288" s="3" t="s">
        <v>30</v>
      </c>
      <c r="D288" s="3" t="s">
        <v>15</v>
      </c>
      <c r="E288" s="3" t="s">
        <v>367</v>
      </c>
      <c r="F288" s="3"/>
      <c r="G288" s="3"/>
      <c r="H288" s="3"/>
      <c r="I288" s="4" t="str">
        <f aca="false">IF(AND($A288&lt;&gt;"",$A288=Подбор!$C$4),MAX(I$1:I287)+1,"")</f>
        <v/>
      </c>
    </row>
    <row r="289" customFormat="false" ht="15" hidden="false" customHeight="false" outlineLevel="0" collapsed="false">
      <c r="A289" s="3" t="s">
        <v>369</v>
      </c>
      <c r="B289" s="3" t="s">
        <v>10</v>
      </c>
      <c r="C289" s="3" t="s">
        <v>17</v>
      </c>
      <c r="D289" s="3" t="s">
        <v>15</v>
      </c>
      <c r="E289" s="3" t="s">
        <v>355</v>
      </c>
      <c r="F289" s="3"/>
      <c r="G289" s="3"/>
      <c r="H289" s="3"/>
      <c r="I289" s="4" t="str">
        <f aca="false">IF(AND($A289&lt;&gt;"",$A289=Подбор!$C$4),MAX(I$1:I288)+1,"")</f>
        <v/>
      </c>
    </row>
    <row r="290" customFormat="false" ht="15" hidden="false" customHeight="false" outlineLevel="0" collapsed="false">
      <c r="A290" s="3" t="s">
        <v>370</v>
      </c>
      <c r="B290" s="3" t="s">
        <v>10</v>
      </c>
      <c r="C290" s="3" t="s">
        <v>11</v>
      </c>
      <c r="D290" s="3" t="s">
        <v>12</v>
      </c>
      <c r="E290" s="3" t="s">
        <v>371</v>
      </c>
      <c r="F290" s="3" t="n">
        <v>12200</v>
      </c>
      <c r="G290" s="3"/>
      <c r="H290" s="3"/>
      <c r="I290" s="4" t="str">
        <f aca="false">IF(AND($A290&lt;&gt;"",$A290=Подбор!$C$4),MAX(I$1:I289)+1,"")</f>
        <v/>
      </c>
    </row>
    <row r="291" customFormat="false" ht="15" hidden="false" customHeight="false" outlineLevel="0" collapsed="false">
      <c r="A291" s="3" t="s">
        <v>370</v>
      </c>
      <c r="B291" s="3" t="s">
        <v>10</v>
      </c>
      <c r="C291" s="3" t="s">
        <v>11</v>
      </c>
      <c r="D291" s="3" t="s">
        <v>21</v>
      </c>
      <c r="E291" s="3" t="s">
        <v>372</v>
      </c>
      <c r="F291" s="3" t="n">
        <v>10100</v>
      </c>
      <c r="G291" s="3"/>
      <c r="H291" s="3"/>
      <c r="I291" s="4" t="str">
        <f aca="false">IF(AND($A291&lt;&gt;"",$A291=Подбор!$C$4),MAX(I$1:I290)+1,"")</f>
        <v/>
      </c>
    </row>
    <row r="292" customFormat="false" ht="15" hidden="false" customHeight="false" outlineLevel="0" collapsed="false">
      <c r="A292" s="3" t="s">
        <v>370</v>
      </c>
      <c r="B292" s="3" t="s">
        <v>10</v>
      </c>
      <c r="C292" s="3" t="s">
        <v>11</v>
      </c>
      <c r="D292" s="3" t="s">
        <v>23</v>
      </c>
      <c r="E292" s="3" t="s">
        <v>373</v>
      </c>
      <c r="F292" s="3" t="n">
        <v>10100</v>
      </c>
      <c r="G292" s="3"/>
      <c r="H292" s="3"/>
      <c r="I292" s="4" t="str">
        <f aca="false">IF(AND($A292&lt;&gt;"",$A292=Подбор!$C$4),MAX(I$1:I291)+1,"")</f>
        <v/>
      </c>
    </row>
    <row r="293" customFormat="false" ht="15" hidden="false" customHeight="false" outlineLevel="0" collapsed="false">
      <c r="A293" s="3" t="s">
        <v>370</v>
      </c>
      <c r="B293" s="3" t="s">
        <v>10</v>
      </c>
      <c r="C293" s="3" t="s">
        <v>11</v>
      </c>
      <c r="D293" s="3" t="s">
        <v>25</v>
      </c>
      <c r="E293" s="3" t="s">
        <v>374</v>
      </c>
      <c r="F293" s="3" t="n">
        <v>10100</v>
      </c>
      <c r="G293" s="3"/>
      <c r="H293" s="3"/>
      <c r="I293" s="4" t="str">
        <f aca="false">IF(AND($A293&lt;&gt;"",$A293=Подбор!$C$4),MAX(I$1:I292)+1,"")</f>
        <v/>
      </c>
    </row>
    <row r="294" customFormat="false" ht="15" hidden="false" customHeight="false" outlineLevel="0" collapsed="false">
      <c r="A294" s="3" t="s">
        <v>370</v>
      </c>
      <c r="B294" s="3" t="s">
        <v>10</v>
      </c>
      <c r="C294" s="3" t="s">
        <v>14</v>
      </c>
      <c r="D294" s="3" t="s">
        <v>15</v>
      </c>
      <c r="E294" s="3" t="s">
        <v>375</v>
      </c>
      <c r="F294" s="3"/>
      <c r="G294" s="3"/>
      <c r="H294" s="3"/>
      <c r="I294" s="4" t="str">
        <f aca="false">IF(AND($A294&lt;&gt;"",$A294=Подбор!$C$4),MAX(I$1:I293)+1,"")</f>
        <v/>
      </c>
    </row>
    <row r="295" customFormat="false" ht="15" hidden="false" customHeight="false" outlineLevel="0" collapsed="false">
      <c r="A295" s="3" t="s">
        <v>370</v>
      </c>
      <c r="B295" s="3" t="s">
        <v>10</v>
      </c>
      <c r="C295" s="3" t="s">
        <v>30</v>
      </c>
      <c r="D295" s="3" t="s">
        <v>15</v>
      </c>
      <c r="E295" s="3" t="s">
        <v>345</v>
      </c>
      <c r="F295" s="3"/>
      <c r="G295" s="3"/>
      <c r="H295" s="3"/>
      <c r="I295" s="4" t="str">
        <f aca="false">IF(AND($A295&lt;&gt;"",$A295=Подбор!$C$4),MAX(I$1:I294)+1,"")</f>
        <v/>
      </c>
    </row>
    <row r="296" customFormat="false" ht="15" hidden="false" customHeight="false" outlineLevel="0" collapsed="false">
      <c r="A296" s="3" t="s">
        <v>370</v>
      </c>
      <c r="B296" s="3" t="s">
        <v>10</v>
      </c>
      <c r="C296" s="3" t="s">
        <v>17</v>
      </c>
      <c r="D296" s="3" t="s">
        <v>15</v>
      </c>
      <c r="E296" s="3" t="s">
        <v>355</v>
      </c>
      <c r="F296" s="3"/>
      <c r="G296" s="3"/>
      <c r="H296" s="3"/>
      <c r="I296" s="4" t="str">
        <f aca="false">IF(AND($A296&lt;&gt;"",$A296=Подбор!$C$4),MAX(I$1:I295)+1,"")</f>
        <v/>
      </c>
    </row>
    <row r="297" customFormat="false" ht="15" hidden="false" customHeight="false" outlineLevel="0" collapsed="false">
      <c r="A297" s="3" t="s">
        <v>376</v>
      </c>
      <c r="B297" s="3" t="s">
        <v>47</v>
      </c>
      <c r="C297" s="3" t="s">
        <v>11</v>
      </c>
      <c r="D297" s="3" t="s">
        <v>12</v>
      </c>
      <c r="E297" s="3" t="s">
        <v>377</v>
      </c>
      <c r="F297" s="3" t="n">
        <v>15000</v>
      </c>
      <c r="G297" s="3"/>
      <c r="H297" s="3"/>
      <c r="I297" s="4" t="str">
        <f aca="false">IF(AND($A297&lt;&gt;"",$A297=Подбор!$C$4),MAX(I$1:I296)+1,"")</f>
        <v/>
      </c>
    </row>
    <row r="298" customFormat="false" ht="15" hidden="false" customHeight="false" outlineLevel="0" collapsed="false">
      <c r="A298" s="3" t="s">
        <v>376</v>
      </c>
      <c r="B298" s="3" t="s">
        <v>47</v>
      </c>
      <c r="C298" s="3" t="s">
        <v>14</v>
      </c>
      <c r="D298" s="3" t="s">
        <v>15</v>
      </c>
      <c r="E298" s="3" t="s">
        <v>378</v>
      </c>
      <c r="F298" s="3" t="n">
        <v>60000</v>
      </c>
      <c r="G298" s="3"/>
      <c r="H298" s="3"/>
      <c r="I298" s="4" t="str">
        <f aca="false">IF(AND($A298&lt;&gt;"",$A298=Подбор!$C$4),MAX(I$1:I297)+1,"")</f>
        <v/>
      </c>
    </row>
    <row r="299" customFormat="false" ht="15" hidden="false" customHeight="false" outlineLevel="0" collapsed="false">
      <c r="A299" s="3" t="s">
        <v>379</v>
      </c>
      <c r="B299" s="3" t="s">
        <v>10</v>
      </c>
      <c r="C299" s="3" t="s">
        <v>11</v>
      </c>
      <c r="D299" s="3" t="s">
        <v>12</v>
      </c>
      <c r="E299" s="3" t="s">
        <v>380</v>
      </c>
      <c r="F299" s="3" t="n">
        <v>6000</v>
      </c>
      <c r="G299" s="3"/>
      <c r="H299" s="3"/>
      <c r="I299" s="4" t="str">
        <f aca="false">IF(AND($A299&lt;&gt;"",$A299=Подбор!$C$4),MAX(I$1:I298)+1,"")</f>
        <v/>
      </c>
    </row>
    <row r="300" customFormat="false" ht="15" hidden="false" customHeight="false" outlineLevel="0" collapsed="false">
      <c r="A300" s="3" t="s">
        <v>379</v>
      </c>
      <c r="B300" s="3" t="s">
        <v>10</v>
      </c>
      <c r="C300" s="3" t="s">
        <v>14</v>
      </c>
      <c r="D300" s="3" t="s">
        <v>15</v>
      </c>
      <c r="E300" s="3" t="s">
        <v>381</v>
      </c>
      <c r="F300" s="3"/>
      <c r="G300" s="3"/>
      <c r="H300" s="3"/>
      <c r="I300" s="4" t="str">
        <f aca="false">IF(AND($A300&lt;&gt;"",$A300=Подбор!$C$4),MAX(I$1:I299)+1,"")</f>
        <v/>
      </c>
    </row>
    <row r="301" customFormat="false" ht="15" hidden="false" customHeight="false" outlineLevel="0" collapsed="false">
      <c r="A301" s="3" t="s">
        <v>382</v>
      </c>
      <c r="B301" s="3" t="s">
        <v>51</v>
      </c>
      <c r="C301" s="3" t="s">
        <v>11</v>
      </c>
      <c r="D301" s="3" t="s">
        <v>12</v>
      </c>
      <c r="E301" s="3" t="s">
        <v>52</v>
      </c>
      <c r="F301" s="3" t="n">
        <v>18000</v>
      </c>
      <c r="G301" s="3"/>
      <c r="H301" s="3"/>
      <c r="I301" s="4" t="str">
        <f aca="false">IF(AND($A301&lt;&gt;"",$A301=Подбор!$C$4),MAX(I$1:I300)+1,"")</f>
        <v/>
      </c>
    </row>
    <row r="302" customFormat="false" ht="15" hidden="false" customHeight="false" outlineLevel="0" collapsed="false">
      <c r="A302" s="3" t="s">
        <v>382</v>
      </c>
      <c r="B302" s="3" t="s">
        <v>51</v>
      </c>
      <c r="C302" s="3" t="s">
        <v>14</v>
      </c>
      <c r="D302" s="3" t="s">
        <v>15</v>
      </c>
      <c r="E302" s="3" t="s">
        <v>53</v>
      </c>
      <c r="F302" s="3"/>
      <c r="G302" s="3"/>
      <c r="H302" s="3"/>
      <c r="I302" s="4" t="str">
        <f aca="false">IF(AND($A302&lt;&gt;"",$A302=Подбор!$C$4),MAX(I$1:I301)+1,"")</f>
        <v/>
      </c>
    </row>
    <row r="303" customFormat="false" ht="15" hidden="false" customHeight="false" outlineLevel="0" collapsed="false">
      <c r="A303" s="3" t="s">
        <v>382</v>
      </c>
      <c r="B303" s="3" t="s">
        <v>51</v>
      </c>
      <c r="C303" s="3" t="s">
        <v>30</v>
      </c>
      <c r="D303" s="3" t="s">
        <v>15</v>
      </c>
      <c r="E303" s="3" t="s">
        <v>54</v>
      </c>
      <c r="F303" s="3"/>
      <c r="G303" s="3"/>
      <c r="H303" s="3"/>
      <c r="I303" s="4" t="str">
        <f aca="false">IF(AND($A303&lt;&gt;"",$A303=Подбор!$C$4),MAX(I$1:I302)+1,"")</f>
        <v/>
      </c>
    </row>
    <row r="304" customFormat="false" ht="15" hidden="false" customHeight="false" outlineLevel="0" collapsed="false">
      <c r="A304" s="3" t="s">
        <v>382</v>
      </c>
      <c r="B304" s="3" t="s">
        <v>51</v>
      </c>
      <c r="C304" s="3" t="s">
        <v>17</v>
      </c>
      <c r="D304" s="3" t="s">
        <v>15</v>
      </c>
      <c r="E304" s="3" t="s">
        <v>55</v>
      </c>
      <c r="F304" s="3"/>
      <c r="G304" s="3"/>
      <c r="H304" s="3"/>
      <c r="I304" s="4" t="str">
        <f aca="false">IF(AND($A304&lt;&gt;"",$A304=Подбор!$C$4),MAX(I$1:I303)+1,"")</f>
        <v/>
      </c>
    </row>
    <row r="305" customFormat="false" ht="15" hidden="false" customHeight="false" outlineLevel="0" collapsed="false">
      <c r="A305" s="3" t="s">
        <v>383</v>
      </c>
      <c r="B305" s="3" t="s">
        <v>34</v>
      </c>
      <c r="C305" s="3" t="s">
        <v>11</v>
      </c>
      <c r="D305" s="3" t="s">
        <v>12</v>
      </c>
      <c r="E305" s="3" t="s">
        <v>384</v>
      </c>
      <c r="F305" s="3" t="n">
        <v>6000</v>
      </c>
      <c r="G305" s="3"/>
      <c r="H305" s="3"/>
      <c r="I305" s="4" t="str">
        <f aca="false">IF(AND($A305&lt;&gt;"",$A305=Подбор!$C$4),MAX(I$1:I304)+1,"")</f>
        <v/>
      </c>
    </row>
    <row r="306" customFormat="false" ht="15" hidden="false" customHeight="false" outlineLevel="0" collapsed="false">
      <c r="A306" s="3" t="s">
        <v>383</v>
      </c>
      <c r="B306" s="3" t="s">
        <v>34</v>
      </c>
      <c r="C306" s="3" t="s">
        <v>11</v>
      </c>
      <c r="D306" s="3" t="s">
        <v>21</v>
      </c>
      <c r="E306" s="3" t="s">
        <v>385</v>
      </c>
      <c r="F306" s="3" t="n">
        <v>3000</v>
      </c>
      <c r="G306" s="3"/>
      <c r="H306" s="3"/>
      <c r="I306" s="4" t="str">
        <f aca="false">IF(AND($A306&lt;&gt;"",$A306=Подбор!$C$4),MAX(I$1:I305)+1,"")</f>
        <v/>
      </c>
    </row>
    <row r="307" customFormat="false" ht="15" hidden="false" customHeight="false" outlineLevel="0" collapsed="false">
      <c r="A307" s="3" t="s">
        <v>383</v>
      </c>
      <c r="B307" s="3" t="s">
        <v>34</v>
      </c>
      <c r="C307" s="3" t="s">
        <v>11</v>
      </c>
      <c r="D307" s="3" t="s">
        <v>23</v>
      </c>
      <c r="E307" s="3" t="s">
        <v>386</v>
      </c>
      <c r="F307" s="3" t="n">
        <v>3000</v>
      </c>
      <c r="G307" s="3"/>
      <c r="H307" s="3"/>
      <c r="I307" s="4" t="str">
        <f aca="false">IF(AND($A307&lt;&gt;"",$A307=Подбор!$C$4),MAX(I$1:I306)+1,"")</f>
        <v/>
      </c>
    </row>
    <row r="308" customFormat="false" ht="15" hidden="false" customHeight="false" outlineLevel="0" collapsed="false">
      <c r="A308" s="3" t="s">
        <v>383</v>
      </c>
      <c r="B308" s="3" t="s">
        <v>34</v>
      </c>
      <c r="C308" s="3" t="s">
        <v>11</v>
      </c>
      <c r="D308" s="3" t="s">
        <v>25</v>
      </c>
      <c r="E308" s="3" t="s">
        <v>387</v>
      </c>
      <c r="F308" s="3" t="n">
        <v>3000</v>
      </c>
      <c r="G308" s="3"/>
      <c r="H308" s="3"/>
      <c r="I308" s="4" t="str">
        <f aca="false">IF(AND($A308&lt;&gt;"",$A308=Подбор!$C$4),MAX(I$1:I307)+1,"")</f>
        <v/>
      </c>
    </row>
    <row r="309" customFormat="false" ht="15" hidden="false" customHeight="false" outlineLevel="0" collapsed="false">
      <c r="A309" s="3" t="s">
        <v>383</v>
      </c>
      <c r="B309" s="3" t="s">
        <v>34</v>
      </c>
      <c r="C309" s="3" t="s">
        <v>30</v>
      </c>
      <c r="D309" s="3" t="s">
        <v>15</v>
      </c>
      <c r="E309" s="3" t="s">
        <v>38</v>
      </c>
      <c r="F309" s="3"/>
      <c r="G309" s="3"/>
      <c r="H309" s="3"/>
      <c r="I309" s="4" t="str">
        <f aca="false">IF(AND($A309&lt;&gt;"",$A309=Подбор!$C$4),MAX(I$1:I308)+1,"")</f>
        <v/>
      </c>
    </row>
    <row r="310" customFormat="false" ht="15" hidden="false" customHeight="false" outlineLevel="0" collapsed="false">
      <c r="A310" s="3" t="s">
        <v>388</v>
      </c>
      <c r="B310" s="3" t="s">
        <v>57</v>
      </c>
      <c r="C310" s="3" t="s">
        <v>11</v>
      </c>
      <c r="D310" s="3" t="s">
        <v>12</v>
      </c>
      <c r="E310" s="3" t="s">
        <v>389</v>
      </c>
      <c r="F310" s="3" t="n">
        <v>25000</v>
      </c>
      <c r="G310" s="3"/>
      <c r="H310" s="3"/>
      <c r="I310" s="4" t="str">
        <f aca="false">IF(AND($A310&lt;&gt;"",$A310=Подбор!$C$4),MAX(I$1:I309)+1,"")</f>
        <v/>
      </c>
    </row>
    <row r="311" customFormat="false" ht="15" hidden="false" customHeight="false" outlineLevel="0" collapsed="false">
      <c r="A311" s="3" t="s">
        <v>390</v>
      </c>
      <c r="B311" s="3" t="s">
        <v>47</v>
      </c>
      <c r="C311" s="3" t="s">
        <v>11</v>
      </c>
      <c r="D311" s="3" t="s">
        <v>12</v>
      </c>
      <c r="E311" s="3" t="s">
        <v>15</v>
      </c>
      <c r="F311" s="3" t="n">
        <v>3500</v>
      </c>
      <c r="G311" s="3"/>
      <c r="H311" s="3"/>
      <c r="I311" s="4" t="str">
        <f aca="false">IF(AND($A311&lt;&gt;"",$A311=Подбор!$C$4),MAX(I$1:I310)+1,"")</f>
        <v/>
      </c>
    </row>
    <row r="312" customFormat="false" ht="15" hidden="false" customHeight="false" outlineLevel="0" collapsed="false">
      <c r="A312" s="3" t="s">
        <v>391</v>
      </c>
      <c r="B312" s="3" t="s">
        <v>10</v>
      </c>
      <c r="C312" s="3" t="s">
        <v>11</v>
      </c>
      <c r="D312" s="3" t="s">
        <v>12</v>
      </c>
      <c r="E312" s="3" t="s">
        <v>306</v>
      </c>
      <c r="F312" s="3" t="n">
        <v>10000</v>
      </c>
      <c r="G312" s="3"/>
      <c r="H312" s="3"/>
      <c r="I312" s="4" t="str">
        <f aca="false">IF(AND($A312&lt;&gt;"",$A312=Подбор!$C$4),MAX(I$1:I311)+1,"")</f>
        <v/>
      </c>
    </row>
    <row r="313" customFormat="false" ht="15" hidden="false" customHeight="false" outlineLevel="0" collapsed="false">
      <c r="A313" s="3" t="s">
        <v>392</v>
      </c>
      <c r="B313" s="3" t="s">
        <v>57</v>
      </c>
      <c r="C313" s="3" t="s">
        <v>11</v>
      </c>
      <c r="D313" s="3" t="s">
        <v>12</v>
      </c>
      <c r="E313" s="3" t="s">
        <v>393</v>
      </c>
      <c r="F313" s="3" t="n">
        <v>1500</v>
      </c>
      <c r="G313" s="3"/>
      <c r="H313" s="3"/>
      <c r="I313" s="4" t="str">
        <f aca="false">IF(AND($A313&lt;&gt;"",$A313=Подбор!$C$4),MAX(I$1:I312)+1,"")</f>
        <v/>
      </c>
    </row>
    <row r="314" customFormat="false" ht="15" hidden="false" customHeight="false" outlineLevel="0" collapsed="false">
      <c r="A314" s="3" t="s">
        <v>394</v>
      </c>
      <c r="B314" s="3" t="s">
        <v>10</v>
      </c>
      <c r="C314" s="3" t="s">
        <v>11</v>
      </c>
      <c r="D314" s="3" t="s">
        <v>12</v>
      </c>
      <c r="E314" s="3" t="s">
        <v>395</v>
      </c>
      <c r="F314" s="3" t="n">
        <v>3000</v>
      </c>
      <c r="G314" s="3"/>
      <c r="H314" s="3"/>
      <c r="I314" s="4" t="str">
        <f aca="false">IF(AND($A314&lt;&gt;"",$A314=Подбор!$C$4),MAX(I$1:I313)+1,"")</f>
        <v/>
      </c>
    </row>
    <row r="315" customFormat="false" ht="15" hidden="false" customHeight="false" outlineLevel="0" collapsed="false">
      <c r="A315" s="3" t="s">
        <v>396</v>
      </c>
      <c r="B315" s="3" t="s">
        <v>397</v>
      </c>
      <c r="C315" s="3" t="s">
        <v>11</v>
      </c>
      <c r="D315" s="3" t="s">
        <v>12</v>
      </c>
      <c r="E315" s="3" t="s">
        <v>398</v>
      </c>
      <c r="F315" s="3" t="n">
        <v>23000</v>
      </c>
      <c r="G315" s="3"/>
      <c r="H315" s="3"/>
      <c r="I315" s="4" t="str">
        <f aca="false">IF(AND($A315&lt;&gt;"",$A315=Подбор!$C$4),MAX(I$1:I314)+1,"")</f>
        <v/>
      </c>
    </row>
    <row r="316" customFormat="false" ht="15" hidden="false" customHeight="false" outlineLevel="0" collapsed="false">
      <c r="A316" s="3" t="s">
        <v>396</v>
      </c>
      <c r="B316" s="3" t="s">
        <v>397</v>
      </c>
      <c r="C316" s="3" t="s">
        <v>14</v>
      </c>
      <c r="D316" s="3" t="s">
        <v>15</v>
      </c>
      <c r="E316" s="3" t="s">
        <v>399</v>
      </c>
      <c r="F316" s="3"/>
      <c r="G316" s="3"/>
      <c r="H316" s="3"/>
      <c r="I316" s="4" t="str">
        <f aca="false">IF(AND($A316&lt;&gt;"",$A316=Подбор!$C$4),MAX(I$1:I315)+1,"")</f>
        <v/>
      </c>
    </row>
    <row r="317" customFormat="false" ht="15" hidden="false" customHeight="false" outlineLevel="0" collapsed="false">
      <c r="A317" s="3" t="s">
        <v>400</v>
      </c>
      <c r="B317" s="3" t="s">
        <v>397</v>
      </c>
      <c r="C317" s="3" t="s">
        <v>11</v>
      </c>
      <c r="D317" s="3" t="s">
        <v>12</v>
      </c>
      <c r="E317" s="3" t="s">
        <v>398</v>
      </c>
      <c r="F317" s="3" t="n">
        <v>23000</v>
      </c>
      <c r="G317" s="3"/>
      <c r="H317" s="3"/>
      <c r="I317" s="4" t="str">
        <f aca="false">IF(AND($A317&lt;&gt;"",$A317=Подбор!$C$4),MAX(I$1:I316)+1,"")</f>
        <v/>
      </c>
    </row>
    <row r="318" customFormat="false" ht="15" hidden="false" customHeight="false" outlineLevel="0" collapsed="false">
      <c r="A318" s="3" t="s">
        <v>400</v>
      </c>
      <c r="B318" s="3" t="s">
        <v>397</v>
      </c>
      <c r="C318" s="3" t="s">
        <v>14</v>
      </c>
      <c r="D318" s="3" t="s">
        <v>15</v>
      </c>
      <c r="E318" s="3" t="s">
        <v>399</v>
      </c>
      <c r="F318" s="3"/>
      <c r="G318" s="3"/>
      <c r="H318" s="3"/>
      <c r="I318" s="4" t="str">
        <f aca="false">IF(AND($A318&lt;&gt;"",$A318=Подбор!$C$4),MAX(I$1:I317)+1,"")</f>
        <v/>
      </c>
    </row>
    <row r="319" customFormat="false" ht="15" hidden="false" customHeight="false" outlineLevel="0" collapsed="false">
      <c r="A319" s="3" t="s">
        <v>401</v>
      </c>
      <c r="B319" s="3" t="s">
        <v>47</v>
      </c>
      <c r="C319" s="3" t="s">
        <v>11</v>
      </c>
      <c r="D319" s="3" t="s">
        <v>12</v>
      </c>
      <c r="E319" s="3" t="s">
        <v>15</v>
      </c>
      <c r="F319" s="3" t="n">
        <v>6000</v>
      </c>
      <c r="G319" s="3"/>
      <c r="H319" s="3"/>
      <c r="I319" s="4" t="str">
        <f aca="false">IF(AND($A319&lt;&gt;"",$A319=Подбор!$C$4),MAX(I$1:I318)+1,"")</f>
        <v/>
      </c>
    </row>
    <row r="320" customFormat="false" ht="15" hidden="false" customHeight="false" outlineLevel="0" collapsed="false">
      <c r="A320" s="3" t="s">
        <v>402</v>
      </c>
      <c r="B320" s="3" t="s">
        <v>10</v>
      </c>
      <c r="C320" s="3" t="s">
        <v>11</v>
      </c>
      <c r="D320" s="3" t="s">
        <v>12</v>
      </c>
      <c r="E320" s="3" t="s">
        <v>403</v>
      </c>
      <c r="F320" s="3" t="n">
        <v>30000</v>
      </c>
      <c r="G320" s="3"/>
      <c r="H320" s="3"/>
      <c r="I320" s="4" t="str">
        <f aca="false">IF(AND($A320&lt;&gt;"",$A320=Подбор!$C$4),MAX(I$1:I319)+1,"")</f>
        <v/>
      </c>
    </row>
    <row r="321" customFormat="false" ht="15" hidden="false" customHeight="false" outlineLevel="0" collapsed="false">
      <c r="A321" s="3" t="s">
        <v>404</v>
      </c>
      <c r="B321" s="3" t="s">
        <v>10</v>
      </c>
      <c r="C321" s="3" t="s">
        <v>11</v>
      </c>
      <c r="D321" s="3" t="s">
        <v>12</v>
      </c>
      <c r="E321" s="3" t="s">
        <v>403</v>
      </c>
      <c r="F321" s="3" t="n">
        <v>30000</v>
      </c>
      <c r="G321" s="3"/>
      <c r="H321" s="3"/>
      <c r="I321" s="4" t="str">
        <f aca="false">IF(AND($A321&lt;&gt;"",$A321=Подбор!$C$4),MAX(I$1:I320)+1,"")</f>
        <v/>
      </c>
    </row>
    <row r="322" customFormat="false" ht="15" hidden="false" customHeight="false" outlineLevel="0" collapsed="false">
      <c r="A322" s="3" t="s">
        <v>405</v>
      </c>
      <c r="B322" s="3" t="s">
        <v>10</v>
      </c>
      <c r="C322" s="3" t="s">
        <v>11</v>
      </c>
      <c r="D322" s="3" t="s">
        <v>12</v>
      </c>
      <c r="E322" s="3" t="s">
        <v>406</v>
      </c>
      <c r="F322" s="3" t="n">
        <v>30000</v>
      </c>
      <c r="G322" s="3"/>
      <c r="H322" s="3"/>
      <c r="I322" s="4" t="str">
        <f aca="false">IF(AND($A322&lt;&gt;"",$A322=Подбор!$C$4),MAX(I$1:I321)+1,"")</f>
        <v/>
      </c>
    </row>
    <row r="323" customFormat="false" ht="15" hidden="false" customHeight="false" outlineLevel="0" collapsed="false">
      <c r="A323" s="3" t="s">
        <v>407</v>
      </c>
      <c r="B323" s="3" t="s">
        <v>47</v>
      </c>
      <c r="C323" s="3" t="s">
        <v>11</v>
      </c>
      <c r="D323" s="3" t="s">
        <v>12</v>
      </c>
      <c r="E323" s="3" t="s">
        <v>377</v>
      </c>
      <c r="F323" s="3" t="n">
        <v>15000</v>
      </c>
      <c r="G323" s="3"/>
      <c r="H323" s="3"/>
      <c r="I323" s="4" t="str">
        <f aca="false">IF(AND($A323&lt;&gt;"",$A323=Подбор!$C$4),MAX(I$1:I322)+1,"")</f>
        <v/>
      </c>
    </row>
    <row r="324" customFormat="false" ht="15" hidden="false" customHeight="false" outlineLevel="0" collapsed="false">
      <c r="A324" s="3" t="s">
        <v>407</v>
      </c>
      <c r="B324" s="3" t="s">
        <v>47</v>
      </c>
      <c r="C324" s="3" t="s">
        <v>14</v>
      </c>
      <c r="D324" s="3" t="s">
        <v>15</v>
      </c>
      <c r="E324" s="3" t="s">
        <v>378</v>
      </c>
      <c r="F324" s="3" t="n">
        <v>60000</v>
      </c>
      <c r="G324" s="3"/>
      <c r="H324" s="3"/>
      <c r="I324" s="4" t="str">
        <f aca="false">IF(AND($A324&lt;&gt;"",$A324=Подбор!$C$4),MAX(I$1:I323)+1,"")</f>
        <v/>
      </c>
    </row>
    <row r="325" customFormat="false" ht="15" hidden="false" customHeight="false" outlineLevel="0" collapsed="false">
      <c r="A325" s="3" t="s">
        <v>408</v>
      </c>
      <c r="B325" s="3" t="s">
        <v>10</v>
      </c>
      <c r="C325" s="3" t="s">
        <v>11</v>
      </c>
      <c r="D325" s="3" t="s">
        <v>12</v>
      </c>
      <c r="E325" s="3" t="s">
        <v>409</v>
      </c>
      <c r="F325" s="3" t="n">
        <v>30000</v>
      </c>
      <c r="G325" s="3"/>
      <c r="H325" s="3"/>
      <c r="I325" s="4" t="str">
        <f aca="false">IF(AND($A325&lt;&gt;"",$A325=Подбор!$C$4),MAX(I$1:I324)+1,"")</f>
        <v/>
      </c>
    </row>
    <row r="326" customFormat="false" ht="15" hidden="false" customHeight="false" outlineLevel="0" collapsed="false">
      <c r="A326" s="3" t="s">
        <v>410</v>
      </c>
      <c r="B326" s="3" t="s">
        <v>10</v>
      </c>
      <c r="C326" s="3" t="s">
        <v>11</v>
      </c>
      <c r="D326" s="3" t="s">
        <v>12</v>
      </c>
      <c r="E326" s="3" t="s">
        <v>409</v>
      </c>
      <c r="F326" s="3" t="n">
        <v>30000</v>
      </c>
      <c r="G326" s="3"/>
      <c r="H326" s="3"/>
      <c r="I326" s="4" t="str">
        <f aca="false">IF(AND($A326&lt;&gt;"",$A326=Подбор!$C$4),MAX(I$1:I325)+1,"")</f>
        <v/>
      </c>
    </row>
    <row r="327" customFormat="false" ht="15" hidden="false" customHeight="false" outlineLevel="0" collapsed="false">
      <c r="A327" s="3" t="s">
        <v>410</v>
      </c>
      <c r="B327" s="3" t="s">
        <v>10</v>
      </c>
      <c r="C327" s="3" t="s">
        <v>14</v>
      </c>
      <c r="D327" s="3" t="s">
        <v>15</v>
      </c>
      <c r="E327" s="3" t="s">
        <v>411</v>
      </c>
      <c r="F327" s="3"/>
      <c r="G327" s="3"/>
      <c r="H327" s="3"/>
      <c r="I327" s="4" t="str">
        <f aca="false">IF(AND($A327&lt;&gt;"",$A327=Подбор!$C$4),MAX(I$1:I326)+1,"")</f>
        <v/>
      </c>
    </row>
    <row r="328" customFormat="false" ht="15" hidden="false" customHeight="false" outlineLevel="0" collapsed="false">
      <c r="A328" s="3" t="s">
        <v>412</v>
      </c>
      <c r="B328" s="3" t="s">
        <v>10</v>
      </c>
      <c r="C328" s="3" t="s">
        <v>11</v>
      </c>
      <c r="D328" s="3" t="s">
        <v>12</v>
      </c>
      <c r="E328" s="3" t="s">
        <v>252</v>
      </c>
      <c r="F328" s="3" t="n">
        <v>100000</v>
      </c>
      <c r="G328" s="3"/>
      <c r="H328" s="3"/>
      <c r="I328" s="4" t="str">
        <f aca="false">IF(AND($A328&lt;&gt;"",$A328=Подбор!$C$4),MAX(I$1:I327)+1,"")</f>
        <v/>
      </c>
    </row>
    <row r="329" customFormat="false" ht="15" hidden="false" customHeight="false" outlineLevel="0" collapsed="false">
      <c r="A329" s="3" t="s">
        <v>412</v>
      </c>
      <c r="B329" s="3" t="s">
        <v>10</v>
      </c>
      <c r="C329" s="3" t="s">
        <v>14</v>
      </c>
      <c r="D329" s="3" t="s">
        <v>15</v>
      </c>
      <c r="E329" s="3" t="s">
        <v>253</v>
      </c>
      <c r="F329" s="3"/>
      <c r="G329" s="3"/>
      <c r="H329" s="3"/>
      <c r="I329" s="4" t="str">
        <f aca="false">IF(AND($A329&lt;&gt;"",$A329=Подбор!$C$4),MAX(I$1:I328)+1,"")</f>
        <v/>
      </c>
    </row>
    <row r="330" customFormat="false" ht="15" hidden="false" customHeight="false" outlineLevel="0" collapsed="false">
      <c r="A330" s="3" t="s">
        <v>412</v>
      </c>
      <c r="B330" s="3" t="s">
        <v>10</v>
      </c>
      <c r="C330" s="3" t="s">
        <v>28</v>
      </c>
      <c r="D330" s="3" t="s">
        <v>15</v>
      </c>
      <c r="E330" s="3" t="s">
        <v>254</v>
      </c>
      <c r="F330" s="3"/>
      <c r="G330" s="3"/>
      <c r="H330" s="3"/>
      <c r="I330" s="4" t="str">
        <f aca="false">IF(AND($A330&lt;&gt;"",$A330=Подбор!$C$4),MAX(I$1:I329)+1,"")</f>
        <v/>
      </c>
    </row>
    <row r="331" customFormat="false" ht="15" hidden="false" customHeight="false" outlineLevel="0" collapsed="false">
      <c r="A331" s="3" t="s">
        <v>412</v>
      </c>
      <c r="B331" s="3" t="s">
        <v>10</v>
      </c>
      <c r="C331" s="3" t="s">
        <v>30</v>
      </c>
      <c r="D331" s="3" t="s">
        <v>15</v>
      </c>
      <c r="E331" s="3" t="s">
        <v>255</v>
      </c>
      <c r="F331" s="3"/>
      <c r="G331" s="3"/>
      <c r="H331" s="3"/>
      <c r="I331" s="4" t="str">
        <f aca="false">IF(AND($A331&lt;&gt;"",$A331=Подбор!$C$4),MAX(I$1:I330)+1,"")</f>
        <v/>
      </c>
    </row>
    <row r="332" customFormat="false" ht="15" hidden="false" customHeight="false" outlineLevel="0" collapsed="false">
      <c r="A332" s="3" t="s">
        <v>412</v>
      </c>
      <c r="B332" s="3" t="s">
        <v>10</v>
      </c>
      <c r="C332" s="3" t="s">
        <v>17</v>
      </c>
      <c r="D332" s="3" t="s">
        <v>15</v>
      </c>
      <c r="E332" s="3" t="s">
        <v>256</v>
      </c>
      <c r="F332" s="3"/>
      <c r="G332" s="3"/>
      <c r="H332" s="3"/>
      <c r="I332" s="4" t="str">
        <f aca="false">IF(AND($A332&lt;&gt;"",$A332=Подбор!$C$4),MAX(I$1:I331)+1,"")</f>
        <v/>
      </c>
    </row>
    <row r="333" customFormat="false" ht="15" hidden="false" customHeight="false" outlineLevel="0" collapsed="false">
      <c r="A333" s="3" t="s">
        <v>413</v>
      </c>
      <c r="B333" s="3" t="s">
        <v>10</v>
      </c>
      <c r="C333" s="3" t="s">
        <v>11</v>
      </c>
      <c r="D333" s="3" t="s">
        <v>12</v>
      </c>
      <c r="E333" s="3" t="s">
        <v>100</v>
      </c>
      <c r="F333" s="3" t="n">
        <v>26000</v>
      </c>
      <c r="G333" s="3"/>
      <c r="H333" s="3"/>
      <c r="I333" s="4" t="str">
        <f aca="false">IF(AND($A333&lt;&gt;"",$A333=Подбор!$C$4),MAX(I$1:I332)+1,"")</f>
        <v/>
      </c>
    </row>
    <row r="334" customFormat="false" ht="15" hidden="false" customHeight="false" outlineLevel="0" collapsed="false">
      <c r="A334" s="3" t="s">
        <v>413</v>
      </c>
      <c r="B334" s="3" t="s">
        <v>10</v>
      </c>
      <c r="C334" s="3" t="s">
        <v>11</v>
      </c>
      <c r="D334" s="3" t="s">
        <v>21</v>
      </c>
      <c r="E334" s="3" t="s">
        <v>101</v>
      </c>
      <c r="F334" s="3" t="n">
        <v>15000</v>
      </c>
      <c r="G334" s="3"/>
      <c r="H334" s="3"/>
      <c r="I334" s="4" t="str">
        <f aca="false">IF(AND($A334&lt;&gt;"",$A334=Подбор!$C$4),MAX(I$1:I333)+1,"")</f>
        <v/>
      </c>
    </row>
    <row r="335" customFormat="false" ht="15" hidden="false" customHeight="false" outlineLevel="0" collapsed="false">
      <c r="A335" s="3" t="s">
        <v>413</v>
      </c>
      <c r="B335" s="3" t="s">
        <v>10</v>
      </c>
      <c r="C335" s="3" t="s">
        <v>11</v>
      </c>
      <c r="D335" s="3" t="s">
        <v>23</v>
      </c>
      <c r="E335" s="3" t="s">
        <v>102</v>
      </c>
      <c r="F335" s="3" t="n">
        <v>15000</v>
      </c>
      <c r="G335" s="3"/>
      <c r="H335" s="3"/>
      <c r="I335" s="4" t="str">
        <f aca="false">IF(AND($A335&lt;&gt;"",$A335=Подбор!$C$4),MAX(I$1:I334)+1,"")</f>
        <v/>
      </c>
    </row>
    <row r="336" customFormat="false" ht="15" hidden="false" customHeight="false" outlineLevel="0" collapsed="false">
      <c r="A336" s="3" t="s">
        <v>413</v>
      </c>
      <c r="B336" s="3" t="s">
        <v>10</v>
      </c>
      <c r="C336" s="3" t="s">
        <v>11</v>
      </c>
      <c r="D336" s="3" t="s">
        <v>25</v>
      </c>
      <c r="E336" s="3" t="s">
        <v>103</v>
      </c>
      <c r="F336" s="3" t="n">
        <v>15000</v>
      </c>
      <c r="G336" s="3"/>
      <c r="H336" s="3"/>
      <c r="I336" s="4" t="str">
        <f aca="false">IF(AND($A336&lt;&gt;"",$A336=Подбор!$C$4),MAX(I$1:I335)+1,"")</f>
        <v/>
      </c>
    </row>
    <row r="337" customFormat="false" ht="15" hidden="false" customHeight="false" outlineLevel="0" collapsed="false">
      <c r="A337" s="3" t="s">
        <v>413</v>
      </c>
      <c r="B337" s="3" t="s">
        <v>10</v>
      </c>
      <c r="C337" s="3" t="s">
        <v>14</v>
      </c>
      <c r="D337" s="3" t="s">
        <v>15</v>
      </c>
      <c r="E337" s="3" t="s">
        <v>104</v>
      </c>
      <c r="F337" s="3"/>
      <c r="G337" s="3"/>
      <c r="H337" s="3"/>
      <c r="I337" s="4" t="str">
        <f aca="false">IF(AND($A337&lt;&gt;"",$A337=Подбор!$C$4),MAX(I$1:I336)+1,"")</f>
        <v/>
      </c>
    </row>
    <row r="338" customFormat="false" ht="15" hidden="false" customHeight="false" outlineLevel="0" collapsed="false">
      <c r="A338" s="3" t="s">
        <v>413</v>
      </c>
      <c r="B338" s="3" t="s">
        <v>10</v>
      </c>
      <c r="C338" s="3" t="s">
        <v>28</v>
      </c>
      <c r="D338" s="3" t="s">
        <v>15</v>
      </c>
      <c r="E338" s="3" t="s">
        <v>105</v>
      </c>
      <c r="F338" s="3"/>
      <c r="G338" s="3"/>
      <c r="H338" s="3"/>
      <c r="I338" s="4" t="str">
        <f aca="false">IF(AND($A338&lt;&gt;"",$A338=Подбор!$C$4),MAX(I$1:I337)+1,"")</f>
        <v/>
      </c>
    </row>
    <row r="339" customFormat="false" ht="15" hidden="false" customHeight="false" outlineLevel="0" collapsed="false">
      <c r="A339" s="3" t="s">
        <v>413</v>
      </c>
      <c r="B339" s="3" t="s">
        <v>10</v>
      </c>
      <c r="C339" s="3" t="s">
        <v>30</v>
      </c>
      <c r="D339" s="3" t="s">
        <v>15</v>
      </c>
      <c r="E339" s="3" t="s">
        <v>31</v>
      </c>
      <c r="F339" s="3"/>
      <c r="G339" s="3"/>
      <c r="H339" s="3"/>
      <c r="I339" s="4" t="str">
        <f aca="false">IF(AND($A339&lt;&gt;"",$A339=Подбор!$C$4),MAX(I$1:I338)+1,"")</f>
        <v/>
      </c>
    </row>
    <row r="340" customFormat="false" ht="15" hidden="false" customHeight="false" outlineLevel="0" collapsed="false">
      <c r="A340" s="3" t="s">
        <v>413</v>
      </c>
      <c r="B340" s="3" t="s">
        <v>10</v>
      </c>
      <c r="C340" s="3" t="s">
        <v>17</v>
      </c>
      <c r="D340" s="3" t="s">
        <v>15</v>
      </c>
      <c r="E340" s="3" t="s">
        <v>106</v>
      </c>
      <c r="F340" s="3"/>
      <c r="G340" s="3"/>
      <c r="H340" s="3"/>
      <c r="I340" s="4" t="str">
        <f aca="false">IF(AND($A340&lt;&gt;"",$A340=Подбор!$C$4),MAX(I$1:I339)+1,"")</f>
        <v/>
      </c>
    </row>
    <row r="341" customFormat="false" ht="15" hidden="false" customHeight="false" outlineLevel="0" collapsed="false">
      <c r="A341" s="3" t="s">
        <v>414</v>
      </c>
      <c r="B341" s="3" t="s">
        <v>10</v>
      </c>
      <c r="C341" s="3" t="s">
        <v>11</v>
      </c>
      <c r="D341" s="3" t="s">
        <v>12</v>
      </c>
      <c r="E341" s="3" t="s">
        <v>100</v>
      </c>
      <c r="F341" s="3" t="n">
        <v>26000</v>
      </c>
      <c r="G341" s="3"/>
      <c r="H341" s="3"/>
      <c r="I341" s="4" t="str">
        <f aca="false">IF(AND($A341&lt;&gt;"",$A341=Подбор!$C$4),MAX(I$1:I340)+1,"")</f>
        <v/>
      </c>
    </row>
    <row r="342" customFormat="false" ht="15" hidden="false" customHeight="false" outlineLevel="0" collapsed="false">
      <c r="A342" s="3" t="s">
        <v>414</v>
      </c>
      <c r="B342" s="3" t="s">
        <v>10</v>
      </c>
      <c r="C342" s="3" t="s">
        <v>11</v>
      </c>
      <c r="D342" s="3" t="s">
        <v>21</v>
      </c>
      <c r="E342" s="3" t="s">
        <v>101</v>
      </c>
      <c r="F342" s="3" t="n">
        <v>15000</v>
      </c>
      <c r="G342" s="3"/>
      <c r="H342" s="3"/>
      <c r="I342" s="4" t="str">
        <f aca="false">IF(AND($A342&lt;&gt;"",$A342=Подбор!$C$4),MAX(I$1:I341)+1,"")</f>
        <v/>
      </c>
    </row>
    <row r="343" customFormat="false" ht="15" hidden="false" customHeight="false" outlineLevel="0" collapsed="false">
      <c r="A343" s="3" t="s">
        <v>414</v>
      </c>
      <c r="B343" s="3" t="s">
        <v>10</v>
      </c>
      <c r="C343" s="3" t="s">
        <v>11</v>
      </c>
      <c r="D343" s="3" t="s">
        <v>23</v>
      </c>
      <c r="E343" s="3" t="s">
        <v>102</v>
      </c>
      <c r="F343" s="3" t="n">
        <v>15000</v>
      </c>
      <c r="G343" s="3"/>
      <c r="H343" s="3"/>
      <c r="I343" s="4" t="str">
        <f aca="false">IF(AND($A343&lt;&gt;"",$A343=Подбор!$C$4),MAX(I$1:I342)+1,"")</f>
        <v/>
      </c>
    </row>
    <row r="344" customFormat="false" ht="15" hidden="false" customHeight="false" outlineLevel="0" collapsed="false">
      <c r="A344" s="3" t="s">
        <v>414</v>
      </c>
      <c r="B344" s="3" t="s">
        <v>10</v>
      </c>
      <c r="C344" s="3" t="s">
        <v>11</v>
      </c>
      <c r="D344" s="3" t="s">
        <v>25</v>
      </c>
      <c r="E344" s="3" t="s">
        <v>103</v>
      </c>
      <c r="F344" s="3" t="n">
        <v>15000</v>
      </c>
      <c r="G344" s="3"/>
      <c r="H344" s="3"/>
      <c r="I344" s="4" t="str">
        <f aca="false">IF(AND($A344&lt;&gt;"",$A344=Подбор!$C$4),MAX(I$1:I343)+1,"")</f>
        <v/>
      </c>
    </row>
    <row r="345" customFormat="false" ht="15" hidden="false" customHeight="false" outlineLevel="0" collapsed="false">
      <c r="A345" s="3" t="s">
        <v>414</v>
      </c>
      <c r="B345" s="3" t="s">
        <v>10</v>
      </c>
      <c r="C345" s="3" t="s">
        <v>14</v>
      </c>
      <c r="D345" s="3" t="s">
        <v>15</v>
      </c>
      <c r="E345" s="3" t="s">
        <v>104</v>
      </c>
      <c r="F345" s="3"/>
      <c r="G345" s="3"/>
      <c r="H345" s="3"/>
      <c r="I345" s="4" t="str">
        <f aca="false">IF(AND($A345&lt;&gt;"",$A345=Подбор!$C$4),MAX(I$1:I344)+1,"")</f>
        <v/>
      </c>
    </row>
    <row r="346" customFormat="false" ht="15" hidden="false" customHeight="false" outlineLevel="0" collapsed="false">
      <c r="A346" s="3" t="s">
        <v>414</v>
      </c>
      <c r="B346" s="3" t="s">
        <v>10</v>
      </c>
      <c r="C346" s="3" t="s">
        <v>28</v>
      </c>
      <c r="D346" s="3" t="s">
        <v>15</v>
      </c>
      <c r="E346" s="3" t="s">
        <v>105</v>
      </c>
      <c r="F346" s="3"/>
      <c r="G346" s="3"/>
      <c r="H346" s="3"/>
      <c r="I346" s="4" t="str">
        <f aca="false">IF(AND($A346&lt;&gt;"",$A346=Подбор!$C$4),MAX(I$1:I345)+1,"")</f>
        <v/>
      </c>
    </row>
    <row r="347" customFormat="false" ht="15" hidden="false" customHeight="false" outlineLevel="0" collapsed="false">
      <c r="A347" s="3" t="s">
        <v>414</v>
      </c>
      <c r="B347" s="3" t="s">
        <v>10</v>
      </c>
      <c r="C347" s="3" t="s">
        <v>30</v>
      </c>
      <c r="D347" s="3" t="s">
        <v>15</v>
      </c>
      <c r="E347" s="3" t="s">
        <v>31</v>
      </c>
      <c r="F347" s="3"/>
      <c r="G347" s="3"/>
      <c r="H347" s="3"/>
      <c r="I347" s="4" t="str">
        <f aca="false">IF(AND($A347&lt;&gt;"",$A347=Подбор!$C$4),MAX(I$1:I346)+1,"")</f>
        <v/>
      </c>
    </row>
    <row r="348" customFormat="false" ht="15" hidden="false" customHeight="false" outlineLevel="0" collapsed="false">
      <c r="A348" s="3" t="s">
        <v>414</v>
      </c>
      <c r="B348" s="3" t="s">
        <v>10</v>
      </c>
      <c r="C348" s="3" t="s">
        <v>17</v>
      </c>
      <c r="D348" s="3" t="s">
        <v>15</v>
      </c>
      <c r="E348" s="3" t="s">
        <v>106</v>
      </c>
      <c r="F348" s="3"/>
      <c r="G348" s="3"/>
      <c r="H348" s="3"/>
      <c r="I348" s="4" t="str">
        <f aca="false">IF(AND($A348&lt;&gt;"",$A348=Подбор!$C$4),MAX(I$1:I347)+1,"")</f>
        <v/>
      </c>
    </row>
    <row r="349" customFormat="false" ht="15" hidden="false" customHeight="false" outlineLevel="0" collapsed="false">
      <c r="A349" s="3" t="s">
        <v>415</v>
      </c>
      <c r="B349" s="3" t="s">
        <v>10</v>
      </c>
      <c r="C349" s="3" t="s">
        <v>11</v>
      </c>
      <c r="D349" s="3" t="s">
        <v>12</v>
      </c>
      <c r="E349" s="3" t="s">
        <v>416</v>
      </c>
      <c r="F349" s="3" t="n">
        <v>5900</v>
      </c>
      <c r="G349" s="3"/>
      <c r="H349" s="3"/>
      <c r="I349" s="4" t="str">
        <f aca="false">IF(AND($A349&lt;&gt;"",$A349=Подбор!$C$4),MAX(I$1:I348)+1,"")</f>
        <v/>
      </c>
    </row>
    <row r="350" customFormat="false" ht="15" hidden="false" customHeight="false" outlineLevel="0" collapsed="false">
      <c r="A350" s="3" t="s">
        <v>415</v>
      </c>
      <c r="B350" s="3" t="s">
        <v>10</v>
      </c>
      <c r="C350" s="3" t="s">
        <v>14</v>
      </c>
      <c r="D350" s="3" t="s">
        <v>15</v>
      </c>
      <c r="E350" s="3" t="s">
        <v>366</v>
      </c>
      <c r="F350" s="3"/>
      <c r="G350" s="3"/>
      <c r="H350" s="3"/>
      <c r="I350" s="4" t="str">
        <f aca="false">IF(AND($A350&lt;&gt;"",$A350=Подбор!$C$4),MAX(I$1:I349)+1,"")</f>
        <v/>
      </c>
    </row>
    <row r="351" customFormat="false" ht="15" hidden="false" customHeight="false" outlineLevel="0" collapsed="false">
      <c r="A351" s="3" t="s">
        <v>415</v>
      </c>
      <c r="B351" s="3" t="s">
        <v>10</v>
      </c>
      <c r="C351" s="3" t="s">
        <v>30</v>
      </c>
      <c r="D351" s="3" t="s">
        <v>15</v>
      </c>
      <c r="E351" s="3" t="s">
        <v>367</v>
      </c>
      <c r="F351" s="3"/>
      <c r="G351" s="3"/>
      <c r="H351" s="3"/>
      <c r="I351" s="4" t="str">
        <f aca="false">IF(AND($A351&lt;&gt;"",$A351=Подбор!$C$4),MAX(I$1:I350)+1,"")</f>
        <v/>
      </c>
    </row>
    <row r="352" customFormat="false" ht="15" hidden="false" customHeight="false" outlineLevel="0" collapsed="false">
      <c r="A352" s="3" t="s">
        <v>415</v>
      </c>
      <c r="B352" s="3" t="s">
        <v>10</v>
      </c>
      <c r="C352" s="3" t="s">
        <v>17</v>
      </c>
      <c r="D352" s="3" t="s">
        <v>15</v>
      </c>
      <c r="E352" s="3" t="s">
        <v>355</v>
      </c>
      <c r="F352" s="3"/>
      <c r="G352" s="3"/>
      <c r="H352" s="3"/>
      <c r="I352" s="4" t="str">
        <f aca="false">IF(AND($A352&lt;&gt;"",$A352=Подбор!$C$4),MAX(I$1:I351)+1,"")</f>
        <v/>
      </c>
    </row>
    <row r="353" customFormat="false" ht="15" hidden="false" customHeight="false" outlineLevel="0" collapsed="false">
      <c r="A353" s="3" t="s">
        <v>417</v>
      </c>
      <c r="B353" s="3" t="s">
        <v>10</v>
      </c>
      <c r="C353" s="3" t="s">
        <v>11</v>
      </c>
      <c r="D353" s="3" t="s">
        <v>12</v>
      </c>
      <c r="E353" s="3" t="s">
        <v>416</v>
      </c>
      <c r="F353" s="3" t="n">
        <v>5900</v>
      </c>
      <c r="G353" s="3"/>
      <c r="H353" s="3"/>
      <c r="I353" s="4" t="str">
        <f aca="false">IF(AND($A353&lt;&gt;"",$A353=Подбор!$C$4),MAX(I$1:I352)+1,"")</f>
        <v/>
      </c>
    </row>
    <row r="354" customFormat="false" ht="15" hidden="false" customHeight="false" outlineLevel="0" collapsed="false">
      <c r="A354" s="3" t="s">
        <v>417</v>
      </c>
      <c r="B354" s="3" t="s">
        <v>10</v>
      </c>
      <c r="C354" s="3" t="s">
        <v>14</v>
      </c>
      <c r="D354" s="3" t="s">
        <v>15</v>
      </c>
      <c r="E354" s="3" t="s">
        <v>366</v>
      </c>
      <c r="F354" s="3"/>
      <c r="G354" s="3"/>
      <c r="H354" s="3"/>
      <c r="I354" s="4" t="str">
        <f aca="false">IF(AND($A354&lt;&gt;"",$A354=Подбор!$C$4),MAX(I$1:I353)+1,"")</f>
        <v/>
      </c>
    </row>
    <row r="355" customFormat="false" ht="15" hidden="false" customHeight="false" outlineLevel="0" collapsed="false">
      <c r="A355" s="3" t="s">
        <v>417</v>
      </c>
      <c r="B355" s="3" t="s">
        <v>10</v>
      </c>
      <c r="C355" s="3" t="s">
        <v>30</v>
      </c>
      <c r="D355" s="3" t="s">
        <v>15</v>
      </c>
      <c r="E355" s="3" t="s">
        <v>367</v>
      </c>
      <c r="F355" s="3"/>
      <c r="G355" s="3"/>
      <c r="H355" s="3"/>
      <c r="I355" s="4" t="str">
        <f aca="false">IF(AND($A355&lt;&gt;"",$A355=Подбор!$C$4),MAX(I$1:I354)+1,"")</f>
        <v/>
      </c>
    </row>
    <row r="356" customFormat="false" ht="15" hidden="false" customHeight="false" outlineLevel="0" collapsed="false">
      <c r="A356" s="3" t="s">
        <v>417</v>
      </c>
      <c r="B356" s="3" t="s">
        <v>10</v>
      </c>
      <c r="C356" s="3" t="s">
        <v>17</v>
      </c>
      <c r="D356" s="3" t="s">
        <v>15</v>
      </c>
      <c r="E356" s="3" t="s">
        <v>355</v>
      </c>
      <c r="F356" s="3"/>
      <c r="G356" s="3"/>
      <c r="H356" s="3"/>
      <c r="I356" s="4" t="str">
        <f aca="false">IF(AND($A356&lt;&gt;"",$A356=Подбор!$C$4),MAX(I$1:I355)+1,"")</f>
        <v/>
      </c>
    </row>
    <row r="357" customFormat="false" ht="15" hidden="false" customHeight="false" outlineLevel="0" collapsed="false">
      <c r="A357" s="3" t="s">
        <v>418</v>
      </c>
      <c r="B357" s="3" t="s">
        <v>47</v>
      </c>
      <c r="C357" s="3" t="s">
        <v>11</v>
      </c>
      <c r="D357" s="3" t="s">
        <v>12</v>
      </c>
      <c r="E357" s="3" t="s">
        <v>419</v>
      </c>
      <c r="F357" s="3" t="n">
        <v>30000</v>
      </c>
      <c r="G357" s="3"/>
      <c r="H357" s="3"/>
      <c r="I357" s="4" t="str">
        <f aca="false">IF(AND($A357&lt;&gt;"",$A357=Подбор!$C$4),MAX(I$1:I356)+1,"")</f>
        <v/>
      </c>
    </row>
    <row r="358" customFormat="false" ht="15" hidden="false" customHeight="false" outlineLevel="0" collapsed="false">
      <c r="A358" s="3" t="s">
        <v>418</v>
      </c>
      <c r="B358" s="3" t="s">
        <v>47</v>
      </c>
      <c r="C358" s="3" t="s">
        <v>14</v>
      </c>
      <c r="D358" s="3" t="s">
        <v>15</v>
      </c>
      <c r="E358" s="3" t="s">
        <v>420</v>
      </c>
      <c r="F358" s="3"/>
      <c r="G358" s="3"/>
      <c r="H358" s="3"/>
      <c r="I358" s="4" t="str">
        <f aca="false">IF(AND($A358&lt;&gt;"",$A358=Подбор!$C$4),MAX(I$1:I357)+1,"")</f>
        <v/>
      </c>
    </row>
    <row r="359" customFormat="false" ht="15" hidden="false" customHeight="false" outlineLevel="0" collapsed="false">
      <c r="A359" s="3" t="s">
        <v>421</v>
      </c>
      <c r="B359" s="3" t="s">
        <v>10</v>
      </c>
      <c r="C359" s="3" t="s">
        <v>11</v>
      </c>
      <c r="D359" s="3" t="s">
        <v>12</v>
      </c>
      <c r="E359" s="3" t="s">
        <v>422</v>
      </c>
      <c r="F359" s="3" t="n">
        <v>30000</v>
      </c>
      <c r="G359" s="3"/>
      <c r="H359" s="3"/>
      <c r="I359" s="4" t="str">
        <f aca="false">IF(AND($A359&lt;&gt;"",$A359=Подбор!$C$4),MAX(I$1:I358)+1,"")</f>
        <v/>
      </c>
    </row>
    <row r="360" customFormat="false" ht="15" hidden="false" customHeight="false" outlineLevel="0" collapsed="false">
      <c r="A360" s="3" t="s">
        <v>421</v>
      </c>
      <c r="B360" s="3" t="s">
        <v>10</v>
      </c>
      <c r="C360" s="3" t="s">
        <v>14</v>
      </c>
      <c r="D360" s="3" t="s">
        <v>15</v>
      </c>
      <c r="E360" s="3" t="s">
        <v>423</v>
      </c>
      <c r="F360" s="3"/>
      <c r="G360" s="3"/>
      <c r="H360" s="3"/>
      <c r="I360" s="4" t="str">
        <f aca="false">IF(AND($A360&lt;&gt;"",$A360=Подбор!$C$4),MAX(I$1:I359)+1,"")</f>
        <v/>
      </c>
    </row>
    <row r="361" customFormat="false" ht="15" hidden="false" customHeight="false" outlineLevel="0" collapsed="false">
      <c r="A361" s="3" t="s">
        <v>424</v>
      </c>
      <c r="B361" s="3" t="s">
        <v>10</v>
      </c>
      <c r="C361" s="3" t="s">
        <v>11</v>
      </c>
      <c r="D361" s="3" t="s">
        <v>12</v>
      </c>
      <c r="E361" s="3" t="s">
        <v>425</v>
      </c>
      <c r="F361" s="3" t="n">
        <v>59000</v>
      </c>
      <c r="G361" s="3"/>
      <c r="H361" s="3"/>
      <c r="I361" s="4" t="str">
        <f aca="false">IF(AND($A361&lt;&gt;"",$A361=Подбор!$C$4),MAX(I$1:I360)+1,"")</f>
        <v/>
      </c>
    </row>
    <row r="362" customFormat="false" ht="15" hidden="false" customHeight="false" outlineLevel="0" collapsed="false">
      <c r="A362" s="3" t="s">
        <v>424</v>
      </c>
      <c r="B362" s="3" t="s">
        <v>10</v>
      </c>
      <c r="C362" s="3" t="s">
        <v>11</v>
      </c>
      <c r="D362" s="3" t="s">
        <v>21</v>
      </c>
      <c r="E362" s="3" t="s">
        <v>426</v>
      </c>
      <c r="F362" s="3" t="n">
        <v>28000</v>
      </c>
      <c r="G362" s="3"/>
      <c r="H362" s="3"/>
      <c r="I362" s="4" t="str">
        <f aca="false">IF(AND($A362&lt;&gt;"",$A362=Подбор!$C$4),MAX(I$1:I361)+1,"")</f>
        <v/>
      </c>
    </row>
    <row r="363" customFormat="false" ht="15" hidden="false" customHeight="false" outlineLevel="0" collapsed="false">
      <c r="A363" s="3" t="s">
        <v>424</v>
      </c>
      <c r="B363" s="3" t="s">
        <v>10</v>
      </c>
      <c r="C363" s="3" t="s">
        <v>11</v>
      </c>
      <c r="D363" s="3" t="s">
        <v>23</v>
      </c>
      <c r="E363" s="3" t="s">
        <v>427</v>
      </c>
      <c r="F363" s="3" t="n">
        <v>28000</v>
      </c>
      <c r="G363" s="3"/>
      <c r="H363" s="3"/>
      <c r="I363" s="4" t="str">
        <f aca="false">IF(AND($A363&lt;&gt;"",$A363=Подбор!$C$4),MAX(I$1:I362)+1,"")</f>
        <v/>
      </c>
    </row>
    <row r="364" customFormat="false" ht="15" hidden="false" customHeight="false" outlineLevel="0" collapsed="false">
      <c r="A364" s="3" t="s">
        <v>424</v>
      </c>
      <c r="B364" s="3" t="s">
        <v>10</v>
      </c>
      <c r="C364" s="3" t="s">
        <v>11</v>
      </c>
      <c r="D364" s="3" t="s">
        <v>25</v>
      </c>
      <c r="E364" s="3" t="s">
        <v>428</v>
      </c>
      <c r="F364" s="3" t="n">
        <v>28000</v>
      </c>
      <c r="G364" s="3"/>
      <c r="H364" s="3"/>
      <c r="I364" s="4" t="str">
        <f aca="false">IF(AND($A364&lt;&gt;"",$A364=Подбор!$C$4),MAX(I$1:I363)+1,"")</f>
        <v/>
      </c>
    </row>
    <row r="365" customFormat="false" ht="15" hidden="false" customHeight="false" outlineLevel="0" collapsed="false">
      <c r="A365" s="3" t="s">
        <v>424</v>
      </c>
      <c r="B365" s="3" t="s">
        <v>10</v>
      </c>
      <c r="C365" s="3" t="s">
        <v>14</v>
      </c>
      <c r="D365" s="3" t="s">
        <v>15</v>
      </c>
      <c r="E365" s="3" t="s">
        <v>104</v>
      </c>
      <c r="F365" s="3"/>
      <c r="G365" s="3"/>
      <c r="H365" s="3"/>
      <c r="I365" s="4" t="str">
        <f aca="false">IF(AND($A365&lt;&gt;"",$A365=Подбор!$C$4),MAX(I$1:I364)+1,"")</f>
        <v/>
      </c>
    </row>
    <row r="366" customFormat="false" ht="15" hidden="false" customHeight="false" outlineLevel="0" collapsed="false">
      <c r="A366" s="3" t="s">
        <v>424</v>
      </c>
      <c r="B366" s="3" t="s">
        <v>10</v>
      </c>
      <c r="C366" s="3" t="s">
        <v>30</v>
      </c>
      <c r="D366" s="3" t="s">
        <v>15</v>
      </c>
      <c r="E366" s="3" t="s">
        <v>255</v>
      </c>
      <c r="F366" s="3"/>
      <c r="G366" s="3"/>
      <c r="H366" s="3"/>
      <c r="I366" s="4" t="str">
        <f aca="false">IF(AND($A366&lt;&gt;"",$A366=Подбор!$C$4),MAX(I$1:I365)+1,"")</f>
        <v/>
      </c>
    </row>
    <row r="367" customFormat="false" ht="15" hidden="false" customHeight="false" outlineLevel="0" collapsed="false">
      <c r="A367" s="3" t="s">
        <v>424</v>
      </c>
      <c r="B367" s="3" t="s">
        <v>10</v>
      </c>
      <c r="C367" s="3" t="s">
        <v>17</v>
      </c>
      <c r="D367" s="3" t="s">
        <v>15</v>
      </c>
      <c r="E367" s="3" t="s">
        <v>429</v>
      </c>
      <c r="F367" s="3"/>
      <c r="G367" s="3"/>
      <c r="H367" s="3"/>
      <c r="I367" s="4" t="str">
        <f aca="false">IF(AND($A367&lt;&gt;"",$A367=Подбор!$C$4),MAX(I$1:I366)+1,"")</f>
        <v/>
      </c>
    </row>
    <row r="368" customFormat="false" ht="15" hidden="false" customHeight="false" outlineLevel="0" collapsed="false">
      <c r="A368" s="3" t="s">
        <v>430</v>
      </c>
      <c r="B368" s="3" t="s">
        <v>10</v>
      </c>
      <c r="C368" s="3" t="s">
        <v>11</v>
      </c>
      <c r="D368" s="3" t="s">
        <v>12</v>
      </c>
      <c r="E368" s="3" t="s">
        <v>431</v>
      </c>
      <c r="F368" s="3" t="n">
        <v>10000</v>
      </c>
      <c r="G368" s="3"/>
      <c r="H368" s="3"/>
      <c r="I368" s="4" t="str">
        <f aca="false">IF(AND($A368&lt;&gt;"",$A368=Подбор!$C$4),MAX(I$1:I367)+1,"")</f>
        <v/>
      </c>
    </row>
    <row r="369" customFormat="false" ht="15" hidden="false" customHeight="false" outlineLevel="0" collapsed="false">
      <c r="A369" s="3" t="s">
        <v>432</v>
      </c>
      <c r="B369" s="3" t="s">
        <v>10</v>
      </c>
      <c r="C369" s="3" t="s">
        <v>11</v>
      </c>
      <c r="D369" s="3" t="s">
        <v>12</v>
      </c>
      <c r="E369" s="3" t="s">
        <v>433</v>
      </c>
      <c r="F369" s="3" t="n">
        <v>10000</v>
      </c>
      <c r="G369" s="3"/>
      <c r="H369" s="3"/>
      <c r="I369" s="4" t="str">
        <f aca="false">IF(AND($A369&lt;&gt;"",$A369=Подбор!$C$4),MAX(I$1:I368)+1,"")</f>
        <v/>
      </c>
    </row>
    <row r="370" customFormat="false" ht="15" hidden="false" customHeight="false" outlineLevel="0" collapsed="false">
      <c r="A370" s="3" t="s">
        <v>434</v>
      </c>
      <c r="B370" s="3" t="s">
        <v>397</v>
      </c>
      <c r="C370" s="3" t="s">
        <v>11</v>
      </c>
      <c r="D370" s="3" t="s">
        <v>12</v>
      </c>
      <c r="E370" s="3" t="s">
        <v>435</v>
      </c>
      <c r="F370" s="3" t="n">
        <v>24000</v>
      </c>
      <c r="G370" s="3"/>
      <c r="H370" s="3"/>
      <c r="I370" s="4" t="str">
        <f aca="false">IF(AND($A370&lt;&gt;"",$A370=Подбор!$C$4),MAX(I$1:I369)+1,"")</f>
        <v/>
      </c>
    </row>
    <row r="371" customFormat="false" ht="15" hidden="false" customHeight="false" outlineLevel="0" collapsed="false">
      <c r="A371" s="3" t="s">
        <v>434</v>
      </c>
      <c r="B371" s="3" t="s">
        <v>397</v>
      </c>
      <c r="C371" s="3" t="s">
        <v>11</v>
      </c>
      <c r="D371" s="3" t="s">
        <v>21</v>
      </c>
      <c r="E371" s="3" t="s">
        <v>436</v>
      </c>
      <c r="F371" s="3" t="n">
        <v>24000</v>
      </c>
      <c r="G371" s="3"/>
      <c r="H371" s="3"/>
      <c r="I371" s="4" t="str">
        <f aca="false">IF(AND($A371&lt;&gt;"",$A371=Подбор!$C$4),MAX(I$1:I370)+1,"")</f>
        <v/>
      </c>
    </row>
    <row r="372" customFormat="false" ht="15" hidden="false" customHeight="false" outlineLevel="0" collapsed="false">
      <c r="A372" s="3" t="s">
        <v>434</v>
      </c>
      <c r="B372" s="3" t="s">
        <v>397</v>
      </c>
      <c r="C372" s="3" t="s">
        <v>11</v>
      </c>
      <c r="D372" s="3" t="s">
        <v>23</v>
      </c>
      <c r="E372" s="3" t="s">
        <v>437</v>
      </c>
      <c r="F372" s="3" t="n">
        <v>24000</v>
      </c>
      <c r="G372" s="3"/>
      <c r="H372" s="3"/>
      <c r="I372" s="4" t="str">
        <f aca="false">IF(AND($A372&lt;&gt;"",$A372=Подбор!$C$4),MAX(I$1:I371)+1,"")</f>
        <v/>
      </c>
    </row>
    <row r="373" customFormat="false" ht="15" hidden="false" customHeight="false" outlineLevel="0" collapsed="false">
      <c r="A373" s="3" t="s">
        <v>434</v>
      </c>
      <c r="B373" s="3" t="s">
        <v>397</v>
      </c>
      <c r="C373" s="3" t="s">
        <v>11</v>
      </c>
      <c r="D373" s="3" t="s">
        <v>25</v>
      </c>
      <c r="E373" s="3" t="s">
        <v>438</v>
      </c>
      <c r="F373" s="3" t="n">
        <v>24000</v>
      </c>
      <c r="G373" s="3"/>
      <c r="H373" s="3"/>
      <c r="I373" s="4" t="str">
        <f aca="false">IF(AND($A373&lt;&gt;"",$A373=Подбор!$C$4),MAX(I$1:I372)+1,"")</f>
        <v/>
      </c>
    </row>
    <row r="374" customFormat="false" ht="15" hidden="false" customHeight="false" outlineLevel="0" collapsed="false">
      <c r="A374" s="3" t="s">
        <v>434</v>
      </c>
      <c r="B374" s="3" t="s">
        <v>397</v>
      </c>
      <c r="C374" s="3" t="s">
        <v>14</v>
      </c>
      <c r="D374" s="3" t="s">
        <v>15</v>
      </c>
      <c r="E374" s="3" t="s">
        <v>439</v>
      </c>
      <c r="F374" s="3"/>
      <c r="G374" s="3"/>
      <c r="H374" s="3"/>
      <c r="I374" s="4" t="str">
        <f aca="false">IF(AND($A374&lt;&gt;"",$A374=Подбор!$C$4),MAX(I$1:I373)+1,"")</f>
        <v/>
      </c>
    </row>
    <row r="375" customFormat="false" ht="15" hidden="false" customHeight="false" outlineLevel="0" collapsed="false">
      <c r="A375" s="3" t="s">
        <v>434</v>
      </c>
      <c r="B375" s="3" t="s">
        <v>397</v>
      </c>
      <c r="C375" s="3" t="s">
        <v>28</v>
      </c>
      <c r="D375" s="3" t="s">
        <v>15</v>
      </c>
      <c r="E375" s="3" t="s">
        <v>440</v>
      </c>
      <c r="F375" s="3"/>
      <c r="G375" s="3"/>
      <c r="H375" s="3"/>
      <c r="I375" s="4" t="str">
        <f aca="false">IF(AND($A375&lt;&gt;"",$A375=Подбор!$C$4),MAX(I$1:I374)+1,"")</f>
        <v/>
      </c>
    </row>
    <row r="376" customFormat="false" ht="15" hidden="false" customHeight="false" outlineLevel="0" collapsed="false">
      <c r="A376" s="3" t="s">
        <v>434</v>
      </c>
      <c r="B376" s="3" t="s">
        <v>397</v>
      </c>
      <c r="C376" s="3" t="s">
        <v>30</v>
      </c>
      <c r="D376" s="3" t="s">
        <v>15</v>
      </c>
      <c r="E376" s="3" t="s">
        <v>441</v>
      </c>
      <c r="F376" s="3"/>
      <c r="G376" s="3"/>
      <c r="H376" s="3"/>
      <c r="I376" s="4" t="str">
        <f aca="false">IF(AND($A376&lt;&gt;"",$A376=Подбор!$C$4),MAX(I$1:I375)+1,"")</f>
        <v/>
      </c>
    </row>
    <row r="377" customFormat="false" ht="15" hidden="false" customHeight="false" outlineLevel="0" collapsed="false">
      <c r="A377" s="3" t="s">
        <v>434</v>
      </c>
      <c r="B377" s="3" t="s">
        <v>397</v>
      </c>
      <c r="C377" s="3" t="s">
        <v>17</v>
      </c>
      <c r="D377" s="3" t="s">
        <v>15</v>
      </c>
      <c r="E377" s="3" t="s">
        <v>442</v>
      </c>
      <c r="F377" s="3"/>
      <c r="G377" s="3"/>
      <c r="H377" s="3"/>
      <c r="I377" s="4" t="str">
        <f aca="false">IF(AND($A377&lt;&gt;"",$A377=Подбор!$C$4),MAX(I$1:I376)+1,"")</f>
        <v/>
      </c>
    </row>
    <row r="378" customFormat="false" ht="15" hidden="false" customHeight="false" outlineLevel="0" collapsed="false">
      <c r="A378" s="3" t="s">
        <v>443</v>
      </c>
      <c r="B378" s="3" t="s">
        <v>397</v>
      </c>
      <c r="C378" s="3" t="s">
        <v>11</v>
      </c>
      <c r="D378" s="3" t="s">
        <v>12</v>
      </c>
      <c r="E378" s="3" t="s">
        <v>435</v>
      </c>
      <c r="F378" s="3" t="n">
        <v>24000</v>
      </c>
      <c r="G378" s="3"/>
      <c r="H378" s="3"/>
      <c r="I378" s="4" t="str">
        <f aca="false">IF(AND($A378&lt;&gt;"",$A378=Подбор!$C$4),MAX(I$1:I377)+1,"")</f>
        <v/>
      </c>
    </row>
    <row r="379" customFormat="false" ht="15" hidden="false" customHeight="false" outlineLevel="0" collapsed="false">
      <c r="A379" s="3" t="s">
        <v>443</v>
      </c>
      <c r="B379" s="3" t="s">
        <v>397</v>
      </c>
      <c r="C379" s="3" t="s">
        <v>11</v>
      </c>
      <c r="D379" s="3" t="s">
        <v>21</v>
      </c>
      <c r="E379" s="3" t="s">
        <v>436</v>
      </c>
      <c r="F379" s="3" t="n">
        <v>24000</v>
      </c>
      <c r="G379" s="3"/>
      <c r="H379" s="3"/>
      <c r="I379" s="4" t="str">
        <f aca="false">IF(AND($A379&lt;&gt;"",$A379=Подбор!$C$4),MAX(I$1:I378)+1,"")</f>
        <v/>
      </c>
    </row>
    <row r="380" customFormat="false" ht="15" hidden="false" customHeight="false" outlineLevel="0" collapsed="false">
      <c r="A380" s="3" t="s">
        <v>443</v>
      </c>
      <c r="B380" s="3" t="s">
        <v>397</v>
      </c>
      <c r="C380" s="3" t="s">
        <v>11</v>
      </c>
      <c r="D380" s="3" t="s">
        <v>23</v>
      </c>
      <c r="E380" s="3" t="s">
        <v>437</v>
      </c>
      <c r="F380" s="3" t="n">
        <v>24000</v>
      </c>
      <c r="G380" s="3"/>
      <c r="H380" s="3"/>
      <c r="I380" s="4" t="str">
        <f aca="false">IF(AND($A380&lt;&gt;"",$A380=Подбор!$C$4),MAX(I$1:I379)+1,"")</f>
        <v/>
      </c>
    </row>
    <row r="381" customFormat="false" ht="15" hidden="false" customHeight="false" outlineLevel="0" collapsed="false">
      <c r="A381" s="3" t="s">
        <v>443</v>
      </c>
      <c r="B381" s="3" t="s">
        <v>397</v>
      </c>
      <c r="C381" s="3" t="s">
        <v>11</v>
      </c>
      <c r="D381" s="3" t="s">
        <v>25</v>
      </c>
      <c r="E381" s="3" t="s">
        <v>438</v>
      </c>
      <c r="F381" s="3" t="n">
        <v>24000</v>
      </c>
      <c r="G381" s="3"/>
      <c r="H381" s="3"/>
      <c r="I381" s="4" t="str">
        <f aca="false">IF(AND($A381&lt;&gt;"",$A381=Подбор!$C$4),MAX(I$1:I380)+1,"")</f>
        <v/>
      </c>
    </row>
    <row r="382" customFormat="false" ht="15" hidden="false" customHeight="false" outlineLevel="0" collapsed="false">
      <c r="A382" s="3" t="s">
        <v>443</v>
      </c>
      <c r="B382" s="3" t="s">
        <v>397</v>
      </c>
      <c r="C382" s="3" t="s">
        <v>14</v>
      </c>
      <c r="D382" s="3" t="s">
        <v>15</v>
      </c>
      <c r="E382" s="3" t="s">
        <v>439</v>
      </c>
      <c r="F382" s="3"/>
      <c r="G382" s="3"/>
      <c r="H382" s="3"/>
      <c r="I382" s="4" t="str">
        <f aca="false">IF(AND($A382&lt;&gt;"",$A382=Подбор!$C$4),MAX(I$1:I381)+1,"")</f>
        <v/>
      </c>
    </row>
    <row r="383" customFormat="false" ht="15" hidden="false" customHeight="false" outlineLevel="0" collapsed="false">
      <c r="A383" s="3" t="s">
        <v>443</v>
      </c>
      <c r="B383" s="3" t="s">
        <v>397</v>
      </c>
      <c r="C383" s="3" t="s">
        <v>28</v>
      </c>
      <c r="D383" s="3" t="s">
        <v>15</v>
      </c>
      <c r="E383" s="3" t="s">
        <v>440</v>
      </c>
      <c r="F383" s="3"/>
      <c r="G383" s="3"/>
      <c r="H383" s="3"/>
      <c r="I383" s="4" t="str">
        <f aca="false">IF(AND($A383&lt;&gt;"",$A383=Подбор!$C$4),MAX(I$1:I382)+1,"")</f>
        <v/>
      </c>
    </row>
    <row r="384" customFormat="false" ht="15" hidden="false" customHeight="false" outlineLevel="0" collapsed="false">
      <c r="A384" s="3" t="s">
        <v>443</v>
      </c>
      <c r="B384" s="3" t="s">
        <v>397</v>
      </c>
      <c r="C384" s="3" t="s">
        <v>30</v>
      </c>
      <c r="D384" s="3" t="s">
        <v>15</v>
      </c>
      <c r="E384" s="3" t="s">
        <v>441</v>
      </c>
      <c r="F384" s="3"/>
      <c r="G384" s="3"/>
      <c r="H384" s="3"/>
      <c r="I384" s="4" t="str">
        <f aca="false">IF(AND($A384&lt;&gt;"",$A384=Подбор!$C$4),MAX(I$1:I383)+1,"")</f>
        <v/>
      </c>
    </row>
    <row r="385" customFormat="false" ht="15" hidden="false" customHeight="false" outlineLevel="0" collapsed="false">
      <c r="A385" s="3" t="s">
        <v>443</v>
      </c>
      <c r="B385" s="3" t="s">
        <v>397</v>
      </c>
      <c r="C385" s="3" t="s">
        <v>17</v>
      </c>
      <c r="D385" s="3" t="s">
        <v>15</v>
      </c>
      <c r="E385" s="3" t="s">
        <v>442</v>
      </c>
      <c r="F385" s="3"/>
      <c r="G385" s="3"/>
      <c r="H385" s="3"/>
      <c r="I385" s="4" t="str">
        <f aca="false">IF(AND($A385&lt;&gt;"",$A385=Подбор!$C$4),MAX(I$1:I384)+1,"")</f>
        <v/>
      </c>
    </row>
    <row r="386" customFormat="false" ht="15" hidden="false" customHeight="false" outlineLevel="0" collapsed="false">
      <c r="A386" s="3" t="s">
        <v>444</v>
      </c>
      <c r="B386" s="3" t="s">
        <v>10</v>
      </c>
      <c r="C386" s="3" t="s">
        <v>11</v>
      </c>
      <c r="D386" s="3" t="s">
        <v>12</v>
      </c>
      <c r="E386" s="3" t="s">
        <v>445</v>
      </c>
      <c r="F386" s="3" t="n">
        <v>2200</v>
      </c>
      <c r="G386" s="3"/>
      <c r="H386" s="3"/>
      <c r="I386" s="4" t="str">
        <f aca="false">IF(AND($A386&lt;&gt;"",$A386=Подбор!$C$4),MAX(I$1:I385)+1,"")</f>
        <v/>
      </c>
    </row>
    <row r="387" customFormat="false" ht="15" hidden="false" customHeight="false" outlineLevel="0" collapsed="false">
      <c r="A387" s="3" t="s">
        <v>446</v>
      </c>
      <c r="B387" s="3" t="s">
        <v>10</v>
      </c>
      <c r="C387" s="3" t="s">
        <v>11</v>
      </c>
      <c r="D387" s="3" t="s">
        <v>12</v>
      </c>
      <c r="E387" s="3" t="s">
        <v>445</v>
      </c>
      <c r="F387" s="3" t="n">
        <v>2200</v>
      </c>
      <c r="G387" s="3"/>
      <c r="H387" s="3"/>
      <c r="I387" s="4" t="str">
        <f aca="false">IF(AND($A387&lt;&gt;"",$A387=Подбор!$C$4),MAX(I$1:I386)+1,"")</f>
        <v/>
      </c>
    </row>
    <row r="388" customFormat="false" ht="15" hidden="false" customHeight="false" outlineLevel="0" collapsed="false">
      <c r="A388" s="3" t="s">
        <v>447</v>
      </c>
      <c r="B388" s="3" t="s">
        <v>10</v>
      </c>
      <c r="C388" s="3" t="s">
        <v>11</v>
      </c>
      <c r="D388" s="3" t="s">
        <v>12</v>
      </c>
      <c r="E388" s="3" t="s">
        <v>20</v>
      </c>
      <c r="F388" s="3" t="n">
        <v>26000</v>
      </c>
      <c r="G388" s="3"/>
      <c r="H388" s="3"/>
      <c r="I388" s="4" t="str">
        <f aca="false">IF(AND($A388&lt;&gt;"",$A388=Подбор!$C$4),MAX(I$1:I387)+1,"")</f>
        <v/>
      </c>
    </row>
    <row r="389" customFormat="false" ht="15" hidden="false" customHeight="false" outlineLevel="0" collapsed="false">
      <c r="A389" s="3" t="s">
        <v>447</v>
      </c>
      <c r="B389" s="3" t="s">
        <v>10</v>
      </c>
      <c r="C389" s="3" t="s">
        <v>11</v>
      </c>
      <c r="D389" s="3" t="s">
        <v>21</v>
      </c>
      <c r="E389" s="3" t="s">
        <v>22</v>
      </c>
      <c r="F389" s="3" t="n">
        <v>15000</v>
      </c>
      <c r="G389" s="3"/>
      <c r="H389" s="3"/>
      <c r="I389" s="4" t="str">
        <f aca="false">IF(AND($A389&lt;&gt;"",$A389=Подбор!$C$4),MAX(I$1:I388)+1,"")</f>
        <v/>
      </c>
    </row>
    <row r="390" customFormat="false" ht="15" hidden="false" customHeight="false" outlineLevel="0" collapsed="false">
      <c r="A390" s="3" t="s">
        <v>447</v>
      </c>
      <c r="B390" s="3" t="s">
        <v>10</v>
      </c>
      <c r="C390" s="3" t="s">
        <v>11</v>
      </c>
      <c r="D390" s="3" t="s">
        <v>23</v>
      </c>
      <c r="E390" s="3" t="s">
        <v>24</v>
      </c>
      <c r="F390" s="3" t="n">
        <v>15000</v>
      </c>
      <c r="G390" s="3"/>
      <c r="H390" s="3"/>
      <c r="I390" s="4" t="str">
        <f aca="false">IF(AND($A390&lt;&gt;"",$A390=Подбор!$C$4),MAX(I$1:I389)+1,"")</f>
        <v/>
      </c>
    </row>
    <row r="391" customFormat="false" ht="15" hidden="false" customHeight="false" outlineLevel="0" collapsed="false">
      <c r="A391" s="3" t="s">
        <v>447</v>
      </c>
      <c r="B391" s="3" t="s">
        <v>10</v>
      </c>
      <c r="C391" s="3" t="s">
        <v>11</v>
      </c>
      <c r="D391" s="3" t="s">
        <v>25</v>
      </c>
      <c r="E391" s="3" t="s">
        <v>26</v>
      </c>
      <c r="F391" s="3" t="n">
        <v>15000</v>
      </c>
      <c r="G391" s="3"/>
      <c r="H391" s="3"/>
      <c r="I391" s="4" t="str">
        <f aca="false">IF(AND($A391&lt;&gt;"",$A391=Подбор!$C$4),MAX(I$1:I390)+1,"")</f>
        <v/>
      </c>
    </row>
    <row r="392" customFormat="false" ht="15" hidden="false" customHeight="false" outlineLevel="0" collapsed="false">
      <c r="A392" s="3" t="s">
        <v>447</v>
      </c>
      <c r="B392" s="3" t="s">
        <v>10</v>
      </c>
      <c r="C392" s="3" t="s">
        <v>14</v>
      </c>
      <c r="D392" s="3" t="s">
        <v>15</v>
      </c>
      <c r="E392" s="3" t="s">
        <v>27</v>
      </c>
      <c r="F392" s="3"/>
      <c r="G392" s="3"/>
      <c r="H392" s="3"/>
      <c r="I392" s="4" t="str">
        <f aca="false">IF(AND($A392&lt;&gt;"",$A392=Подбор!$C$4),MAX(I$1:I391)+1,"")</f>
        <v/>
      </c>
    </row>
    <row r="393" customFormat="false" ht="15" hidden="false" customHeight="false" outlineLevel="0" collapsed="false">
      <c r="A393" s="3" t="s">
        <v>447</v>
      </c>
      <c r="B393" s="3" t="s">
        <v>10</v>
      </c>
      <c r="C393" s="3" t="s">
        <v>28</v>
      </c>
      <c r="D393" s="3" t="s">
        <v>15</v>
      </c>
      <c r="E393" s="3" t="s">
        <v>29</v>
      </c>
      <c r="F393" s="3"/>
      <c r="G393" s="3"/>
      <c r="H393" s="3"/>
      <c r="I393" s="4" t="str">
        <f aca="false">IF(AND($A393&lt;&gt;"",$A393=Подбор!$C$4),MAX(I$1:I392)+1,"")</f>
        <v/>
      </c>
    </row>
    <row r="394" customFormat="false" ht="15" hidden="false" customHeight="false" outlineLevel="0" collapsed="false">
      <c r="A394" s="3" t="s">
        <v>447</v>
      </c>
      <c r="B394" s="3" t="s">
        <v>10</v>
      </c>
      <c r="C394" s="3" t="s">
        <v>30</v>
      </c>
      <c r="D394" s="3" t="s">
        <v>15</v>
      </c>
      <c r="E394" s="3" t="s">
        <v>31</v>
      </c>
      <c r="F394" s="3"/>
      <c r="G394" s="3"/>
      <c r="H394" s="3"/>
      <c r="I394" s="4" t="str">
        <f aca="false">IF(AND($A394&lt;&gt;"",$A394=Подбор!$C$4),MAX(I$1:I393)+1,"")</f>
        <v/>
      </c>
    </row>
    <row r="395" customFormat="false" ht="15" hidden="false" customHeight="false" outlineLevel="0" collapsed="false">
      <c r="A395" s="3" t="s">
        <v>447</v>
      </c>
      <c r="B395" s="3" t="s">
        <v>10</v>
      </c>
      <c r="C395" s="3" t="s">
        <v>17</v>
      </c>
      <c r="D395" s="3" t="s">
        <v>15</v>
      </c>
      <c r="E395" s="3" t="s">
        <v>32</v>
      </c>
      <c r="F395" s="3"/>
      <c r="G395" s="3"/>
      <c r="H395" s="3"/>
      <c r="I395" s="4" t="str">
        <f aca="false">IF(AND($A395&lt;&gt;"",$A395=Подбор!$C$4),MAX(I$1:I394)+1,"")</f>
        <v/>
      </c>
    </row>
    <row r="396" customFormat="false" ht="15" hidden="false" customHeight="false" outlineLevel="0" collapsed="false">
      <c r="A396" s="3" t="s">
        <v>448</v>
      </c>
      <c r="B396" s="3" t="s">
        <v>10</v>
      </c>
      <c r="C396" s="3" t="s">
        <v>11</v>
      </c>
      <c r="D396" s="3" t="s">
        <v>12</v>
      </c>
      <c r="E396" s="3" t="s">
        <v>20</v>
      </c>
      <c r="F396" s="3" t="n">
        <v>26000</v>
      </c>
      <c r="G396" s="3"/>
      <c r="H396" s="3"/>
      <c r="I396" s="4" t="str">
        <f aca="false">IF(AND($A396&lt;&gt;"",$A396=Подбор!$C$4),MAX(I$1:I395)+1,"")</f>
        <v/>
      </c>
    </row>
    <row r="397" customFormat="false" ht="15" hidden="false" customHeight="false" outlineLevel="0" collapsed="false">
      <c r="A397" s="3" t="s">
        <v>448</v>
      </c>
      <c r="B397" s="3" t="s">
        <v>10</v>
      </c>
      <c r="C397" s="3" t="s">
        <v>11</v>
      </c>
      <c r="D397" s="3" t="s">
        <v>21</v>
      </c>
      <c r="E397" s="3" t="s">
        <v>22</v>
      </c>
      <c r="F397" s="3" t="n">
        <v>15000</v>
      </c>
      <c r="G397" s="3"/>
      <c r="H397" s="3"/>
      <c r="I397" s="4" t="str">
        <f aca="false">IF(AND($A397&lt;&gt;"",$A397=Подбор!$C$4),MAX(I$1:I396)+1,"")</f>
        <v/>
      </c>
    </row>
    <row r="398" customFormat="false" ht="15" hidden="false" customHeight="false" outlineLevel="0" collapsed="false">
      <c r="A398" s="3" t="s">
        <v>448</v>
      </c>
      <c r="B398" s="3" t="s">
        <v>10</v>
      </c>
      <c r="C398" s="3" t="s">
        <v>11</v>
      </c>
      <c r="D398" s="3" t="s">
        <v>23</v>
      </c>
      <c r="E398" s="3" t="s">
        <v>24</v>
      </c>
      <c r="F398" s="3" t="n">
        <v>15000</v>
      </c>
      <c r="G398" s="3"/>
      <c r="H398" s="3"/>
      <c r="I398" s="4" t="str">
        <f aca="false">IF(AND($A398&lt;&gt;"",$A398=Подбор!$C$4),MAX(I$1:I397)+1,"")</f>
        <v/>
      </c>
    </row>
    <row r="399" customFormat="false" ht="15" hidden="false" customHeight="false" outlineLevel="0" collapsed="false">
      <c r="A399" s="3" t="s">
        <v>448</v>
      </c>
      <c r="B399" s="3" t="s">
        <v>10</v>
      </c>
      <c r="C399" s="3" t="s">
        <v>11</v>
      </c>
      <c r="D399" s="3" t="s">
        <v>25</v>
      </c>
      <c r="E399" s="3" t="s">
        <v>26</v>
      </c>
      <c r="F399" s="3" t="n">
        <v>15000</v>
      </c>
      <c r="G399" s="3"/>
      <c r="H399" s="3"/>
      <c r="I399" s="4" t="str">
        <f aca="false">IF(AND($A399&lt;&gt;"",$A399=Подбор!$C$4),MAX(I$1:I398)+1,"")</f>
        <v/>
      </c>
    </row>
    <row r="400" customFormat="false" ht="15" hidden="false" customHeight="false" outlineLevel="0" collapsed="false">
      <c r="A400" s="3" t="s">
        <v>448</v>
      </c>
      <c r="B400" s="3" t="s">
        <v>10</v>
      </c>
      <c r="C400" s="3" t="s">
        <v>14</v>
      </c>
      <c r="D400" s="3" t="s">
        <v>15</v>
      </c>
      <c r="E400" s="3" t="s">
        <v>27</v>
      </c>
      <c r="F400" s="3"/>
      <c r="G400" s="3"/>
      <c r="H400" s="3"/>
      <c r="I400" s="4" t="str">
        <f aca="false">IF(AND($A400&lt;&gt;"",$A400=Подбор!$C$4),MAX(I$1:I399)+1,"")</f>
        <v/>
      </c>
    </row>
    <row r="401" customFormat="false" ht="15" hidden="false" customHeight="false" outlineLevel="0" collapsed="false">
      <c r="A401" s="3" t="s">
        <v>448</v>
      </c>
      <c r="B401" s="3" t="s">
        <v>10</v>
      </c>
      <c r="C401" s="3" t="s">
        <v>28</v>
      </c>
      <c r="D401" s="3" t="s">
        <v>15</v>
      </c>
      <c r="E401" s="3" t="s">
        <v>29</v>
      </c>
      <c r="F401" s="3"/>
      <c r="G401" s="3"/>
      <c r="H401" s="3"/>
      <c r="I401" s="4" t="str">
        <f aca="false">IF(AND($A401&lt;&gt;"",$A401=Подбор!$C$4),MAX(I$1:I400)+1,"")</f>
        <v/>
      </c>
    </row>
    <row r="402" customFormat="false" ht="15" hidden="false" customHeight="false" outlineLevel="0" collapsed="false">
      <c r="A402" s="3" t="s">
        <v>448</v>
      </c>
      <c r="B402" s="3" t="s">
        <v>10</v>
      </c>
      <c r="C402" s="3" t="s">
        <v>30</v>
      </c>
      <c r="D402" s="3" t="s">
        <v>15</v>
      </c>
      <c r="E402" s="3" t="s">
        <v>31</v>
      </c>
      <c r="F402" s="3"/>
      <c r="G402" s="3"/>
      <c r="H402" s="3"/>
      <c r="I402" s="4" t="str">
        <f aca="false">IF(AND($A402&lt;&gt;"",$A402=Подбор!$C$4),MAX(I$1:I401)+1,"")</f>
        <v/>
      </c>
    </row>
    <row r="403" customFormat="false" ht="15" hidden="false" customHeight="false" outlineLevel="0" collapsed="false">
      <c r="A403" s="3" t="s">
        <v>448</v>
      </c>
      <c r="B403" s="3" t="s">
        <v>10</v>
      </c>
      <c r="C403" s="3" t="s">
        <v>17</v>
      </c>
      <c r="D403" s="3" t="s">
        <v>15</v>
      </c>
      <c r="E403" s="3" t="s">
        <v>32</v>
      </c>
      <c r="F403" s="3"/>
      <c r="G403" s="3"/>
      <c r="H403" s="3"/>
      <c r="I403" s="4" t="str">
        <f aca="false">IF(AND($A403&lt;&gt;"",$A403=Подбор!$C$4),MAX(I$1:I402)+1,"")</f>
        <v/>
      </c>
    </row>
    <row r="404" customFormat="false" ht="15" hidden="false" customHeight="false" outlineLevel="0" collapsed="false">
      <c r="A404" s="3" t="s">
        <v>449</v>
      </c>
      <c r="B404" s="3" t="s">
        <v>10</v>
      </c>
      <c r="C404" s="3" t="s">
        <v>11</v>
      </c>
      <c r="D404" s="3" t="s">
        <v>12</v>
      </c>
      <c r="E404" s="3" t="s">
        <v>450</v>
      </c>
      <c r="F404" s="3" t="n">
        <v>25000</v>
      </c>
      <c r="G404" s="3"/>
      <c r="H404" s="3"/>
      <c r="I404" s="4" t="str">
        <f aca="false">IF(AND($A404&lt;&gt;"",$A404=Подбор!$C$4),MAX(I$1:I403)+1,"")</f>
        <v/>
      </c>
    </row>
    <row r="405" customFormat="false" ht="15" hidden="false" customHeight="false" outlineLevel="0" collapsed="false">
      <c r="A405" s="3" t="s">
        <v>451</v>
      </c>
      <c r="B405" s="3" t="s">
        <v>10</v>
      </c>
      <c r="C405" s="3" t="s">
        <v>11</v>
      </c>
      <c r="D405" s="3" t="s">
        <v>12</v>
      </c>
      <c r="E405" s="3" t="s">
        <v>20</v>
      </c>
      <c r="F405" s="3" t="n">
        <v>26000</v>
      </c>
      <c r="G405" s="3"/>
      <c r="H405" s="3"/>
      <c r="I405" s="4" t="str">
        <f aca="false">IF(AND($A405&lt;&gt;"",$A405=Подбор!$C$4),MAX(I$1:I404)+1,"")</f>
        <v/>
      </c>
    </row>
    <row r="406" customFormat="false" ht="15" hidden="false" customHeight="false" outlineLevel="0" collapsed="false">
      <c r="A406" s="3" t="s">
        <v>451</v>
      </c>
      <c r="B406" s="3" t="s">
        <v>10</v>
      </c>
      <c r="C406" s="3" t="s">
        <v>11</v>
      </c>
      <c r="D406" s="3" t="s">
        <v>21</v>
      </c>
      <c r="E406" s="3" t="s">
        <v>22</v>
      </c>
      <c r="F406" s="3" t="n">
        <v>15000</v>
      </c>
      <c r="G406" s="3"/>
      <c r="H406" s="3"/>
      <c r="I406" s="4" t="str">
        <f aca="false">IF(AND($A406&lt;&gt;"",$A406=Подбор!$C$4),MAX(I$1:I405)+1,"")</f>
        <v/>
      </c>
    </row>
    <row r="407" customFormat="false" ht="15" hidden="false" customHeight="false" outlineLevel="0" collapsed="false">
      <c r="A407" s="3" t="s">
        <v>451</v>
      </c>
      <c r="B407" s="3" t="s">
        <v>10</v>
      </c>
      <c r="C407" s="3" t="s">
        <v>11</v>
      </c>
      <c r="D407" s="3" t="s">
        <v>23</v>
      </c>
      <c r="E407" s="3" t="s">
        <v>24</v>
      </c>
      <c r="F407" s="3" t="n">
        <v>15000</v>
      </c>
      <c r="G407" s="3"/>
      <c r="H407" s="3"/>
      <c r="I407" s="4" t="str">
        <f aca="false">IF(AND($A407&lt;&gt;"",$A407=Подбор!$C$4),MAX(I$1:I406)+1,"")</f>
        <v/>
      </c>
    </row>
    <row r="408" customFormat="false" ht="15" hidden="false" customHeight="false" outlineLevel="0" collapsed="false">
      <c r="A408" s="3" t="s">
        <v>451</v>
      </c>
      <c r="B408" s="3" t="s">
        <v>10</v>
      </c>
      <c r="C408" s="3" t="s">
        <v>11</v>
      </c>
      <c r="D408" s="3" t="s">
        <v>25</v>
      </c>
      <c r="E408" s="3" t="s">
        <v>26</v>
      </c>
      <c r="F408" s="3" t="n">
        <v>15000</v>
      </c>
      <c r="G408" s="3"/>
      <c r="H408" s="3"/>
      <c r="I408" s="4" t="str">
        <f aca="false">IF(AND($A408&lt;&gt;"",$A408=Подбор!$C$4),MAX(I$1:I407)+1,"")</f>
        <v/>
      </c>
    </row>
    <row r="409" customFormat="false" ht="15" hidden="false" customHeight="false" outlineLevel="0" collapsed="false">
      <c r="A409" s="3" t="s">
        <v>451</v>
      </c>
      <c r="B409" s="3" t="s">
        <v>10</v>
      </c>
      <c r="C409" s="3" t="s">
        <v>14</v>
      </c>
      <c r="D409" s="3" t="s">
        <v>15</v>
      </c>
      <c r="E409" s="3" t="s">
        <v>27</v>
      </c>
      <c r="F409" s="3"/>
      <c r="G409" s="3"/>
      <c r="H409" s="3"/>
      <c r="I409" s="4" t="str">
        <f aca="false">IF(AND($A409&lt;&gt;"",$A409=Подбор!$C$4),MAX(I$1:I408)+1,"")</f>
        <v/>
      </c>
    </row>
    <row r="410" customFormat="false" ht="15" hidden="false" customHeight="false" outlineLevel="0" collapsed="false">
      <c r="A410" s="3" t="s">
        <v>451</v>
      </c>
      <c r="B410" s="3" t="s">
        <v>10</v>
      </c>
      <c r="C410" s="3" t="s">
        <v>28</v>
      </c>
      <c r="D410" s="3" t="s">
        <v>15</v>
      </c>
      <c r="E410" s="3" t="s">
        <v>29</v>
      </c>
      <c r="F410" s="3"/>
      <c r="G410" s="3"/>
      <c r="H410" s="3"/>
      <c r="I410" s="4" t="str">
        <f aca="false">IF(AND($A410&lt;&gt;"",$A410=Подбор!$C$4),MAX(I$1:I409)+1,"")</f>
        <v/>
      </c>
    </row>
    <row r="411" customFormat="false" ht="15" hidden="false" customHeight="false" outlineLevel="0" collapsed="false">
      <c r="A411" s="3" t="s">
        <v>451</v>
      </c>
      <c r="B411" s="3" t="s">
        <v>10</v>
      </c>
      <c r="C411" s="3" t="s">
        <v>30</v>
      </c>
      <c r="D411" s="3" t="s">
        <v>15</v>
      </c>
      <c r="E411" s="3" t="s">
        <v>31</v>
      </c>
      <c r="F411" s="3"/>
      <c r="G411" s="3"/>
      <c r="H411" s="3"/>
      <c r="I411" s="4" t="str">
        <f aca="false">IF(AND($A411&lt;&gt;"",$A411=Подбор!$C$4),MAX(I$1:I410)+1,"")</f>
        <v/>
      </c>
    </row>
    <row r="412" customFormat="false" ht="15" hidden="false" customHeight="false" outlineLevel="0" collapsed="false">
      <c r="A412" s="3" t="s">
        <v>451</v>
      </c>
      <c r="B412" s="3" t="s">
        <v>10</v>
      </c>
      <c r="C412" s="3" t="s">
        <v>17</v>
      </c>
      <c r="D412" s="3" t="s">
        <v>15</v>
      </c>
      <c r="E412" s="3" t="s">
        <v>32</v>
      </c>
      <c r="F412" s="3"/>
      <c r="G412" s="3"/>
      <c r="H412" s="3"/>
      <c r="I412" s="4" t="str">
        <f aca="false">IF(AND($A412&lt;&gt;"",$A412=Подбор!$C$4),MAX(I$1:I411)+1,"")</f>
        <v/>
      </c>
    </row>
    <row r="413" customFormat="false" ht="15" hidden="false" customHeight="false" outlineLevel="0" collapsed="false">
      <c r="A413" s="3" t="s">
        <v>452</v>
      </c>
      <c r="B413" s="3" t="s">
        <v>10</v>
      </c>
      <c r="C413" s="3" t="s">
        <v>11</v>
      </c>
      <c r="D413" s="3" t="s">
        <v>12</v>
      </c>
      <c r="E413" s="3" t="s">
        <v>20</v>
      </c>
      <c r="F413" s="3" t="n">
        <v>26000</v>
      </c>
      <c r="G413" s="3"/>
      <c r="H413" s="3"/>
      <c r="I413" s="4" t="str">
        <f aca="false">IF(AND($A413&lt;&gt;"",$A413=Подбор!$C$4),MAX(I$1:I412)+1,"")</f>
        <v/>
      </c>
    </row>
    <row r="414" customFormat="false" ht="15" hidden="false" customHeight="false" outlineLevel="0" collapsed="false">
      <c r="A414" s="3" t="s">
        <v>452</v>
      </c>
      <c r="B414" s="3" t="s">
        <v>10</v>
      </c>
      <c r="C414" s="3" t="s">
        <v>11</v>
      </c>
      <c r="D414" s="3" t="s">
        <v>21</v>
      </c>
      <c r="E414" s="3" t="s">
        <v>22</v>
      </c>
      <c r="F414" s="3" t="n">
        <v>15000</v>
      </c>
      <c r="G414" s="3"/>
      <c r="H414" s="3"/>
      <c r="I414" s="4" t="str">
        <f aca="false">IF(AND($A414&lt;&gt;"",$A414=Подбор!$C$4),MAX(I$1:I413)+1,"")</f>
        <v/>
      </c>
    </row>
    <row r="415" customFormat="false" ht="15" hidden="false" customHeight="false" outlineLevel="0" collapsed="false">
      <c r="A415" s="3" t="s">
        <v>452</v>
      </c>
      <c r="B415" s="3" t="s">
        <v>10</v>
      </c>
      <c r="C415" s="3" t="s">
        <v>11</v>
      </c>
      <c r="D415" s="3" t="s">
        <v>23</v>
      </c>
      <c r="E415" s="3" t="s">
        <v>24</v>
      </c>
      <c r="F415" s="3" t="n">
        <v>15000</v>
      </c>
      <c r="G415" s="3"/>
      <c r="H415" s="3"/>
      <c r="I415" s="4" t="str">
        <f aca="false">IF(AND($A415&lt;&gt;"",$A415=Подбор!$C$4),MAX(I$1:I414)+1,"")</f>
        <v/>
      </c>
    </row>
    <row r="416" customFormat="false" ht="15" hidden="false" customHeight="false" outlineLevel="0" collapsed="false">
      <c r="A416" s="3" t="s">
        <v>452</v>
      </c>
      <c r="B416" s="3" t="s">
        <v>10</v>
      </c>
      <c r="C416" s="3" t="s">
        <v>11</v>
      </c>
      <c r="D416" s="3" t="s">
        <v>25</v>
      </c>
      <c r="E416" s="3" t="s">
        <v>26</v>
      </c>
      <c r="F416" s="3" t="n">
        <v>15000</v>
      </c>
      <c r="G416" s="3"/>
      <c r="H416" s="3"/>
      <c r="I416" s="4" t="str">
        <f aca="false">IF(AND($A416&lt;&gt;"",$A416=Подбор!$C$4),MAX(I$1:I415)+1,"")</f>
        <v/>
      </c>
    </row>
    <row r="417" customFormat="false" ht="15" hidden="false" customHeight="false" outlineLevel="0" collapsed="false">
      <c r="A417" s="3" t="s">
        <v>452</v>
      </c>
      <c r="B417" s="3" t="s">
        <v>10</v>
      </c>
      <c r="C417" s="3" t="s">
        <v>14</v>
      </c>
      <c r="D417" s="3" t="s">
        <v>15</v>
      </c>
      <c r="E417" s="3" t="s">
        <v>27</v>
      </c>
      <c r="F417" s="3"/>
      <c r="G417" s="3"/>
      <c r="H417" s="3"/>
      <c r="I417" s="4" t="str">
        <f aca="false">IF(AND($A417&lt;&gt;"",$A417=Подбор!$C$4),MAX(I$1:I416)+1,"")</f>
        <v/>
      </c>
    </row>
    <row r="418" customFormat="false" ht="15" hidden="false" customHeight="false" outlineLevel="0" collapsed="false">
      <c r="A418" s="3" t="s">
        <v>452</v>
      </c>
      <c r="B418" s="3" t="s">
        <v>10</v>
      </c>
      <c r="C418" s="3" t="s">
        <v>28</v>
      </c>
      <c r="D418" s="3" t="s">
        <v>15</v>
      </c>
      <c r="E418" s="3" t="s">
        <v>29</v>
      </c>
      <c r="F418" s="3"/>
      <c r="G418" s="3"/>
      <c r="H418" s="3"/>
      <c r="I418" s="4" t="str">
        <f aca="false">IF(AND($A418&lt;&gt;"",$A418=Подбор!$C$4),MAX(I$1:I417)+1,"")</f>
        <v/>
      </c>
    </row>
    <row r="419" customFormat="false" ht="15" hidden="false" customHeight="false" outlineLevel="0" collapsed="false">
      <c r="A419" s="3" t="s">
        <v>452</v>
      </c>
      <c r="B419" s="3" t="s">
        <v>10</v>
      </c>
      <c r="C419" s="3" t="s">
        <v>30</v>
      </c>
      <c r="D419" s="3" t="s">
        <v>15</v>
      </c>
      <c r="E419" s="3" t="s">
        <v>31</v>
      </c>
      <c r="F419" s="3"/>
      <c r="G419" s="3"/>
      <c r="H419" s="3"/>
      <c r="I419" s="4" t="str">
        <f aca="false">IF(AND($A419&lt;&gt;"",$A419=Подбор!$C$4),MAX(I$1:I418)+1,"")</f>
        <v/>
      </c>
    </row>
    <row r="420" customFormat="false" ht="15" hidden="false" customHeight="false" outlineLevel="0" collapsed="false">
      <c r="A420" s="3" t="s">
        <v>452</v>
      </c>
      <c r="B420" s="3" t="s">
        <v>10</v>
      </c>
      <c r="C420" s="3" t="s">
        <v>17</v>
      </c>
      <c r="D420" s="3" t="s">
        <v>15</v>
      </c>
      <c r="E420" s="3" t="s">
        <v>32</v>
      </c>
      <c r="F420" s="3"/>
      <c r="G420" s="3"/>
      <c r="H420" s="3"/>
      <c r="I420" s="4" t="str">
        <f aca="false">IF(AND($A420&lt;&gt;"",$A420=Подбор!$C$4),MAX(I$1:I419)+1,"")</f>
        <v/>
      </c>
    </row>
    <row r="421" customFormat="false" ht="15" hidden="false" customHeight="false" outlineLevel="0" collapsed="false">
      <c r="A421" s="3" t="s">
        <v>453</v>
      </c>
      <c r="B421" s="3" t="s">
        <v>10</v>
      </c>
      <c r="C421" s="3" t="s">
        <v>11</v>
      </c>
      <c r="D421" s="3" t="s">
        <v>12</v>
      </c>
      <c r="E421" s="3" t="s">
        <v>20</v>
      </c>
      <c r="F421" s="3" t="n">
        <v>26000</v>
      </c>
      <c r="G421" s="3"/>
      <c r="H421" s="3"/>
      <c r="I421" s="4" t="str">
        <f aca="false">IF(AND($A421&lt;&gt;"",$A421=Подбор!$C$4),MAX(I$1:I420)+1,"")</f>
        <v/>
      </c>
    </row>
    <row r="422" customFormat="false" ht="15" hidden="false" customHeight="false" outlineLevel="0" collapsed="false">
      <c r="A422" s="3" t="s">
        <v>453</v>
      </c>
      <c r="B422" s="3" t="s">
        <v>10</v>
      </c>
      <c r="C422" s="3" t="s">
        <v>11</v>
      </c>
      <c r="D422" s="3" t="s">
        <v>21</v>
      </c>
      <c r="E422" s="3" t="s">
        <v>22</v>
      </c>
      <c r="F422" s="3" t="n">
        <v>15000</v>
      </c>
      <c r="G422" s="3"/>
      <c r="H422" s="3"/>
      <c r="I422" s="4" t="str">
        <f aca="false">IF(AND($A422&lt;&gt;"",$A422=Подбор!$C$4),MAX(I$1:I421)+1,"")</f>
        <v/>
      </c>
    </row>
    <row r="423" customFormat="false" ht="15" hidden="false" customHeight="false" outlineLevel="0" collapsed="false">
      <c r="A423" s="3" t="s">
        <v>453</v>
      </c>
      <c r="B423" s="3" t="s">
        <v>10</v>
      </c>
      <c r="C423" s="3" t="s">
        <v>11</v>
      </c>
      <c r="D423" s="3" t="s">
        <v>23</v>
      </c>
      <c r="E423" s="3" t="s">
        <v>24</v>
      </c>
      <c r="F423" s="3" t="n">
        <v>15000</v>
      </c>
      <c r="G423" s="3"/>
      <c r="H423" s="3"/>
      <c r="I423" s="4" t="str">
        <f aca="false">IF(AND($A423&lt;&gt;"",$A423=Подбор!$C$4),MAX(I$1:I422)+1,"")</f>
        <v/>
      </c>
    </row>
    <row r="424" customFormat="false" ht="15" hidden="false" customHeight="false" outlineLevel="0" collapsed="false">
      <c r="A424" s="3" t="s">
        <v>453</v>
      </c>
      <c r="B424" s="3" t="s">
        <v>10</v>
      </c>
      <c r="C424" s="3" t="s">
        <v>11</v>
      </c>
      <c r="D424" s="3" t="s">
        <v>25</v>
      </c>
      <c r="E424" s="3" t="s">
        <v>26</v>
      </c>
      <c r="F424" s="3" t="n">
        <v>15000</v>
      </c>
      <c r="G424" s="3"/>
      <c r="H424" s="3"/>
      <c r="I424" s="4" t="str">
        <f aca="false">IF(AND($A424&lt;&gt;"",$A424=Подбор!$C$4),MAX(I$1:I423)+1,"")</f>
        <v/>
      </c>
    </row>
    <row r="425" customFormat="false" ht="15" hidden="false" customHeight="false" outlineLevel="0" collapsed="false">
      <c r="A425" s="3" t="s">
        <v>453</v>
      </c>
      <c r="B425" s="3" t="s">
        <v>10</v>
      </c>
      <c r="C425" s="3" t="s">
        <v>14</v>
      </c>
      <c r="D425" s="3" t="s">
        <v>15</v>
      </c>
      <c r="E425" s="3" t="s">
        <v>27</v>
      </c>
      <c r="F425" s="3"/>
      <c r="G425" s="3"/>
      <c r="H425" s="3"/>
      <c r="I425" s="4" t="str">
        <f aca="false">IF(AND($A425&lt;&gt;"",$A425=Подбор!$C$4),MAX(I$1:I424)+1,"")</f>
        <v/>
      </c>
    </row>
    <row r="426" customFormat="false" ht="15" hidden="false" customHeight="false" outlineLevel="0" collapsed="false">
      <c r="A426" s="3" t="s">
        <v>453</v>
      </c>
      <c r="B426" s="3" t="s">
        <v>10</v>
      </c>
      <c r="C426" s="3" t="s">
        <v>28</v>
      </c>
      <c r="D426" s="3" t="s">
        <v>15</v>
      </c>
      <c r="E426" s="3" t="s">
        <v>29</v>
      </c>
      <c r="F426" s="3"/>
      <c r="G426" s="3"/>
      <c r="H426" s="3"/>
      <c r="I426" s="4" t="str">
        <f aca="false">IF(AND($A426&lt;&gt;"",$A426=Подбор!$C$4),MAX(I$1:I425)+1,"")</f>
        <v/>
      </c>
    </row>
    <row r="427" customFormat="false" ht="15" hidden="false" customHeight="false" outlineLevel="0" collapsed="false">
      <c r="A427" s="3" t="s">
        <v>453</v>
      </c>
      <c r="B427" s="3" t="s">
        <v>10</v>
      </c>
      <c r="C427" s="3" t="s">
        <v>30</v>
      </c>
      <c r="D427" s="3" t="s">
        <v>15</v>
      </c>
      <c r="E427" s="3" t="s">
        <v>31</v>
      </c>
      <c r="F427" s="3"/>
      <c r="G427" s="3"/>
      <c r="H427" s="3"/>
      <c r="I427" s="4" t="str">
        <f aca="false">IF(AND($A427&lt;&gt;"",$A427=Подбор!$C$4),MAX(I$1:I426)+1,"")</f>
        <v/>
      </c>
    </row>
    <row r="428" customFormat="false" ht="15" hidden="false" customHeight="false" outlineLevel="0" collapsed="false">
      <c r="A428" s="3" t="s">
        <v>453</v>
      </c>
      <c r="B428" s="3" t="s">
        <v>10</v>
      </c>
      <c r="C428" s="3" t="s">
        <v>17</v>
      </c>
      <c r="D428" s="3" t="s">
        <v>15</v>
      </c>
      <c r="E428" s="3" t="s">
        <v>32</v>
      </c>
      <c r="F428" s="3"/>
      <c r="G428" s="3"/>
      <c r="H428" s="3"/>
      <c r="I428" s="4" t="str">
        <f aca="false">IF(AND($A428&lt;&gt;"",$A428=Подбор!$C$4),MAX(I$1:I427)+1,"")</f>
        <v/>
      </c>
    </row>
    <row r="429" customFormat="false" ht="15" hidden="false" customHeight="false" outlineLevel="0" collapsed="false">
      <c r="A429" s="3" t="s">
        <v>454</v>
      </c>
      <c r="B429" s="3" t="s">
        <v>10</v>
      </c>
      <c r="C429" s="3" t="s">
        <v>11</v>
      </c>
      <c r="D429" s="3" t="s">
        <v>12</v>
      </c>
      <c r="E429" s="3" t="s">
        <v>278</v>
      </c>
      <c r="F429" s="3" t="n">
        <v>3000</v>
      </c>
      <c r="G429" s="3"/>
      <c r="H429" s="3"/>
      <c r="I429" s="4" t="str">
        <f aca="false">IF(AND($A429&lt;&gt;"",$A429=Подбор!$C$4),MAX(I$1:I428)+1,"")</f>
        <v/>
      </c>
    </row>
    <row r="430" customFormat="false" ht="15" hidden="false" customHeight="false" outlineLevel="0" collapsed="false">
      <c r="A430" s="3" t="s">
        <v>455</v>
      </c>
      <c r="B430" s="3" t="s">
        <v>10</v>
      </c>
      <c r="C430" s="3" t="s">
        <v>11</v>
      </c>
      <c r="D430" s="3" t="s">
        <v>12</v>
      </c>
      <c r="E430" s="3" t="s">
        <v>278</v>
      </c>
      <c r="F430" s="3" t="n">
        <v>3000</v>
      </c>
      <c r="G430" s="3"/>
      <c r="H430" s="3"/>
      <c r="I430" s="4" t="str">
        <f aca="false">IF(AND($A430&lt;&gt;"",$A430=Подбор!$C$4),MAX(I$1:I429)+1,"")</f>
        <v/>
      </c>
    </row>
    <row r="431" customFormat="false" ht="15" hidden="false" customHeight="false" outlineLevel="0" collapsed="false">
      <c r="A431" s="3" t="s">
        <v>456</v>
      </c>
      <c r="B431" s="3" t="s">
        <v>457</v>
      </c>
      <c r="C431" s="3" t="s">
        <v>11</v>
      </c>
      <c r="D431" s="3" t="s">
        <v>12</v>
      </c>
      <c r="E431" s="3" t="s">
        <v>458</v>
      </c>
      <c r="F431" s="3" t="n">
        <v>4000</v>
      </c>
      <c r="G431" s="3"/>
      <c r="H431" s="3"/>
      <c r="I431" s="4" t="str">
        <f aca="false">IF(AND($A431&lt;&gt;"",$A431=Подбор!$C$4),MAX(I$1:I430)+1,"")</f>
        <v/>
      </c>
    </row>
    <row r="432" customFormat="false" ht="15" hidden="false" customHeight="false" outlineLevel="0" collapsed="false">
      <c r="A432" s="3" t="s">
        <v>456</v>
      </c>
      <c r="B432" s="3" t="s">
        <v>457</v>
      </c>
      <c r="C432" s="3" t="s">
        <v>14</v>
      </c>
      <c r="D432" s="3" t="s">
        <v>15</v>
      </c>
      <c r="E432" s="3" t="s">
        <v>459</v>
      </c>
      <c r="F432" s="3"/>
      <c r="G432" s="3"/>
      <c r="H432" s="3"/>
      <c r="I432" s="4" t="str">
        <f aca="false">IF(AND($A432&lt;&gt;"",$A432=Подбор!$C$4),MAX(I$1:I431)+1,"")</f>
        <v/>
      </c>
    </row>
    <row r="433" customFormat="false" ht="15" hidden="false" customHeight="false" outlineLevel="0" collapsed="false">
      <c r="A433" s="3" t="s">
        <v>456</v>
      </c>
      <c r="B433" s="3" t="s">
        <v>457</v>
      </c>
      <c r="C433" s="3" t="s">
        <v>17</v>
      </c>
      <c r="D433" s="3" t="s">
        <v>15</v>
      </c>
      <c r="E433" s="3" t="s">
        <v>460</v>
      </c>
      <c r="F433" s="3"/>
      <c r="G433" s="3"/>
      <c r="H433" s="3"/>
      <c r="I433" s="4" t="str">
        <f aca="false">IF(AND($A433&lt;&gt;"",$A433=Подбор!$C$4),MAX(I$1:I432)+1,"")</f>
        <v/>
      </c>
    </row>
    <row r="434" customFormat="false" ht="15" hidden="false" customHeight="false" outlineLevel="0" collapsed="false">
      <c r="A434" s="3" t="s">
        <v>461</v>
      </c>
      <c r="B434" s="3" t="s">
        <v>57</v>
      </c>
      <c r="C434" s="3" t="s">
        <v>11</v>
      </c>
      <c r="D434" s="3" t="s">
        <v>12</v>
      </c>
      <c r="E434" s="3" t="s">
        <v>462</v>
      </c>
      <c r="F434" s="3" t="n">
        <v>2300</v>
      </c>
      <c r="G434" s="3"/>
      <c r="H434" s="3"/>
      <c r="I434" s="4" t="str">
        <f aca="false">IF(AND($A434&lt;&gt;"",$A434=Подбор!$C$4),MAX(I$1:I433)+1,"")</f>
        <v/>
      </c>
    </row>
    <row r="435" customFormat="false" ht="15" hidden="false" customHeight="false" outlineLevel="0" collapsed="false">
      <c r="A435" s="3" t="s">
        <v>461</v>
      </c>
      <c r="B435" s="3" t="s">
        <v>57</v>
      </c>
      <c r="C435" s="3" t="s">
        <v>17</v>
      </c>
      <c r="D435" s="3" t="s">
        <v>15</v>
      </c>
      <c r="E435" s="3" t="s">
        <v>463</v>
      </c>
      <c r="F435" s="3"/>
      <c r="G435" s="3"/>
      <c r="H435" s="3"/>
      <c r="I435" s="4" t="str">
        <f aca="false">IF(AND($A435&lt;&gt;"",$A435=Подбор!$C$4),MAX(I$1:I434)+1,"")</f>
        <v/>
      </c>
    </row>
    <row r="436" customFormat="false" ht="15" hidden="false" customHeight="false" outlineLevel="0" collapsed="false">
      <c r="A436" s="3" t="s">
        <v>464</v>
      </c>
      <c r="B436" s="3" t="s">
        <v>156</v>
      </c>
      <c r="C436" s="3" t="s">
        <v>11</v>
      </c>
      <c r="D436" s="3" t="s">
        <v>12</v>
      </c>
      <c r="E436" s="3" t="s">
        <v>465</v>
      </c>
      <c r="F436" s="3" t="n">
        <v>2000</v>
      </c>
      <c r="G436" s="3"/>
      <c r="H436" s="3"/>
      <c r="I436" s="4" t="str">
        <f aca="false">IF(AND($A436&lt;&gt;"",$A436=Подбор!$C$4),MAX(I$1:I435)+1,"")</f>
        <v/>
      </c>
    </row>
    <row r="437" customFormat="false" ht="15" hidden="false" customHeight="false" outlineLevel="0" collapsed="false">
      <c r="A437" s="3" t="s">
        <v>464</v>
      </c>
      <c r="B437" s="3" t="s">
        <v>156</v>
      </c>
      <c r="C437" s="3" t="s">
        <v>14</v>
      </c>
      <c r="D437" s="3" t="s">
        <v>15</v>
      </c>
      <c r="E437" s="3" t="s">
        <v>466</v>
      </c>
      <c r="F437" s="3"/>
      <c r="G437" s="3"/>
      <c r="H437" s="3"/>
      <c r="I437" s="4" t="str">
        <f aca="false">IF(AND($A437&lt;&gt;"",$A437=Подбор!$C$4),MAX(I$1:I436)+1,"")</f>
        <v/>
      </c>
    </row>
    <row r="438" customFormat="false" ht="15" hidden="false" customHeight="false" outlineLevel="0" collapsed="false">
      <c r="A438" s="3" t="s">
        <v>467</v>
      </c>
      <c r="B438" s="3" t="s">
        <v>47</v>
      </c>
      <c r="C438" s="3" t="s">
        <v>11</v>
      </c>
      <c r="D438" s="3" t="s">
        <v>12</v>
      </c>
      <c r="E438" s="3" t="s">
        <v>468</v>
      </c>
      <c r="F438" s="3" t="n">
        <v>20000</v>
      </c>
      <c r="G438" s="3"/>
      <c r="H438" s="3"/>
      <c r="I438" s="4" t="str">
        <f aca="false">IF(AND($A438&lt;&gt;"",$A438=Подбор!$C$4),MAX(I$1:I437)+1,"")</f>
        <v/>
      </c>
    </row>
    <row r="439" customFormat="false" ht="15" hidden="false" customHeight="false" outlineLevel="0" collapsed="false">
      <c r="A439" s="3" t="s">
        <v>467</v>
      </c>
      <c r="B439" s="3" t="s">
        <v>47</v>
      </c>
      <c r="C439" s="3" t="s">
        <v>14</v>
      </c>
      <c r="D439" s="3" t="s">
        <v>15</v>
      </c>
      <c r="E439" s="3" t="s">
        <v>49</v>
      </c>
      <c r="F439" s="3" t="n">
        <v>60000</v>
      </c>
      <c r="G439" s="3"/>
      <c r="H439" s="3"/>
      <c r="I439" s="4" t="str">
        <f aca="false">IF(AND($A439&lt;&gt;"",$A439=Подбор!$C$4),MAX(I$1:I438)+1,"")</f>
        <v/>
      </c>
    </row>
    <row r="440" customFormat="false" ht="15" hidden="false" customHeight="false" outlineLevel="0" collapsed="false">
      <c r="A440" s="3" t="s">
        <v>469</v>
      </c>
      <c r="B440" s="3" t="s">
        <v>47</v>
      </c>
      <c r="C440" s="3" t="s">
        <v>11</v>
      </c>
      <c r="D440" s="3" t="s">
        <v>12</v>
      </c>
      <c r="E440" s="3" t="s">
        <v>48</v>
      </c>
      <c r="F440" s="3" t="n">
        <v>10000</v>
      </c>
      <c r="G440" s="3"/>
      <c r="H440" s="3"/>
      <c r="I440" s="4" t="str">
        <f aca="false">IF(AND($A440&lt;&gt;"",$A440=Подбор!$C$4),MAX(I$1:I439)+1,"")</f>
        <v/>
      </c>
    </row>
    <row r="441" customFormat="false" ht="15" hidden="false" customHeight="false" outlineLevel="0" collapsed="false">
      <c r="A441" s="3" t="s">
        <v>469</v>
      </c>
      <c r="B441" s="3" t="s">
        <v>47</v>
      </c>
      <c r="C441" s="3" t="s">
        <v>14</v>
      </c>
      <c r="D441" s="3" t="s">
        <v>15</v>
      </c>
      <c r="E441" s="3" t="s">
        <v>49</v>
      </c>
      <c r="F441" s="3" t="n">
        <v>60000</v>
      </c>
      <c r="G441" s="3"/>
      <c r="H441" s="3"/>
      <c r="I441" s="4" t="str">
        <f aca="false">IF(AND($A441&lt;&gt;"",$A441=Подбор!$C$4),MAX(I$1:I440)+1,"")</f>
        <v/>
      </c>
    </row>
    <row r="442" customFormat="false" ht="15" hidden="false" customHeight="false" outlineLevel="0" collapsed="false">
      <c r="A442" s="3" t="s">
        <v>470</v>
      </c>
      <c r="B442" s="3" t="s">
        <v>47</v>
      </c>
      <c r="C442" s="3" t="s">
        <v>11</v>
      </c>
      <c r="D442" s="3" t="s">
        <v>12</v>
      </c>
      <c r="E442" s="3" t="s">
        <v>49</v>
      </c>
      <c r="F442" s="3" t="n">
        <v>2500</v>
      </c>
      <c r="G442" s="3"/>
      <c r="H442" s="3"/>
      <c r="I442" s="4" t="str">
        <f aca="false">IF(AND($A442&lt;&gt;"",$A442=Подбор!$C$4),MAX(I$1:I441)+1,"")</f>
        <v/>
      </c>
    </row>
    <row r="443" customFormat="false" ht="15" hidden="false" customHeight="false" outlineLevel="0" collapsed="false">
      <c r="A443" s="3" t="s">
        <v>470</v>
      </c>
      <c r="B443" s="3" t="s">
        <v>47</v>
      </c>
      <c r="C443" s="3" t="s">
        <v>14</v>
      </c>
      <c r="D443" s="3" t="s">
        <v>15</v>
      </c>
      <c r="E443" s="3" t="s">
        <v>49</v>
      </c>
      <c r="F443" s="3" t="n">
        <v>60000</v>
      </c>
      <c r="G443" s="3"/>
      <c r="H443" s="3"/>
      <c r="I443" s="4" t="str">
        <f aca="false">IF(AND($A443&lt;&gt;"",$A443=Подбор!$C$4),MAX(I$1:I442)+1,"")</f>
        <v/>
      </c>
    </row>
    <row r="444" customFormat="false" ht="15" hidden="false" customHeight="false" outlineLevel="0" collapsed="false">
      <c r="A444" s="3" t="s">
        <v>471</v>
      </c>
      <c r="B444" s="3" t="s">
        <v>472</v>
      </c>
      <c r="C444" s="3" t="s">
        <v>11</v>
      </c>
      <c r="D444" s="3" t="s">
        <v>12</v>
      </c>
      <c r="E444" s="3" t="n">
        <v>842030</v>
      </c>
      <c r="F444" s="3" t="n">
        <v>10000</v>
      </c>
      <c r="G444" s="3"/>
      <c r="H444" s="3"/>
      <c r="I444" s="4" t="str">
        <f aca="false">IF(AND($A444&lt;&gt;"",$A444=Подбор!$C$4),MAX(I$1:I443)+1,"")</f>
        <v/>
      </c>
    </row>
    <row r="445" customFormat="false" ht="15" hidden="false" customHeight="false" outlineLevel="0" collapsed="false">
      <c r="A445" s="3" t="s">
        <v>471</v>
      </c>
      <c r="B445" s="3" t="s">
        <v>472</v>
      </c>
      <c r="C445" s="3" t="s">
        <v>11</v>
      </c>
      <c r="D445" s="3" t="s">
        <v>21</v>
      </c>
      <c r="E445" s="3" t="n">
        <v>842033</v>
      </c>
      <c r="F445" s="3" t="n">
        <v>10000</v>
      </c>
      <c r="G445" s="3"/>
      <c r="H445" s="3"/>
      <c r="I445" s="4" t="str">
        <f aca="false">IF(AND($A445&lt;&gt;"",$A445=Подбор!$C$4),MAX(I$1:I444)+1,"")</f>
        <v/>
      </c>
    </row>
    <row r="446" customFormat="false" ht="15" hidden="false" customHeight="false" outlineLevel="0" collapsed="false">
      <c r="A446" s="3" t="s">
        <v>471</v>
      </c>
      <c r="B446" s="3" t="s">
        <v>472</v>
      </c>
      <c r="C446" s="3" t="s">
        <v>11</v>
      </c>
      <c r="D446" s="3" t="s">
        <v>23</v>
      </c>
      <c r="E446" s="3" t="n">
        <v>842032</v>
      </c>
      <c r="F446" s="3" t="n">
        <v>10000</v>
      </c>
      <c r="G446" s="3"/>
      <c r="H446" s="3"/>
      <c r="I446" s="4" t="str">
        <f aca="false">IF(AND($A446&lt;&gt;"",$A446=Подбор!$C$4),MAX(I$1:I445)+1,"")</f>
        <v/>
      </c>
    </row>
    <row r="447" customFormat="false" ht="15" hidden="false" customHeight="false" outlineLevel="0" collapsed="false">
      <c r="A447" s="3" t="s">
        <v>471</v>
      </c>
      <c r="B447" s="3" t="s">
        <v>472</v>
      </c>
      <c r="C447" s="3" t="s">
        <v>11</v>
      </c>
      <c r="D447" s="3" t="s">
        <v>25</v>
      </c>
      <c r="E447" s="3" t="n">
        <v>842031</v>
      </c>
      <c r="F447" s="3" t="n">
        <v>10000</v>
      </c>
      <c r="G447" s="3"/>
      <c r="H447" s="3"/>
      <c r="I447" s="4" t="str">
        <f aca="false">IF(AND($A447&lt;&gt;"",$A447=Подбор!$C$4),MAX(I$1:I446)+1,"")</f>
        <v/>
      </c>
    </row>
    <row r="448" customFormat="false" ht="15" hidden="false" customHeight="false" outlineLevel="0" collapsed="false">
      <c r="A448" s="3" t="s">
        <v>473</v>
      </c>
      <c r="B448" s="3" t="s">
        <v>47</v>
      </c>
      <c r="C448" s="3" t="s">
        <v>11</v>
      </c>
      <c r="D448" s="3" t="s">
        <v>12</v>
      </c>
      <c r="E448" s="3" t="s">
        <v>474</v>
      </c>
      <c r="F448" s="3" t="n">
        <v>6000</v>
      </c>
      <c r="G448" s="3"/>
      <c r="H448" s="3"/>
      <c r="I448" s="4" t="str">
        <f aca="false">IF(AND($A448&lt;&gt;"",$A448=Подбор!$C$4),MAX(I$1:I447)+1,"")</f>
        <v/>
      </c>
    </row>
    <row r="449" customFormat="false" ht="15" hidden="false" customHeight="false" outlineLevel="0" collapsed="false">
      <c r="A449" s="3" t="s">
        <v>473</v>
      </c>
      <c r="B449" s="3" t="s">
        <v>47</v>
      </c>
      <c r="C449" s="3" t="s">
        <v>14</v>
      </c>
      <c r="D449" s="3" t="s">
        <v>15</v>
      </c>
      <c r="E449" s="3" t="s">
        <v>378</v>
      </c>
      <c r="F449" s="3" t="n">
        <v>60000</v>
      </c>
      <c r="G449" s="3"/>
      <c r="H449" s="3"/>
      <c r="I449" s="4" t="str">
        <f aca="false">IF(AND($A449&lt;&gt;"",$A449=Подбор!$C$4),MAX(I$1:I448)+1,"")</f>
        <v/>
      </c>
    </row>
    <row r="450" customFormat="false" ht="15" hidden="false" customHeight="false" outlineLevel="0" collapsed="false">
      <c r="A450" s="3" t="s">
        <v>475</v>
      </c>
      <c r="B450" s="3" t="s">
        <v>47</v>
      </c>
      <c r="C450" s="3" t="s">
        <v>11</v>
      </c>
      <c r="D450" s="3" t="s">
        <v>12</v>
      </c>
      <c r="E450" s="3" t="s">
        <v>377</v>
      </c>
      <c r="F450" s="3" t="n">
        <v>15000</v>
      </c>
      <c r="G450" s="3"/>
      <c r="H450" s="3"/>
      <c r="I450" s="4" t="str">
        <f aca="false">IF(AND($A450&lt;&gt;"",$A450=Подбор!$C$4),MAX(I$1:I449)+1,"")</f>
        <v/>
      </c>
    </row>
    <row r="451" customFormat="false" ht="15" hidden="false" customHeight="false" outlineLevel="0" collapsed="false">
      <c r="A451" s="3" t="s">
        <v>475</v>
      </c>
      <c r="B451" s="3" t="s">
        <v>47</v>
      </c>
      <c r="C451" s="3" t="s">
        <v>14</v>
      </c>
      <c r="D451" s="3" t="s">
        <v>15</v>
      </c>
      <c r="E451" s="3" t="s">
        <v>378</v>
      </c>
      <c r="F451" s="3" t="n">
        <v>60000</v>
      </c>
      <c r="G451" s="3"/>
      <c r="H451" s="3"/>
      <c r="I451" s="4" t="str">
        <f aca="false">IF(AND($A451&lt;&gt;"",$A451=Подбор!$C$4),MAX(I$1:I450)+1,"")</f>
        <v/>
      </c>
    </row>
    <row r="452" customFormat="false" ht="15" hidden="false" customHeight="false" outlineLevel="0" collapsed="false">
      <c r="A452" s="3" t="s">
        <v>476</v>
      </c>
      <c r="B452" s="3" t="s">
        <v>47</v>
      </c>
      <c r="C452" s="3" t="s">
        <v>11</v>
      </c>
      <c r="D452" s="3" t="s">
        <v>12</v>
      </c>
      <c r="E452" s="3" t="s">
        <v>474</v>
      </c>
      <c r="F452" s="3" t="n">
        <v>6000</v>
      </c>
      <c r="G452" s="3"/>
      <c r="H452" s="3"/>
      <c r="I452" s="4" t="str">
        <f aca="false">IF(AND($A452&lt;&gt;"",$A452=Подбор!$C$4),MAX(I$1:I451)+1,"")</f>
        <v/>
      </c>
    </row>
    <row r="453" customFormat="false" ht="15" hidden="false" customHeight="false" outlineLevel="0" collapsed="false">
      <c r="A453" s="3" t="s">
        <v>476</v>
      </c>
      <c r="B453" s="3" t="s">
        <v>47</v>
      </c>
      <c r="C453" s="3" t="s">
        <v>14</v>
      </c>
      <c r="D453" s="3" t="s">
        <v>15</v>
      </c>
      <c r="E453" s="3" t="s">
        <v>378</v>
      </c>
      <c r="F453" s="3" t="n">
        <v>60000</v>
      </c>
      <c r="G453" s="3"/>
      <c r="H453" s="3"/>
      <c r="I453" s="4" t="str">
        <f aca="false">IF(AND($A453&lt;&gt;"",$A453=Подбор!$C$4),MAX(I$1:I452)+1,"")</f>
        <v/>
      </c>
    </row>
    <row r="454" customFormat="false" ht="15" hidden="false" customHeight="false" outlineLevel="0" collapsed="false">
      <c r="A454" s="3" t="s">
        <v>477</v>
      </c>
      <c r="B454" s="3" t="s">
        <v>47</v>
      </c>
      <c r="C454" s="3" t="s">
        <v>11</v>
      </c>
      <c r="D454" s="3" t="s">
        <v>12</v>
      </c>
      <c r="E454" s="3" t="s">
        <v>377</v>
      </c>
      <c r="F454" s="3" t="n">
        <v>15000</v>
      </c>
      <c r="G454" s="3"/>
      <c r="H454" s="3"/>
      <c r="I454" s="4" t="str">
        <f aca="false">IF(AND($A454&lt;&gt;"",$A454=Подбор!$C$4),MAX(I$1:I453)+1,"")</f>
        <v/>
      </c>
    </row>
    <row r="455" customFormat="false" ht="15" hidden="false" customHeight="false" outlineLevel="0" collapsed="false">
      <c r="A455" s="3" t="s">
        <v>477</v>
      </c>
      <c r="B455" s="3" t="s">
        <v>47</v>
      </c>
      <c r="C455" s="3" t="s">
        <v>14</v>
      </c>
      <c r="D455" s="3" t="s">
        <v>15</v>
      </c>
      <c r="E455" s="3" t="s">
        <v>378</v>
      </c>
      <c r="F455" s="3" t="n">
        <v>60000</v>
      </c>
      <c r="G455" s="3"/>
      <c r="H455" s="3"/>
      <c r="I455" s="4" t="str">
        <f aca="false">IF(AND($A455&lt;&gt;"",$A455=Подбор!$C$4),MAX(I$1:I454)+1,"")</f>
        <v/>
      </c>
    </row>
    <row r="456" customFormat="false" ht="15" hidden="false" customHeight="false" outlineLevel="0" collapsed="false">
      <c r="A456" s="3" t="s">
        <v>478</v>
      </c>
      <c r="B456" s="3" t="s">
        <v>47</v>
      </c>
      <c r="C456" s="3" t="s">
        <v>11</v>
      </c>
      <c r="D456" s="3" t="s">
        <v>12</v>
      </c>
      <c r="E456" s="3" t="s">
        <v>377</v>
      </c>
      <c r="F456" s="3" t="n">
        <v>15000</v>
      </c>
      <c r="G456" s="3"/>
      <c r="H456" s="3"/>
      <c r="I456" s="4" t="str">
        <f aca="false">IF(AND($A456&lt;&gt;"",$A456=Подбор!$C$4),MAX(I$1:I455)+1,"")</f>
        <v/>
      </c>
    </row>
    <row r="457" customFormat="false" ht="15" hidden="false" customHeight="false" outlineLevel="0" collapsed="false">
      <c r="A457" s="3" t="s">
        <v>478</v>
      </c>
      <c r="B457" s="3" t="s">
        <v>47</v>
      </c>
      <c r="C457" s="3" t="s">
        <v>14</v>
      </c>
      <c r="D457" s="3" t="s">
        <v>15</v>
      </c>
      <c r="E457" s="3" t="s">
        <v>378</v>
      </c>
      <c r="F457" s="3" t="n">
        <v>60000</v>
      </c>
      <c r="G457" s="3"/>
      <c r="H457" s="3"/>
      <c r="I457" s="4" t="str">
        <f aca="false">IF(AND($A457&lt;&gt;"",$A457=Подбор!$C$4),MAX(I$1:I456)+1,"")</f>
        <v/>
      </c>
    </row>
    <row r="458" customFormat="false" ht="15" hidden="false" customHeight="false" outlineLevel="0" collapsed="false">
      <c r="A458" s="3" t="s">
        <v>479</v>
      </c>
      <c r="B458" s="3" t="s">
        <v>47</v>
      </c>
      <c r="C458" s="3" t="s">
        <v>11</v>
      </c>
      <c r="D458" s="3" t="s">
        <v>12</v>
      </c>
      <c r="E458" s="3" t="s">
        <v>480</v>
      </c>
      <c r="F458" s="3" t="n">
        <v>20000</v>
      </c>
      <c r="G458" s="3"/>
      <c r="H458" s="3"/>
      <c r="I458" s="4" t="str">
        <f aca="false">IF(AND($A458&lt;&gt;"",$A458=Подбор!$C$4),MAX(I$1:I457)+1,"")</f>
        <v/>
      </c>
    </row>
    <row r="459" customFormat="false" ht="15" hidden="false" customHeight="false" outlineLevel="0" collapsed="false">
      <c r="A459" s="3" t="s">
        <v>479</v>
      </c>
      <c r="B459" s="3" t="s">
        <v>47</v>
      </c>
      <c r="C459" s="3" t="s">
        <v>14</v>
      </c>
      <c r="D459" s="3" t="s">
        <v>15</v>
      </c>
      <c r="E459" s="3" t="s">
        <v>378</v>
      </c>
      <c r="F459" s="3" t="n">
        <v>60000</v>
      </c>
      <c r="G459" s="3"/>
      <c r="H459" s="3"/>
      <c r="I459" s="4" t="str">
        <f aca="false">IF(AND($A459&lt;&gt;"",$A459=Подбор!$C$4),MAX(I$1:I458)+1,"")</f>
        <v/>
      </c>
    </row>
    <row r="460" customFormat="false" ht="15" hidden="false" customHeight="false" outlineLevel="0" collapsed="false">
      <c r="A460" s="3" t="s">
        <v>481</v>
      </c>
      <c r="B460" s="3" t="s">
        <v>110</v>
      </c>
      <c r="C460" s="3" t="s">
        <v>11</v>
      </c>
      <c r="D460" s="3" t="s">
        <v>12</v>
      </c>
      <c r="E460" s="3" t="s">
        <v>482</v>
      </c>
      <c r="F460" s="3" t="n">
        <v>3000</v>
      </c>
      <c r="G460" s="3"/>
      <c r="H460" s="3"/>
      <c r="I460" s="4" t="str">
        <f aca="false">IF(AND($A460&lt;&gt;"",$A460=Подбор!$C$4),MAX(I$1:I459)+1,"")</f>
        <v/>
      </c>
    </row>
    <row r="461" customFormat="false" ht="15" hidden="false" customHeight="false" outlineLevel="0" collapsed="false">
      <c r="A461" s="3" t="s">
        <v>483</v>
      </c>
      <c r="B461" s="3" t="s">
        <v>156</v>
      </c>
      <c r="C461" s="3" t="s">
        <v>11</v>
      </c>
      <c r="D461" s="3" t="s">
        <v>12</v>
      </c>
      <c r="E461" s="3" t="s">
        <v>157</v>
      </c>
      <c r="F461" s="3" t="n">
        <v>2000</v>
      </c>
      <c r="G461" s="3"/>
      <c r="H461" s="3"/>
      <c r="I461" s="4" t="str">
        <f aca="false">IF(AND($A461&lt;&gt;"",$A461=Подбор!$C$4),MAX(I$1:I460)+1,"")</f>
        <v/>
      </c>
    </row>
    <row r="462" customFormat="false" ht="15" hidden="false" customHeight="false" outlineLevel="0" collapsed="false">
      <c r="A462" s="3" t="s">
        <v>483</v>
      </c>
      <c r="B462" s="3" t="s">
        <v>156</v>
      </c>
      <c r="C462" s="3" t="s">
        <v>14</v>
      </c>
      <c r="D462" s="3" t="s">
        <v>15</v>
      </c>
      <c r="E462" s="3" t="s">
        <v>158</v>
      </c>
      <c r="F462" s="3"/>
      <c r="G462" s="3"/>
      <c r="H462" s="3"/>
      <c r="I462" s="4" t="str">
        <f aca="false">IF(AND($A462&lt;&gt;"",$A462=Подбор!$C$4),MAX(I$1:I461)+1,"")</f>
        <v/>
      </c>
    </row>
    <row r="463" customFormat="false" ht="15" hidden="false" customHeight="false" outlineLevel="0" collapsed="false">
      <c r="A463" s="3" t="s">
        <v>484</v>
      </c>
      <c r="B463" s="3" t="s">
        <v>57</v>
      </c>
      <c r="C463" s="3" t="s">
        <v>11</v>
      </c>
      <c r="D463" s="3" t="s">
        <v>12</v>
      </c>
      <c r="E463" s="3" t="s">
        <v>485</v>
      </c>
      <c r="F463" s="3" t="n">
        <v>26000</v>
      </c>
      <c r="G463" s="3"/>
      <c r="H463" s="3"/>
      <c r="I463" s="4" t="str">
        <f aca="false">IF(AND($A463&lt;&gt;"",$A463=Подбор!$C$4),MAX(I$1:I462)+1,"")</f>
        <v/>
      </c>
    </row>
    <row r="464" customFormat="false" ht="15" hidden="false" customHeight="false" outlineLevel="0" collapsed="false">
      <c r="A464" s="3" t="s">
        <v>484</v>
      </c>
      <c r="B464" s="3" t="s">
        <v>57</v>
      </c>
      <c r="C464" s="3" t="s">
        <v>11</v>
      </c>
      <c r="D464" s="3" t="s">
        <v>21</v>
      </c>
      <c r="E464" s="3" t="s">
        <v>486</v>
      </c>
      <c r="F464" s="3" t="n">
        <v>16000</v>
      </c>
      <c r="G464" s="3"/>
      <c r="H464" s="3"/>
      <c r="I464" s="4" t="str">
        <f aca="false">IF(AND($A464&lt;&gt;"",$A464=Подбор!$C$4),MAX(I$1:I463)+1,"")</f>
        <v/>
      </c>
    </row>
    <row r="465" customFormat="false" ht="15" hidden="false" customHeight="false" outlineLevel="0" collapsed="false">
      <c r="A465" s="3" t="s">
        <v>484</v>
      </c>
      <c r="B465" s="3" t="s">
        <v>57</v>
      </c>
      <c r="C465" s="3" t="s">
        <v>11</v>
      </c>
      <c r="D465" s="3" t="s">
        <v>23</v>
      </c>
      <c r="E465" s="3" t="s">
        <v>487</v>
      </c>
      <c r="F465" s="3" t="n">
        <v>16000</v>
      </c>
      <c r="G465" s="3"/>
      <c r="H465" s="3"/>
      <c r="I465" s="4" t="str">
        <f aca="false">IF(AND($A465&lt;&gt;"",$A465=Подбор!$C$4),MAX(I$1:I464)+1,"")</f>
        <v/>
      </c>
    </row>
    <row r="466" customFormat="false" ht="15" hidden="false" customHeight="false" outlineLevel="0" collapsed="false">
      <c r="A466" s="3" t="s">
        <v>484</v>
      </c>
      <c r="B466" s="3" t="s">
        <v>57</v>
      </c>
      <c r="C466" s="3" t="s">
        <v>11</v>
      </c>
      <c r="D466" s="3" t="s">
        <v>25</v>
      </c>
      <c r="E466" s="3" t="s">
        <v>488</v>
      </c>
      <c r="F466" s="3" t="n">
        <v>16000</v>
      </c>
      <c r="G466" s="3"/>
      <c r="H466" s="3"/>
      <c r="I466" s="4" t="str">
        <f aca="false">IF(AND($A466&lt;&gt;"",$A466=Подбор!$C$4),MAX(I$1:I465)+1,"")</f>
        <v/>
      </c>
    </row>
    <row r="467" customFormat="false" ht="15" hidden="false" customHeight="false" outlineLevel="0" collapsed="false">
      <c r="A467" s="3" t="s">
        <v>484</v>
      </c>
      <c r="B467" s="3" t="s">
        <v>57</v>
      </c>
      <c r="C467" s="3" t="s">
        <v>14</v>
      </c>
      <c r="D467" s="3" t="s">
        <v>15</v>
      </c>
      <c r="E467" s="3" t="s">
        <v>489</v>
      </c>
      <c r="F467" s="3"/>
      <c r="G467" s="3"/>
      <c r="H467" s="3"/>
      <c r="I467" s="4" t="str">
        <f aca="false">IF(AND($A467&lt;&gt;"",$A467=Подбор!$C$4),MAX(I$1:I466)+1,"")</f>
        <v/>
      </c>
    </row>
    <row r="468" customFormat="false" ht="15" hidden="false" customHeight="false" outlineLevel="0" collapsed="false">
      <c r="A468" s="3" t="s">
        <v>484</v>
      </c>
      <c r="B468" s="3" t="s">
        <v>57</v>
      </c>
      <c r="C468" s="3" t="s">
        <v>30</v>
      </c>
      <c r="D468" s="3" t="s">
        <v>15</v>
      </c>
      <c r="E468" s="3" t="s">
        <v>490</v>
      </c>
      <c r="F468" s="3"/>
      <c r="G468" s="3"/>
      <c r="H468" s="3"/>
      <c r="I468" s="4" t="str">
        <f aca="false">IF(AND($A468&lt;&gt;"",$A468=Подбор!$C$4),MAX(I$1:I467)+1,"")</f>
        <v/>
      </c>
    </row>
    <row r="469" customFormat="false" ht="15" hidden="false" customHeight="false" outlineLevel="0" collapsed="false">
      <c r="A469" s="3" t="s">
        <v>491</v>
      </c>
      <c r="B469" s="3" t="s">
        <v>10</v>
      </c>
      <c r="C469" s="3" t="s">
        <v>11</v>
      </c>
      <c r="D469" s="3" t="s">
        <v>12</v>
      </c>
      <c r="E469" s="3" t="s">
        <v>380</v>
      </c>
      <c r="F469" s="3" t="n">
        <v>6000</v>
      </c>
      <c r="G469" s="3"/>
      <c r="H469" s="3"/>
      <c r="I469" s="4" t="str">
        <f aca="false">IF(AND($A469&lt;&gt;"",$A469=Подбор!$C$4),MAX(I$1:I468)+1,"")</f>
        <v/>
      </c>
    </row>
    <row r="470" customFormat="false" ht="15" hidden="false" customHeight="false" outlineLevel="0" collapsed="false">
      <c r="A470" s="3" t="s">
        <v>491</v>
      </c>
      <c r="B470" s="3" t="s">
        <v>10</v>
      </c>
      <c r="C470" s="3" t="s">
        <v>14</v>
      </c>
      <c r="D470" s="3" t="s">
        <v>15</v>
      </c>
      <c r="E470" s="3" t="s">
        <v>381</v>
      </c>
      <c r="F470" s="3"/>
      <c r="G470" s="3"/>
      <c r="H470" s="3"/>
      <c r="I470" s="4" t="str">
        <f aca="false">IF(AND($A470&lt;&gt;"",$A470=Подбор!$C$4),MAX(I$1:I469)+1,"")</f>
        <v/>
      </c>
    </row>
    <row r="471" customFormat="false" ht="15" hidden="false" customHeight="false" outlineLevel="0" collapsed="false">
      <c r="A471" s="3" t="s">
        <v>492</v>
      </c>
      <c r="B471" s="3" t="s">
        <v>472</v>
      </c>
      <c r="C471" s="3" t="s">
        <v>11</v>
      </c>
      <c r="D471" s="3" t="s">
        <v>12</v>
      </c>
      <c r="E471" s="3" t="n">
        <v>408188</v>
      </c>
      <c r="F471" s="3" t="n">
        <v>5000</v>
      </c>
      <c r="G471" s="3"/>
      <c r="H471" s="3"/>
      <c r="I471" s="4" t="str">
        <f aca="false">IF(AND($A471&lt;&gt;"",$A471=Подбор!$C$4),MAX(I$1:I470)+1,"")</f>
        <v/>
      </c>
    </row>
    <row r="472" customFormat="false" ht="15" hidden="false" customHeight="false" outlineLevel="0" collapsed="false">
      <c r="A472" s="3" t="s">
        <v>492</v>
      </c>
      <c r="B472" s="3" t="s">
        <v>472</v>
      </c>
      <c r="C472" s="3" t="s">
        <v>11</v>
      </c>
      <c r="D472" s="3" t="s">
        <v>21</v>
      </c>
      <c r="E472" s="3" t="n">
        <v>408189</v>
      </c>
      <c r="F472" s="3" t="n">
        <v>5000</v>
      </c>
      <c r="G472" s="3"/>
      <c r="H472" s="3"/>
      <c r="I472" s="4" t="str">
        <f aca="false">IF(AND($A472&lt;&gt;"",$A472=Подбор!$C$4),MAX(I$1:I471)+1,"")</f>
        <v/>
      </c>
    </row>
    <row r="473" customFormat="false" ht="15" hidden="false" customHeight="false" outlineLevel="0" collapsed="false">
      <c r="A473" s="3" t="s">
        <v>492</v>
      </c>
      <c r="B473" s="3" t="s">
        <v>472</v>
      </c>
      <c r="C473" s="3" t="s">
        <v>11</v>
      </c>
      <c r="D473" s="3" t="s">
        <v>23</v>
      </c>
      <c r="E473" s="3" t="n">
        <v>408190</v>
      </c>
      <c r="F473" s="3" t="n">
        <v>5000</v>
      </c>
      <c r="G473" s="3"/>
      <c r="H473" s="3"/>
      <c r="I473" s="4" t="str">
        <f aca="false">IF(AND($A473&lt;&gt;"",$A473=Подбор!$C$4),MAX(I$1:I472)+1,"")</f>
        <v/>
      </c>
    </row>
    <row r="474" customFormat="false" ht="15" hidden="false" customHeight="false" outlineLevel="0" collapsed="false">
      <c r="A474" s="3" t="s">
        <v>492</v>
      </c>
      <c r="B474" s="3" t="s">
        <v>472</v>
      </c>
      <c r="C474" s="3" t="s">
        <v>11</v>
      </c>
      <c r="D474" s="3" t="s">
        <v>25</v>
      </c>
      <c r="E474" s="3" t="n">
        <v>408191</v>
      </c>
      <c r="F474" s="3" t="n">
        <v>5000</v>
      </c>
      <c r="G474" s="3"/>
      <c r="H474" s="3"/>
      <c r="I474" s="4" t="str">
        <f aca="false">IF(AND($A474&lt;&gt;"",$A474=Подбор!$C$4),MAX(I$1:I473)+1,"")</f>
        <v/>
      </c>
    </row>
    <row r="475" customFormat="false" ht="15" hidden="false" customHeight="false" outlineLevel="0" collapsed="false">
      <c r="A475" s="3" t="s">
        <v>493</v>
      </c>
      <c r="B475" s="3" t="s">
        <v>57</v>
      </c>
      <c r="C475" s="3" t="s">
        <v>11</v>
      </c>
      <c r="D475" s="3" t="s">
        <v>12</v>
      </c>
      <c r="E475" s="3" t="s">
        <v>207</v>
      </c>
      <c r="F475" s="3" t="n">
        <v>2700</v>
      </c>
      <c r="G475" s="3"/>
      <c r="H475" s="3"/>
      <c r="I475" s="4" t="str">
        <f aca="false">IF(AND($A475&lt;&gt;"",$A475=Подбор!$C$4),MAX(I$1:I474)+1,"")</f>
        <v/>
      </c>
    </row>
    <row r="476" customFormat="false" ht="15" hidden="false" customHeight="false" outlineLevel="0" collapsed="false">
      <c r="A476" s="3" t="s">
        <v>493</v>
      </c>
      <c r="B476" s="3" t="s">
        <v>57</v>
      </c>
      <c r="C476" s="3" t="s">
        <v>17</v>
      </c>
      <c r="D476" s="3" t="s">
        <v>15</v>
      </c>
      <c r="E476" s="3" t="s">
        <v>208</v>
      </c>
      <c r="F476" s="3"/>
      <c r="G476" s="3"/>
      <c r="H476" s="3"/>
      <c r="I476" s="4" t="str">
        <f aca="false">IF(AND($A476&lt;&gt;"",$A476=Подбор!$C$4),MAX(I$1:I475)+1,"")</f>
        <v/>
      </c>
    </row>
    <row r="477" customFormat="false" ht="15" hidden="false" customHeight="false" outlineLevel="0" collapsed="false">
      <c r="A477" s="3" t="s">
        <v>494</v>
      </c>
      <c r="B477" s="3" t="s">
        <v>51</v>
      </c>
      <c r="C477" s="3" t="s">
        <v>11</v>
      </c>
      <c r="D477" s="3" t="s">
        <v>12</v>
      </c>
      <c r="E477" s="3" t="s">
        <v>495</v>
      </c>
      <c r="F477" s="3" t="n">
        <v>8000</v>
      </c>
      <c r="G477" s="3"/>
      <c r="H477" s="3"/>
      <c r="I477" s="4" t="str">
        <f aca="false">IF(AND($A477&lt;&gt;"",$A477=Подбор!$C$4),MAX(I$1:I476)+1,"")</f>
        <v/>
      </c>
    </row>
    <row r="478" customFormat="false" ht="15" hidden="false" customHeight="false" outlineLevel="0" collapsed="false">
      <c r="A478" s="3" t="s">
        <v>494</v>
      </c>
      <c r="B478" s="3" t="s">
        <v>51</v>
      </c>
      <c r="C478" s="3" t="s">
        <v>14</v>
      </c>
      <c r="D478" s="3" t="s">
        <v>15</v>
      </c>
      <c r="E478" s="3" t="s">
        <v>496</v>
      </c>
      <c r="F478" s="3"/>
      <c r="G478" s="3"/>
      <c r="H478" s="3"/>
      <c r="I478" s="4" t="str">
        <f aca="false">IF(AND($A478&lt;&gt;"",$A478=Подбор!$C$4),MAX(I$1:I477)+1,"")</f>
        <v/>
      </c>
    </row>
    <row r="479" customFormat="false" ht="15" hidden="false" customHeight="false" outlineLevel="0" collapsed="false">
      <c r="A479" s="3" t="s">
        <v>497</v>
      </c>
      <c r="B479" s="3" t="s">
        <v>498</v>
      </c>
      <c r="C479" s="3" t="s">
        <v>11</v>
      </c>
      <c r="D479" s="3" t="s">
        <v>12</v>
      </c>
      <c r="E479" s="3" t="s">
        <v>499</v>
      </c>
      <c r="F479" s="3" t="n">
        <v>2500</v>
      </c>
      <c r="G479" s="3"/>
      <c r="H479" s="3"/>
      <c r="I479" s="4" t="str">
        <f aca="false">IF(AND($A479&lt;&gt;"",$A479=Подбор!$C$4),MAX(I$1:I478)+1,"")</f>
        <v/>
      </c>
    </row>
    <row r="480" customFormat="false" ht="15" hidden="false" customHeight="false" outlineLevel="0" collapsed="false">
      <c r="A480" s="3" t="s">
        <v>497</v>
      </c>
      <c r="B480" s="3" t="s">
        <v>498</v>
      </c>
      <c r="C480" s="3" t="s">
        <v>14</v>
      </c>
      <c r="D480" s="3" t="s">
        <v>15</v>
      </c>
      <c r="E480" s="3" t="s">
        <v>500</v>
      </c>
      <c r="F480" s="3"/>
      <c r="G480" s="3"/>
      <c r="H480" s="3"/>
      <c r="I480" s="4" t="str">
        <f aca="false">IF(AND($A480&lt;&gt;"",$A480=Подбор!$C$4),MAX(I$1:I479)+1,"")</f>
        <v/>
      </c>
    </row>
    <row r="481" customFormat="false" ht="15" hidden="false" customHeight="false" outlineLevel="0" collapsed="false">
      <c r="A481" s="3" t="s">
        <v>501</v>
      </c>
      <c r="B481" s="3" t="s">
        <v>472</v>
      </c>
      <c r="C481" s="3" t="s">
        <v>11</v>
      </c>
      <c r="D481" s="3" t="s">
        <v>12</v>
      </c>
      <c r="E481" s="3" t="n">
        <v>842015</v>
      </c>
      <c r="F481" s="3" t="n">
        <v>12000</v>
      </c>
      <c r="G481" s="3"/>
      <c r="H481" s="3"/>
      <c r="I481" s="4" t="str">
        <f aca="false">IF(AND($A481&lt;&gt;"",$A481=Подбор!$C$4),MAX(I$1:I480)+1,"")</f>
        <v/>
      </c>
    </row>
    <row r="482" customFormat="false" ht="15" hidden="false" customHeight="false" outlineLevel="0" collapsed="false">
      <c r="A482" s="3" t="s">
        <v>502</v>
      </c>
      <c r="B482" s="3" t="s">
        <v>47</v>
      </c>
      <c r="C482" s="3" t="s">
        <v>11</v>
      </c>
      <c r="D482" s="3" t="s">
        <v>12</v>
      </c>
      <c r="E482" s="3" t="s">
        <v>48</v>
      </c>
      <c r="F482" s="3" t="n">
        <v>10000</v>
      </c>
      <c r="G482" s="3"/>
      <c r="H482" s="3"/>
      <c r="I482" s="4" t="str">
        <f aca="false">IF(AND($A482&lt;&gt;"",$A482=Подбор!$C$4),MAX(I$1:I481)+1,"")</f>
        <v/>
      </c>
    </row>
    <row r="483" customFormat="false" ht="15" hidden="false" customHeight="false" outlineLevel="0" collapsed="false">
      <c r="A483" s="3" t="s">
        <v>502</v>
      </c>
      <c r="B483" s="3" t="s">
        <v>47</v>
      </c>
      <c r="C483" s="3" t="s">
        <v>14</v>
      </c>
      <c r="D483" s="3" t="s">
        <v>15</v>
      </c>
      <c r="E483" s="3" t="s">
        <v>49</v>
      </c>
      <c r="F483" s="3" t="n">
        <v>60000</v>
      </c>
      <c r="G483" s="3"/>
      <c r="H483" s="3"/>
      <c r="I483" s="4" t="str">
        <f aca="false">IF(AND($A483&lt;&gt;"",$A483=Подбор!$C$4),MAX(I$1:I482)+1,"")</f>
        <v/>
      </c>
    </row>
    <row r="484" customFormat="false" ht="15" hidden="false" customHeight="false" outlineLevel="0" collapsed="false">
      <c r="A484" s="3" t="s">
        <v>503</v>
      </c>
      <c r="B484" s="3" t="s">
        <v>47</v>
      </c>
      <c r="C484" s="3" t="s">
        <v>11</v>
      </c>
      <c r="D484" s="3" t="s">
        <v>12</v>
      </c>
      <c r="E484" s="3" t="s">
        <v>48</v>
      </c>
      <c r="F484" s="3" t="n">
        <v>10000</v>
      </c>
      <c r="G484" s="3"/>
      <c r="H484" s="3"/>
      <c r="I484" s="4" t="str">
        <f aca="false">IF(AND($A484&lt;&gt;"",$A484=Подбор!$C$4),MAX(I$1:I483)+1,"")</f>
        <v/>
      </c>
    </row>
    <row r="485" customFormat="false" ht="15" hidden="false" customHeight="false" outlineLevel="0" collapsed="false">
      <c r="A485" s="3" t="s">
        <v>503</v>
      </c>
      <c r="B485" s="3" t="s">
        <v>47</v>
      </c>
      <c r="C485" s="3" t="s">
        <v>14</v>
      </c>
      <c r="D485" s="3" t="s">
        <v>15</v>
      </c>
      <c r="E485" s="3" t="s">
        <v>49</v>
      </c>
      <c r="F485" s="3" t="n">
        <v>60000</v>
      </c>
      <c r="G485" s="3"/>
      <c r="H485" s="3"/>
      <c r="I485" s="4" t="str">
        <f aca="false">IF(AND($A485&lt;&gt;"",$A485=Подбор!$C$4),MAX(I$1:I484)+1,"")</f>
        <v/>
      </c>
    </row>
    <row r="486" customFormat="false" ht="15" hidden="false" customHeight="false" outlineLevel="0" collapsed="false">
      <c r="A486" s="3" t="s">
        <v>504</v>
      </c>
      <c r="B486" s="3" t="s">
        <v>47</v>
      </c>
      <c r="C486" s="3" t="s">
        <v>11</v>
      </c>
      <c r="D486" s="3" t="s">
        <v>12</v>
      </c>
      <c r="E486" s="3" t="s">
        <v>468</v>
      </c>
      <c r="F486" s="3" t="n">
        <v>20000</v>
      </c>
      <c r="G486" s="3"/>
      <c r="H486" s="3"/>
      <c r="I486" s="4" t="str">
        <f aca="false">IF(AND($A486&lt;&gt;"",$A486=Подбор!$C$4),MAX(I$1:I485)+1,"")</f>
        <v/>
      </c>
    </row>
    <row r="487" customFormat="false" ht="15" hidden="false" customHeight="false" outlineLevel="0" collapsed="false">
      <c r="A487" s="3" t="s">
        <v>504</v>
      </c>
      <c r="B487" s="3" t="s">
        <v>47</v>
      </c>
      <c r="C487" s="3" t="s">
        <v>14</v>
      </c>
      <c r="D487" s="3" t="s">
        <v>15</v>
      </c>
      <c r="E487" s="3" t="s">
        <v>49</v>
      </c>
      <c r="F487" s="3" t="n">
        <v>60000</v>
      </c>
      <c r="G487" s="3"/>
      <c r="H487" s="3"/>
      <c r="I487" s="4" t="str">
        <f aca="false">IF(AND($A487&lt;&gt;"",$A487=Подбор!$C$4),MAX(I$1:I486)+1,"")</f>
        <v/>
      </c>
    </row>
    <row r="488" customFormat="false" ht="15" hidden="false" customHeight="false" outlineLevel="0" collapsed="false">
      <c r="A488" s="3" t="s">
        <v>505</v>
      </c>
      <c r="B488" s="3" t="s">
        <v>47</v>
      </c>
      <c r="C488" s="3" t="s">
        <v>11</v>
      </c>
      <c r="D488" s="3" t="s">
        <v>12</v>
      </c>
      <c r="E488" s="3" t="s">
        <v>474</v>
      </c>
      <c r="F488" s="3" t="n">
        <v>6000</v>
      </c>
      <c r="G488" s="3"/>
      <c r="H488" s="3"/>
      <c r="I488" s="4" t="str">
        <f aca="false">IF(AND($A488&lt;&gt;"",$A488=Подбор!$C$4),MAX(I$1:I487)+1,"")</f>
        <v/>
      </c>
    </row>
    <row r="489" customFormat="false" ht="15" hidden="false" customHeight="false" outlineLevel="0" collapsed="false">
      <c r="A489" s="3" t="s">
        <v>505</v>
      </c>
      <c r="B489" s="3" t="s">
        <v>47</v>
      </c>
      <c r="C489" s="3" t="s">
        <v>14</v>
      </c>
      <c r="D489" s="3" t="s">
        <v>15</v>
      </c>
      <c r="E489" s="3" t="s">
        <v>378</v>
      </c>
      <c r="F489" s="3" t="n">
        <v>60000</v>
      </c>
      <c r="G489" s="3"/>
      <c r="H489" s="3"/>
      <c r="I489" s="4" t="str">
        <f aca="false">IF(AND($A489&lt;&gt;"",$A489=Подбор!$C$4),MAX(I$1:I488)+1,"")</f>
        <v/>
      </c>
    </row>
    <row r="490" customFormat="false" ht="15" hidden="false" customHeight="false" outlineLevel="0" collapsed="false">
      <c r="A490" s="3" t="s">
        <v>506</v>
      </c>
      <c r="B490" s="3" t="s">
        <v>47</v>
      </c>
      <c r="C490" s="3" t="s">
        <v>11</v>
      </c>
      <c r="D490" s="3" t="s">
        <v>12</v>
      </c>
      <c r="E490" s="3" t="s">
        <v>480</v>
      </c>
      <c r="F490" s="3" t="n">
        <v>20000</v>
      </c>
      <c r="G490" s="3"/>
      <c r="H490" s="3"/>
      <c r="I490" s="4" t="str">
        <f aca="false">IF(AND($A490&lt;&gt;"",$A490=Подбор!$C$4),MAX(I$1:I489)+1,"")</f>
        <v/>
      </c>
    </row>
    <row r="491" customFormat="false" ht="15" hidden="false" customHeight="false" outlineLevel="0" collapsed="false">
      <c r="A491" s="3" t="s">
        <v>506</v>
      </c>
      <c r="B491" s="3" t="s">
        <v>47</v>
      </c>
      <c r="C491" s="3" t="s">
        <v>14</v>
      </c>
      <c r="D491" s="3" t="s">
        <v>15</v>
      </c>
      <c r="E491" s="3" t="s">
        <v>378</v>
      </c>
      <c r="F491" s="3" t="n">
        <v>60000</v>
      </c>
      <c r="G491" s="3"/>
      <c r="H491" s="3"/>
      <c r="I491" s="4" t="str">
        <f aca="false">IF(AND($A491&lt;&gt;"",$A491=Подбор!$C$4),MAX(I$1:I490)+1,"")</f>
        <v/>
      </c>
    </row>
    <row r="492" customFormat="false" ht="15" hidden="false" customHeight="false" outlineLevel="0" collapsed="false">
      <c r="A492" s="3" t="s">
        <v>507</v>
      </c>
      <c r="B492" s="3" t="s">
        <v>508</v>
      </c>
      <c r="C492" s="3" t="s">
        <v>11</v>
      </c>
      <c r="D492" s="3" t="s">
        <v>12</v>
      </c>
      <c r="E492" s="3" t="s">
        <v>15</v>
      </c>
      <c r="F492" s="3" t="n">
        <v>6000</v>
      </c>
      <c r="G492" s="3"/>
      <c r="H492" s="3"/>
      <c r="I492" s="4" t="str">
        <f aca="false">IF(AND($A492&lt;&gt;"",$A492=Подбор!$C$4),MAX(I$1:I491)+1,"")</f>
        <v/>
      </c>
    </row>
    <row r="493" customFormat="false" ht="15" hidden="false" customHeight="false" outlineLevel="0" collapsed="false">
      <c r="A493" s="3" t="s">
        <v>509</v>
      </c>
      <c r="B493" s="3" t="s">
        <v>47</v>
      </c>
      <c r="C493" s="3" t="s">
        <v>11</v>
      </c>
      <c r="D493" s="3" t="s">
        <v>12</v>
      </c>
      <c r="E493" s="3" t="s">
        <v>15</v>
      </c>
      <c r="F493" s="3" t="n">
        <v>35000</v>
      </c>
      <c r="G493" s="3"/>
      <c r="H493" s="3"/>
      <c r="I493" s="4" t="str">
        <f aca="false">IF(AND($A493&lt;&gt;"",$A493=Подбор!$C$4),MAX(I$1:I492)+1,"")</f>
        <v/>
      </c>
    </row>
    <row r="494" customFormat="false" ht="15" hidden="false" customHeight="false" outlineLevel="0" collapsed="false">
      <c r="A494" s="3" t="s">
        <v>510</v>
      </c>
      <c r="B494" s="3" t="s">
        <v>47</v>
      </c>
      <c r="C494" s="3" t="s">
        <v>11</v>
      </c>
      <c r="D494" s="3" t="s">
        <v>12</v>
      </c>
      <c r="E494" s="3" t="s">
        <v>15</v>
      </c>
      <c r="F494" s="3" t="n">
        <v>25000</v>
      </c>
      <c r="G494" s="3"/>
      <c r="H494" s="3"/>
      <c r="I494" s="4" t="str">
        <f aca="false">IF(AND($A494&lt;&gt;"",$A494=Подбор!$C$4),MAX(I$1:I493)+1,"")</f>
        <v/>
      </c>
    </row>
    <row r="495" customFormat="false" ht="15" hidden="false" customHeight="false" outlineLevel="0" collapsed="false">
      <c r="A495" s="3" t="s">
        <v>511</v>
      </c>
      <c r="B495" s="3" t="s">
        <v>47</v>
      </c>
      <c r="C495" s="3" t="s">
        <v>11</v>
      </c>
      <c r="D495" s="3" t="s">
        <v>12</v>
      </c>
      <c r="E495" s="3" t="s">
        <v>419</v>
      </c>
      <c r="F495" s="3" t="n">
        <v>30000</v>
      </c>
      <c r="G495" s="3"/>
      <c r="H495" s="3"/>
      <c r="I495" s="4" t="str">
        <f aca="false">IF(AND($A495&lt;&gt;"",$A495=Подбор!$C$4),MAX(I$1:I494)+1,"")</f>
        <v/>
      </c>
    </row>
    <row r="496" customFormat="false" ht="15" hidden="false" customHeight="false" outlineLevel="0" collapsed="false">
      <c r="A496" s="3" t="s">
        <v>511</v>
      </c>
      <c r="B496" s="3" t="s">
        <v>47</v>
      </c>
      <c r="C496" s="3" t="s">
        <v>14</v>
      </c>
      <c r="D496" s="3" t="s">
        <v>15</v>
      </c>
      <c r="E496" s="3" t="s">
        <v>420</v>
      </c>
      <c r="F496" s="3"/>
      <c r="G496" s="3"/>
      <c r="H496" s="3"/>
      <c r="I496" s="4" t="str">
        <f aca="false">IF(AND($A496&lt;&gt;"",$A496=Подбор!$C$4),MAX(I$1:I495)+1,"")</f>
        <v/>
      </c>
    </row>
    <row r="497" customFormat="false" ht="15" hidden="false" customHeight="false" outlineLevel="0" collapsed="false">
      <c r="A497" s="3" t="s">
        <v>512</v>
      </c>
      <c r="B497" s="3" t="s">
        <v>47</v>
      </c>
      <c r="C497" s="3" t="s">
        <v>11</v>
      </c>
      <c r="D497" s="3" t="s">
        <v>12</v>
      </c>
      <c r="E497" s="3" t="s">
        <v>419</v>
      </c>
      <c r="F497" s="3" t="n">
        <v>30000</v>
      </c>
      <c r="G497" s="3"/>
      <c r="H497" s="3"/>
      <c r="I497" s="4" t="str">
        <f aca="false">IF(AND($A497&lt;&gt;"",$A497=Подбор!$C$4),MAX(I$1:I496)+1,"")</f>
        <v/>
      </c>
    </row>
    <row r="498" customFormat="false" ht="15" hidden="false" customHeight="false" outlineLevel="0" collapsed="false">
      <c r="A498" s="3" t="s">
        <v>512</v>
      </c>
      <c r="B498" s="3" t="s">
        <v>47</v>
      </c>
      <c r="C498" s="3" t="s">
        <v>14</v>
      </c>
      <c r="D498" s="3" t="s">
        <v>15</v>
      </c>
      <c r="E498" s="3" t="s">
        <v>420</v>
      </c>
      <c r="F498" s="3"/>
      <c r="G498" s="3"/>
      <c r="H498" s="3"/>
      <c r="I498" s="4" t="str">
        <f aca="false">IF(AND($A498&lt;&gt;"",$A498=Подбор!$C$4),MAX(I$1:I497)+1,"")</f>
        <v/>
      </c>
    </row>
    <row r="499" customFormat="false" ht="15" hidden="false" customHeight="false" outlineLevel="0" collapsed="false">
      <c r="A499" s="3" t="s">
        <v>513</v>
      </c>
      <c r="B499" s="3" t="s">
        <v>47</v>
      </c>
      <c r="C499" s="3" t="s">
        <v>11</v>
      </c>
      <c r="D499" s="3" t="s">
        <v>12</v>
      </c>
      <c r="E499" s="3" t="s">
        <v>15</v>
      </c>
      <c r="F499" s="3" t="n">
        <v>4000</v>
      </c>
      <c r="G499" s="3"/>
      <c r="H499" s="3"/>
      <c r="I499" s="4" t="str">
        <f aca="false">IF(AND($A499&lt;&gt;"",$A499=Подбор!$C$4),MAX(I$1:I498)+1,"")</f>
        <v/>
      </c>
    </row>
    <row r="500" customFormat="false" ht="15" hidden="false" customHeight="false" outlineLevel="0" collapsed="false">
      <c r="A500" s="3" t="s">
        <v>514</v>
      </c>
      <c r="B500" s="3" t="s">
        <v>47</v>
      </c>
      <c r="C500" s="3" t="s">
        <v>11</v>
      </c>
      <c r="D500" s="3" t="s">
        <v>12</v>
      </c>
      <c r="E500" s="3" t="s">
        <v>15</v>
      </c>
      <c r="F500" s="3" t="n">
        <v>8000</v>
      </c>
      <c r="G500" s="3"/>
      <c r="H500" s="3"/>
      <c r="I500" s="4" t="str">
        <f aca="false">IF(AND($A500&lt;&gt;"",$A500=Подбор!$C$4),MAX(I$1:I499)+1,"")</f>
        <v/>
      </c>
    </row>
    <row r="501" customFormat="false" ht="15" hidden="false" customHeight="false" outlineLevel="0" collapsed="false">
      <c r="A501" s="3" t="s">
        <v>515</v>
      </c>
      <c r="B501" s="3" t="s">
        <v>47</v>
      </c>
      <c r="C501" s="3" t="s">
        <v>11</v>
      </c>
      <c r="D501" s="3" t="s">
        <v>12</v>
      </c>
      <c r="E501" s="3" t="s">
        <v>516</v>
      </c>
      <c r="F501" s="3" t="n">
        <v>8000</v>
      </c>
      <c r="G501" s="3"/>
      <c r="H501" s="3"/>
      <c r="I501" s="4" t="str">
        <f aca="false">IF(AND($A501&lt;&gt;"",$A501=Подбор!$C$4),MAX(I$1:I500)+1,"")</f>
        <v/>
      </c>
    </row>
    <row r="502" customFormat="false" ht="15" hidden="false" customHeight="false" outlineLevel="0" collapsed="false">
      <c r="A502" s="3" t="s">
        <v>515</v>
      </c>
      <c r="B502" s="3" t="s">
        <v>47</v>
      </c>
      <c r="C502" s="3" t="s">
        <v>14</v>
      </c>
      <c r="D502" s="3" t="s">
        <v>15</v>
      </c>
      <c r="E502" s="3" t="s">
        <v>517</v>
      </c>
      <c r="F502" s="3"/>
      <c r="G502" s="3"/>
      <c r="H502" s="3"/>
      <c r="I502" s="4" t="str">
        <f aca="false">IF(AND($A502&lt;&gt;"",$A502=Подбор!$C$4),MAX(I$1:I501)+1,"")</f>
        <v/>
      </c>
    </row>
    <row r="503" customFormat="false" ht="15" hidden="false" customHeight="false" outlineLevel="0" collapsed="false">
      <c r="A503" s="3" t="s">
        <v>518</v>
      </c>
      <c r="B503" s="3" t="s">
        <v>47</v>
      </c>
      <c r="C503" s="3" t="s">
        <v>11</v>
      </c>
      <c r="D503" s="3" t="s">
        <v>12</v>
      </c>
      <c r="E503" s="3" t="s">
        <v>516</v>
      </c>
      <c r="F503" s="3" t="n">
        <v>8000</v>
      </c>
      <c r="G503" s="3"/>
      <c r="H503" s="3"/>
      <c r="I503" s="4" t="str">
        <f aca="false">IF(AND($A503&lt;&gt;"",$A503=Подбор!$C$4),MAX(I$1:I502)+1,"")</f>
        <v/>
      </c>
    </row>
    <row r="504" customFormat="false" ht="15" hidden="false" customHeight="false" outlineLevel="0" collapsed="false">
      <c r="A504" s="3" t="s">
        <v>518</v>
      </c>
      <c r="B504" s="3" t="s">
        <v>47</v>
      </c>
      <c r="C504" s="3" t="s">
        <v>14</v>
      </c>
      <c r="D504" s="3" t="s">
        <v>15</v>
      </c>
      <c r="E504" s="3" t="s">
        <v>517</v>
      </c>
      <c r="F504" s="3"/>
      <c r="G504" s="3"/>
      <c r="H504" s="3"/>
      <c r="I504" s="4" t="str">
        <f aca="false">IF(AND($A504&lt;&gt;"",$A504=Подбор!$C$4),MAX(I$1:I503)+1,"")</f>
        <v/>
      </c>
    </row>
    <row r="505" customFormat="false" ht="15" hidden="false" customHeight="false" outlineLevel="0" collapsed="false">
      <c r="A505" s="3" t="s">
        <v>519</v>
      </c>
      <c r="B505" s="3" t="s">
        <v>47</v>
      </c>
      <c r="C505" s="3" t="s">
        <v>11</v>
      </c>
      <c r="D505" s="3" t="s">
        <v>12</v>
      </c>
      <c r="E505" s="3" t="s">
        <v>15</v>
      </c>
      <c r="F505" s="3" t="n">
        <v>32000</v>
      </c>
      <c r="G505" s="3"/>
      <c r="H505" s="3"/>
      <c r="I505" s="4" t="str">
        <f aca="false">IF(AND($A505&lt;&gt;"",$A505=Подбор!$C$4),MAX(I$1:I504)+1,"")</f>
        <v/>
      </c>
    </row>
    <row r="506" customFormat="false" ht="15" hidden="false" customHeight="false" outlineLevel="0" collapsed="false">
      <c r="A506" s="3" t="s">
        <v>520</v>
      </c>
      <c r="B506" s="3" t="s">
        <v>47</v>
      </c>
      <c r="C506" s="3" t="s">
        <v>11</v>
      </c>
      <c r="D506" s="3" t="s">
        <v>12</v>
      </c>
      <c r="E506" s="3" t="s">
        <v>15</v>
      </c>
      <c r="F506" s="3" t="n">
        <v>25000</v>
      </c>
      <c r="G506" s="3"/>
      <c r="H506" s="3"/>
      <c r="I506" s="4" t="str">
        <f aca="false">IF(AND($A506&lt;&gt;"",$A506=Подбор!$C$4),MAX(I$1:I505)+1,"")</f>
        <v/>
      </c>
    </row>
    <row r="507" customFormat="false" ht="15" hidden="false" customHeight="false" outlineLevel="0" collapsed="false">
      <c r="A507" s="3" t="s">
        <v>521</v>
      </c>
      <c r="B507" s="3" t="s">
        <v>57</v>
      </c>
      <c r="C507" s="3" t="s">
        <v>11</v>
      </c>
      <c r="D507" s="3" t="s">
        <v>12</v>
      </c>
      <c r="E507" s="3" t="s">
        <v>154</v>
      </c>
      <c r="F507" s="3" t="n">
        <v>15000</v>
      </c>
      <c r="G507" s="3"/>
      <c r="H507" s="3"/>
      <c r="I507" s="4" t="str">
        <f aca="false">IF(AND($A507&lt;&gt;"",$A507=Подбор!$C$4),MAX(I$1:I506)+1,"")</f>
        <v/>
      </c>
    </row>
    <row r="508" customFormat="false" ht="15" hidden="false" customHeight="false" outlineLevel="0" collapsed="false">
      <c r="A508" s="3" t="s">
        <v>522</v>
      </c>
      <c r="B508" s="3" t="s">
        <v>156</v>
      </c>
      <c r="C508" s="3" t="s">
        <v>11</v>
      </c>
      <c r="D508" s="3" t="s">
        <v>12</v>
      </c>
      <c r="E508" s="3" t="s">
        <v>465</v>
      </c>
      <c r="F508" s="3" t="n">
        <v>2000</v>
      </c>
      <c r="G508" s="3"/>
      <c r="H508" s="3"/>
      <c r="I508" s="4" t="str">
        <f aca="false">IF(AND($A508&lt;&gt;"",$A508=Подбор!$C$4),MAX(I$1:I507)+1,"")</f>
        <v/>
      </c>
    </row>
    <row r="509" customFormat="false" ht="15" hidden="false" customHeight="false" outlineLevel="0" collapsed="false">
      <c r="A509" s="3" t="s">
        <v>522</v>
      </c>
      <c r="B509" s="3" t="s">
        <v>156</v>
      </c>
      <c r="C509" s="3" t="s">
        <v>14</v>
      </c>
      <c r="D509" s="3" t="s">
        <v>15</v>
      </c>
      <c r="E509" s="3" t="s">
        <v>466</v>
      </c>
      <c r="F509" s="3"/>
      <c r="G509" s="3"/>
      <c r="H509" s="3"/>
      <c r="I509" s="4" t="str">
        <f aca="false">IF(AND($A509&lt;&gt;"",$A509=Подбор!$C$4),MAX(I$1:I508)+1,"")</f>
        <v/>
      </c>
    </row>
    <row r="510" customFormat="false" ht="15" hidden="false" customHeight="false" outlineLevel="0" collapsed="false">
      <c r="A510" s="3" t="s">
        <v>523</v>
      </c>
      <c r="B510" s="3" t="s">
        <v>524</v>
      </c>
      <c r="C510" s="3" t="s">
        <v>11</v>
      </c>
      <c r="D510" s="3" t="s">
        <v>12</v>
      </c>
      <c r="E510" s="3" t="n">
        <v>43837136</v>
      </c>
      <c r="F510" s="3" t="n">
        <v>15000</v>
      </c>
      <c r="G510" s="3"/>
      <c r="H510" s="3"/>
      <c r="I510" s="4" t="str">
        <f aca="false">IF(AND($A510&lt;&gt;"",$A510=Подбор!$C$4),MAX(I$1:I509)+1,"")</f>
        <v/>
      </c>
    </row>
    <row r="511" customFormat="false" ht="15" hidden="false" customHeight="false" outlineLevel="0" collapsed="false">
      <c r="A511" s="3" t="s">
        <v>523</v>
      </c>
      <c r="B511" s="3" t="s">
        <v>524</v>
      </c>
      <c r="C511" s="3" t="s">
        <v>11</v>
      </c>
      <c r="D511" s="3" t="s">
        <v>21</v>
      </c>
      <c r="E511" s="3" t="n">
        <v>43837135</v>
      </c>
      <c r="F511" s="3" t="n">
        <v>15000</v>
      </c>
      <c r="G511" s="3"/>
      <c r="H511" s="3"/>
      <c r="I511" s="4" t="str">
        <f aca="false">IF(AND($A511&lt;&gt;"",$A511=Подбор!$C$4),MAX(I$1:I510)+1,"")</f>
        <v/>
      </c>
    </row>
    <row r="512" customFormat="false" ht="15" hidden="false" customHeight="false" outlineLevel="0" collapsed="false">
      <c r="A512" s="3" t="s">
        <v>523</v>
      </c>
      <c r="B512" s="3" t="s">
        <v>524</v>
      </c>
      <c r="C512" s="3" t="s">
        <v>11</v>
      </c>
      <c r="D512" s="3" t="s">
        <v>23</v>
      </c>
      <c r="E512" s="3" t="n">
        <v>43837134</v>
      </c>
      <c r="F512" s="3" t="n">
        <v>15000</v>
      </c>
      <c r="G512" s="3"/>
      <c r="H512" s="3"/>
      <c r="I512" s="4" t="str">
        <f aca="false">IF(AND($A512&lt;&gt;"",$A512=Подбор!$C$4),MAX(I$1:I511)+1,"")</f>
        <v/>
      </c>
    </row>
    <row r="513" customFormat="false" ht="15" hidden="false" customHeight="false" outlineLevel="0" collapsed="false">
      <c r="A513" s="3" t="s">
        <v>523</v>
      </c>
      <c r="B513" s="3" t="s">
        <v>524</v>
      </c>
      <c r="C513" s="3" t="s">
        <v>11</v>
      </c>
      <c r="D513" s="3" t="s">
        <v>25</v>
      </c>
      <c r="E513" s="3" t="n">
        <v>43837133</v>
      </c>
      <c r="F513" s="3" t="n">
        <v>15000</v>
      </c>
      <c r="G513" s="3"/>
      <c r="H513" s="3"/>
      <c r="I513" s="4" t="str">
        <f aca="false">IF(AND($A513&lt;&gt;"",$A513=Подбор!$C$4),MAX(I$1:I512)+1,"")</f>
        <v/>
      </c>
    </row>
    <row r="514" customFormat="false" ht="15" hidden="false" customHeight="false" outlineLevel="0" collapsed="false">
      <c r="A514" s="3" t="s">
        <v>525</v>
      </c>
      <c r="B514" s="3" t="s">
        <v>457</v>
      </c>
      <c r="C514" s="3" t="s">
        <v>11</v>
      </c>
      <c r="D514" s="3" t="s">
        <v>12</v>
      </c>
      <c r="E514" s="3" t="s">
        <v>526</v>
      </c>
      <c r="F514" s="3" t="n">
        <v>4000</v>
      </c>
      <c r="G514" s="3"/>
      <c r="H514" s="3"/>
      <c r="I514" s="4" t="str">
        <f aca="false">IF(AND($A514&lt;&gt;"",$A514=Подбор!$C$4),MAX(I$1:I513)+1,"")</f>
        <v/>
      </c>
    </row>
    <row r="515" customFormat="false" ht="15" hidden="false" customHeight="false" outlineLevel="0" collapsed="false">
      <c r="A515" s="3" t="s">
        <v>525</v>
      </c>
      <c r="B515" s="3" t="s">
        <v>457</v>
      </c>
      <c r="C515" s="3" t="s">
        <v>14</v>
      </c>
      <c r="D515" s="3" t="s">
        <v>15</v>
      </c>
      <c r="E515" s="3" t="s">
        <v>527</v>
      </c>
      <c r="F515" s="3"/>
      <c r="G515" s="3"/>
      <c r="H515" s="3"/>
      <c r="I515" s="4" t="str">
        <f aca="false">IF(AND($A515&lt;&gt;"",$A515=Подбор!$C$4),MAX(I$1:I514)+1,"")</f>
        <v/>
      </c>
    </row>
    <row r="516" customFormat="false" ht="15" hidden="false" customHeight="false" outlineLevel="0" collapsed="false">
      <c r="A516" s="3" t="s">
        <v>528</v>
      </c>
      <c r="B516" s="3" t="s">
        <v>457</v>
      </c>
      <c r="C516" s="3" t="s">
        <v>11</v>
      </c>
      <c r="D516" s="3" t="s">
        <v>12</v>
      </c>
      <c r="E516" s="3" t="s">
        <v>526</v>
      </c>
      <c r="F516" s="3" t="n">
        <v>4000</v>
      </c>
      <c r="G516" s="3"/>
      <c r="H516" s="3"/>
      <c r="I516" s="4" t="str">
        <f aca="false">IF(AND($A516&lt;&gt;"",$A516=Подбор!$C$4),MAX(I$1:I515)+1,"")</f>
        <v/>
      </c>
    </row>
    <row r="517" customFormat="false" ht="15" hidden="false" customHeight="false" outlineLevel="0" collapsed="false">
      <c r="A517" s="3" t="s">
        <v>528</v>
      </c>
      <c r="B517" s="3" t="s">
        <v>457</v>
      </c>
      <c r="C517" s="3" t="s">
        <v>14</v>
      </c>
      <c r="D517" s="3" t="s">
        <v>15</v>
      </c>
      <c r="E517" s="3" t="s">
        <v>527</v>
      </c>
      <c r="F517" s="3"/>
      <c r="G517" s="3"/>
      <c r="H517" s="3"/>
      <c r="I517" s="4" t="str">
        <f aca="false">IF(AND($A517&lt;&gt;"",$A517=Подбор!$C$4),MAX(I$1:I516)+1,"")</f>
        <v/>
      </c>
    </row>
    <row r="518" customFormat="false" ht="15" hidden="false" customHeight="false" outlineLevel="0" collapsed="false">
      <c r="A518" s="3" t="s">
        <v>528</v>
      </c>
      <c r="B518" s="3" t="s">
        <v>457</v>
      </c>
      <c r="C518" s="3" t="s">
        <v>17</v>
      </c>
      <c r="D518" s="3" t="s">
        <v>15</v>
      </c>
      <c r="E518" s="3" t="s">
        <v>529</v>
      </c>
      <c r="F518" s="3"/>
      <c r="G518" s="3"/>
      <c r="H518" s="3"/>
      <c r="I518" s="4" t="str">
        <f aca="false">IF(AND($A518&lt;&gt;"",$A518=Подбор!$C$4),MAX(I$1:I517)+1,"")</f>
        <v/>
      </c>
    </row>
    <row r="519" customFormat="false" ht="15" hidden="false" customHeight="false" outlineLevel="0" collapsed="false">
      <c r="A519" s="3" t="s">
        <v>530</v>
      </c>
      <c r="B519" s="3" t="s">
        <v>40</v>
      </c>
      <c r="C519" s="3" t="s">
        <v>11</v>
      </c>
      <c r="D519" s="3" t="s">
        <v>12</v>
      </c>
      <c r="E519" s="3" t="s">
        <v>531</v>
      </c>
      <c r="F519" s="3" t="n">
        <v>17500</v>
      </c>
      <c r="G519" s="3"/>
      <c r="H519" s="3"/>
      <c r="I519" s="4" t="str">
        <f aca="false">IF(AND($A519&lt;&gt;"",$A519=Подбор!$C$4),MAX(I$1:I518)+1,"")</f>
        <v/>
      </c>
    </row>
    <row r="520" customFormat="false" ht="15" hidden="false" customHeight="false" outlineLevel="0" collapsed="false">
      <c r="A520" s="3" t="s">
        <v>532</v>
      </c>
      <c r="B520" s="3" t="s">
        <v>40</v>
      </c>
      <c r="C520" s="3" t="s">
        <v>11</v>
      </c>
      <c r="D520" s="3" t="s">
        <v>12</v>
      </c>
      <c r="E520" s="3" t="s">
        <v>41</v>
      </c>
      <c r="F520" s="3" t="n">
        <v>28000</v>
      </c>
      <c r="G520" s="3"/>
      <c r="H520" s="3"/>
      <c r="I520" s="4" t="str">
        <f aca="false">IF(AND($A520&lt;&gt;"",$A520=Подбор!$C$4),MAX(I$1:I519)+1,"")</f>
        <v/>
      </c>
    </row>
    <row r="521" customFormat="false" ht="15" hidden="false" customHeight="false" outlineLevel="0" collapsed="false">
      <c r="A521" s="3" t="s">
        <v>532</v>
      </c>
      <c r="B521" s="3" t="s">
        <v>40</v>
      </c>
      <c r="C521" s="3" t="s">
        <v>11</v>
      </c>
      <c r="D521" s="3" t="s">
        <v>21</v>
      </c>
      <c r="E521" s="3" t="s">
        <v>42</v>
      </c>
      <c r="F521" s="3" t="n">
        <v>28000</v>
      </c>
      <c r="G521" s="3"/>
      <c r="H521" s="3"/>
      <c r="I521" s="4" t="str">
        <f aca="false">IF(AND($A521&lt;&gt;"",$A521=Подбор!$C$4),MAX(I$1:I520)+1,"")</f>
        <v/>
      </c>
    </row>
    <row r="522" customFormat="false" ht="15" hidden="false" customHeight="false" outlineLevel="0" collapsed="false">
      <c r="A522" s="3" t="s">
        <v>532</v>
      </c>
      <c r="B522" s="3" t="s">
        <v>40</v>
      </c>
      <c r="C522" s="3" t="s">
        <v>11</v>
      </c>
      <c r="D522" s="3" t="s">
        <v>23</v>
      </c>
      <c r="E522" s="3" t="s">
        <v>43</v>
      </c>
      <c r="F522" s="3" t="n">
        <v>28000</v>
      </c>
      <c r="G522" s="3"/>
      <c r="H522" s="3"/>
      <c r="I522" s="4" t="str">
        <f aca="false">IF(AND($A522&lt;&gt;"",$A522=Подбор!$C$4),MAX(I$1:I521)+1,"")</f>
        <v/>
      </c>
    </row>
    <row r="523" customFormat="false" ht="15" hidden="false" customHeight="false" outlineLevel="0" collapsed="false">
      <c r="A523" s="3" t="s">
        <v>532</v>
      </c>
      <c r="B523" s="3" t="s">
        <v>40</v>
      </c>
      <c r="C523" s="3" t="s">
        <v>11</v>
      </c>
      <c r="D523" s="3" t="s">
        <v>25</v>
      </c>
      <c r="E523" s="3" t="s">
        <v>44</v>
      </c>
      <c r="F523" s="3" t="n">
        <v>28000</v>
      </c>
      <c r="G523" s="3"/>
      <c r="H523" s="3"/>
      <c r="I523" s="4" t="str">
        <f aca="false">IF(AND($A523&lt;&gt;"",$A523=Подбор!$C$4),MAX(I$1:I522)+1,"")</f>
        <v/>
      </c>
    </row>
    <row r="524" customFormat="false" ht="15" hidden="false" customHeight="false" outlineLevel="0" collapsed="false">
      <c r="A524" s="3" t="s">
        <v>532</v>
      </c>
      <c r="B524" s="3" t="s">
        <v>40</v>
      </c>
      <c r="C524" s="3" t="s">
        <v>14</v>
      </c>
      <c r="D524" s="3" t="s">
        <v>15</v>
      </c>
      <c r="E524" s="3" t="s">
        <v>45</v>
      </c>
      <c r="F524" s="3"/>
      <c r="G524" s="3"/>
      <c r="H524" s="3"/>
      <c r="I524" s="4" t="str">
        <f aca="false">IF(AND($A524&lt;&gt;"",$A524=Подбор!$C$4),MAX(I$1:I523)+1,"")</f>
        <v/>
      </c>
    </row>
    <row r="525" customFormat="false" ht="15" hidden="false" customHeight="false" outlineLevel="0" collapsed="false">
      <c r="A525" s="3" t="s">
        <v>533</v>
      </c>
      <c r="B525" s="3" t="s">
        <v>40</v>
      </c>
      <c r="C525" s="3" t="s">
        <v>11</v>
      </c>
      <c r="D525" s="3" t="s">
        <v>12</v>
      </c>
      <c r="E525" s="3" t="s">
        <v>534</v>
      </c>
      <c r="F525" s="3" t="n">
        <v>30000</v>
      </c>
      <c r="G525" s="3"/>
      <c r="H525" s="3"/>
      <c r="I525" s="4" t="str">
        <f aca="false">IF(AND($A525&lt;&gt;"",$A525=Подбор!$C$4),MAX(I$1:I524)+1,"")</f>
        <v/>
      </c>
    </row>
    <row r="526" customFormat="false" ht="15" hidden="false" customHeight="false" outlineLevel="0" collapsed="false">
      <c r="A526" s="3" t="s">
        <v>535</v>
      </c>
      <c r="B526" s="3" t="s">
        <v>524</v>
      </c>
      <c r="C526" s="3" t="s">
        <v>11</v>
      </c>
      <c r="D526" s="3" t="s">
        <v>12</v>
      </c>
      <c r="E526" s="3" t="s">
        <v>15</v>
      </c>
      <c r="F526" s="3" t="n">
        <v>15000</v>
      </c>
      <c r="G526" s="3"/>
      <c r="H526" s="3"/>
      <c r="I526" s="4" t="str">
        <f aca="false">IF(AND($A526&lt;&gt;"",$A526=Подбор!$C$4),MAX(I$1:I525)+1,"")</f>
        <v/>
      </c>
    </row>
    <row r="527" customFormat="false" ht="15" hidden="false" customHeight="false" outlineLevel="0" collapsed="false">
      <c r="A527" s="3" t="s">
        <v>536</v>
      </c>
      <c r="B527" s="3" t="s">
        <v>40</v>
      </c>
      <c r="C527" s="3" t="s">
        <v>11</v>
      </c>
      <c r="D527" s="3" t="s">
        <v>12</v>
      </c>
      <c r="E527" s="3" t="s">
        <v>41</v>
      </c>
      <c r="F527" s="3" t="n">
        <v>28000</v>
      </c>
      <c r="G527" s="3"/>
      <c r="H527" s="3"/>
      <c r="I527" s="4" t="str">
        <f aca="false">IF(AND($A527&lt;&gt;"",$A527=Подбор!$C$4),MAX(I$1:I526)+1,"")</f>
        <v/>
      </c>
    </row>
    <row r="528" customFormat="false" ht="15" hidden="false" customHeight="false" outlineLevel="0" collapsed="false">
      <c r="A528" s="3" t="s">
        <v>536</v>
      </c>
      <c r="B528" s="3" t="s">
        <v>40</v>
      </c>
      <c r="C528" s="3" t="s">
        <v>11</v>
      </c>
      <c r="D528" s="3" t="s">
        <v>21</v>
      </c>
      <c r="E528" s="3" t="s">
        <v>42</v>
      </c>
      <c r="F528" s="3" t="n">
        <v>28000</v>
      </c>
      <c r="G528" s="3"/>
      <c r="H528" s="3"/>
      <c r="I528" s="4" t="str">
        <f aca="false">IF(AND($A528&lt;&gt;"",$A528=Подбор!$C$4),MAX(I$1:I527)+1,"")</f>
        <v/>
      </c>
    </row>
    <row r="529" customFormat="false" ht="15" hidden="false" customHeight="false" outlineLevel="0" collapsed="false">
      <c r="A529" s="3" t="s">
        <v>536</v>
      </c>
      <c r="B529" s="3" t="s">
        <v>40</v>
      </c>
      <c r="C529" s="3" t="s">
        <v>11</v>
      </c>
      <c r="D529" s="3" t="s">
        <v>23</v>
      </c>
      <c r="E529" s="3" t="s">
        <v>43</v>
      </c>
      <c r="F529" s="3" t="n">
        <v>28000</v>
      </c>
      <c r="G529" s="3"/>
      <c r="H529" s="3"/>
      <c r="I529" s="4" t="str">
        <f aca="false">IF(AND($A529&lt;&gt;"",$A529=Подбор!$C$4),MAX(I$1:I528)+1,"")</f>
        <v/>
      </c>
    </row>
    <row r="530" customFormat="false" ht="15" hidden="false" customHeight="false" outlineLevel="0" collapsed="false">
      <c r="A530" s="3" t="s">
        <v>536</v>
      </c>
      <c r="B530" s="3" t="s">
        <v>40</v>
      </c>
      <c r="C530" s="3" t="s">
        <v>11</v>
      </c>
      <c r="D530" s="3" t="s">
        <v>25</v>
      </c>
      <c r="E530" s="3" t="s">
        <v>44</v>
      </c>
      <c r="F530" s="3" t="n">
        <v>28000</v>
      </c>
      <c r="G530" s="3"/>
      <c r="H530" s="3"/>
      <c r="I530" s="4" t="str">
        <f aca="false">IF(AND($A530&lt;&gt;"",$A530=Подбор!$C$4),MAX(I$1:I529)+1,"")</f>
        <v/>
      </c>
    </row>
    <row r="531" customFormat="false" ht="15" hidden="false" customHeight="false" outlineLevel="0" collapsed="false">
      <c r="A531" s="3" t="s">
        <v>537</v>
      </c>
      <c r="B531" s="3" t="s">
        <v>68</v>
      </c>
      <c r="C531" s="3" t="s">
        <v>11</v>
      </c>
      <c r="D531" s="3" t="s">
        <v>12</v>
      </c>
      <c r="E531" s="3" t="s">
        <v>149</v>
      </c>
      <c r="F531" s="3" t="n">
        <v>15000</v>
      </c>
      <c r="G531" s="3"/>
      <c r="H531" s="3"/>
      <c r="I531" s="4" t="str">
        <f aca="false">IF(AND($A531&lt;&gt;"",$A531=Подбор!$C$4),MAX(I$1:I530)+1,"")</f>
        <v/>
      </c>
    </row>
    <row r="532" customFormat="false" ht="15" hidden="false" customHeight="false" outlineLevel="0" collapsed="false">
      <c r="A532" s="3" t="s">
        <v>537</v>
      </c>
      <c r="B532" s="3" t="s">
        <v>68</v>
      </c>
      <c r="C532" s="3" t="s">
        <v>28</v>
      </c>
      <c r="D532" s="3" t="s">
        <v>15</v>
      </c>
      <c r="E532" s="3" t="s">
        <v>150</v>
      </c>
      <c r="F532" s="3"/>
      <c r="G532" s="3"/>
      <c r="H532" s="3"/>
      <c r="I532" s="4" t="str">
        <f aca="false">IF(AND($A532&lt;&gt;"",$A532=Подбор!$C$4),MAX(I$1:I531)+1,"")</f>
        <v/>
      </c>
    </row>
    <row r="533" customFormat="false" ht="15" hidden="false" customHeight="false" outlineLevel="0" collapsed="false">
      <c r="A533" s="3" t="s">
        <v>538</v>
      </c>
      <c r="B533" s="3" t="s">
        <v>68</v>
      </c>
      <c r="C533" s="3" t="s">
        <v>11</v>
      </c>
      <c r="D533" s="3" t="s">
        <v>12</v>
      </c>
      <c r="E533" s="3" t="s">
        <v>149</v>
      </c>
      <c r="F533" s="3" t="n">
        <v>15000</v>
      </c>
      <c r="G533" s="3"/>
      <c r="H533" s="3"/>
      <c r="I533" s="4" t="str">
        <f aca="false">IF(AND($A533&lt;&gt;"",$A533=Подбор!$C$4),MAX(I$1:I532)+1,"")</f>
        <v/>
      </c>
    </row>
    <row r="534" customFormat="false" ht="15" hidden="false" customHeight="false" outlineLevel="0" collapsed="false">
      <c r="A534" s="3" t="s">
        <v>538</v>
      </c>
      <c r="B534" s="3" t="s">
        <v>68</v>
      </c>
      <c r="C534" s="3" t="s">
        <v>28</v>
      </c>
      <c r="D534" s="3" t="s">
        <v>15</v>
      </c>
      <c r="E534" s="3" t="s">
        <v>150</v>
      </c>
      <c r="F534" s="3"/>
      <c r="G534" s="3"/>
      <c r="H534" s="3"/>
      <c r="I534" s="4" t="str">
        <f aca="false">IF(AND($A534&lt;&gt;"",$A534=Подбор!$C$4),MAX(I$1:I533)+1,"")</f>
        <v/>
      </c>
    </row>
    <row r="535" customFormat="false" ht="15" hidden="false" customHeight="false" outlineLevel="0" collapsed="false">
      <c r="A535" s="3" t="s">
        <v>539</v>
      </c>
      <c r="B535" s="3" t="s">
        <v>68</v>
      </c>
      <c r="C535" s="3" t="s">
        <v>11</v>
      </c>
      <c r="D535" s="3" t="s">
        <v>12</v>
      </c>
      <c r="E535" s="3" t="s">
        <v>149</v>
      </c>
      <c r="F535" s="3" t="n">
        <v>15000</v>
      </c>
      <c r="G535" s="3"/>
      <c r="H535" s="3"/>
      <c r="I535" s="4" t="str">
        <f aca="false">IF(AND($A535&lt;&gt;"",$A535=Подбор!$C$4),MAX(I$1:I534)+1,"")</f>
        <v/>
      </c>
    </row>
    <row r="536" customFormat="false" ht="15" hidden="false" customHeight="false" outlineLevel="0" collapsed="false">
      <c r="A536" s="3" t="s">
        <v>539</v>
      </c>
      <c r="B536" s="3" t="s">
        <v>68</v>
      </c>
      <c r="C536" s="3" t="s">
        <v>28</v>
      </c>
      <c r="D536" s="3" t="s">
        <v>15</v>
      </c>
      <c r="E536" s="3" t="s">
        <v>150</v>
      </c>
      <c r="F536" s="3"/>
      <c r="G536" s="3"/>
      <c r="H536" s="3"/>
      <c r="I536" s="4" t="str">
        <f aca="false">IF(AND($A536&lt;&gt;"",$A536=Подбор!$C$4),MAX(I$1:I535)+1,"")</f>
        <v/>
      </c>
    </row>
    <row r="537" customFormat="false" ht="15" hidden="false" customHeight="false" outlineLevel="0" collapsed="false">
      <c r="A537" s="3" t="s">
        <v>540</v>
      </c>
      <c r="B537" s="3" t="s">
        <v>524</v>
      </c>
      <c r="C537" s="3" t="s">
        <v>11</v>
      </c>
      <c r="D537" s="3" t="s">
        <v>12</v>
      </c>
      <c r="E537" s="3" t="n">
        <v>44574702</v>
      </c>
      <c r="F537" s="3" t="n">
        <v>3500</v>
      </c>
      <c r="G537" s="3"/>
      <c r="H537" s="3"/>
      <c r="I537" s="4" t="str">
        <f aca="false">IF(AND($A537&lt;&gt;"",$A537=Подбор!$C$4),MAX(I$1:I536)+1,"")</f>
        <v/>
      </c>
    </row>
    <row r="538" customFormat="false" ht="15" hidden="false" customHeight="false" outlineLevel="0" collapsed="false">
      <c r="A538" s="3" t="s">
        <v>541</v>
      </c>
      <c r="B538" s="3" t="s">
        <v>524</v>
      </c>
      <c r="C538" s="3" t="s">
        <v>11</v>
      </c>
      <c r="D538" s="3" t="s">
        <v>12</v>
      </c>
      <c r="E538" s="3" t="n">
        <v>43837136</v>
      </c>
      <c r="F538" s="3" t="n">
        <v>15000</v>
      </c>
      <c r="G538" s="3"/>
      <c r="H538" s="3"/>
      <c r="I538" s="4" t="str">
        <f aca="false">IF(AND($A538&lt;&gt;"",$A538=Подбор!$C$4),MAX(I$1:I537)+1,"")</f>
        <v/>
      </c>
    </row>
    <row r="539" customFormat="false" ht="15" hidden="false" customHeight="false" outlineLevel="0" collapsed="false">
      <c r="A539" s="3" t="s">
        <v>541</v>
      </c>
      <c r="B539" s="3" t="s">
        <v>524</v>
      </c>
      <c r="C539" s="3" t="s">
        <v>11</v>
      </c>
      <c r="D539" s="3" t="s">
        <v>21</v>
      </c>
      <c r="E539" s="3" t="n">
        <v>43837135</v>
      </c>
      <c r="F539" s="3" t="n">
        <v>15000</v>
      </c>
      <c r="G539" s="3"/>
      <c r="H539" s="3"/>
      <c r="I539" s="4" t="str">
        <f aca="false">IF(AND($A539&lt;&gt;"",$A539=Подбор!$C$4),MAX(I$1:I538)+1,"")</f>
        <v/>
      </c>
    </row>
    <row r="540" customFormat="false" ht="15" hidden="false" customHeight="false" outlineLevel="0" collapsed="false">
      <c r="A540" s="3" t="s">
        <v>541</v>
      </c>
      <c r="B540" s="3" t="s">
        <v>524</v>
      </c>
      <c r="C540" s="3" t="s">
        <v>11</v>
      </c>
      <c r="D540" s="3" t="s">
        <v>23</v>
      </c>
      <c r="E540" s="3" t="n">
        <v>43837134</v>
      </c>
      <c r="F540" s="3" t="n">
        <v>15000</v>
      </c>
      <c r="G540" s="3"/>
      <c r="H540" s="3"/>
      <c r="I540" s="4" t="str">
        <f aca="false">IF(AND($A540&lt;&gt;"",$A540=Подбор!$C$4),MAX(I$1:I539)+1,"")</f>
        <v/>
      </c>
    </row>
    <row r="541" customFormat="false" ht="15" hidden="false" customHeight="false" outlineLevel="0" collapsed="false">
      <c r="A541" s="3" t="s">
        <v>541</v>
      </c>
      <c r="B541" s="3" t="s">
        <v>524</v>
      </c>
      <c r="C541" s="3" t="s">
        <v>11</v>
      </c>
      <c r="D541" s="3" t="s">
        <v>25</v>
      </c>
      <c r="E541" s="3" t="n">
        <v>43837133</v>
      </c>
      <c r="F541" s="3" t="n">
        <v>15000</v>
      </c>
      <c r="G541" s="3"/>
      <c r="H541" s="3"/>
      <c r="I541" s="4" t="str">
        <f aca="false">IF(AND($A541&lt;&gt;"",$A541=Подбор!$C$4),MAX(I$1:I540)+1,"")</f>
        <v/>
      </c>
    </row>
    <row r="542" customFormat="false" ht="15" hidden="false" customHeight="false" outlineLevel="0" collapsed="false">
      <c r="A542" s="3" t="s">
        <v>542</v>
      </c>
      <c r="B542" s="3" t="s">
        <v>524</v>
      </c>
      <c r="C542" s="3" t="s">
        <v>11</v>
      </c>
      <c r="D542" s="3" t="s">
        <v>12</v>
      </c>
      <c r="E542" s="3" t="s">
        <v>15</v>
      </c>
      <c r="F542" s="3" t="n">
        <v>15000</v>
      </c>
      <c r="G542" s="3"/>
      <c r="H542" s="3"/>
      <c r="I542" s="4" t="str">
        <f aca="false">IF(AND($A542&lt;&gt;"",$A542=Подбор!$C$4),MAX(I$1:I541)+1,"")</f>
        <v/>
      </c>
    </row>
    <row r="543" customFormat="false" ht="15" hidden="false" customHeight="false" outlineLevel="0" collapsed="false">
      <c r="A543" s="3" t="s">
        <v>543</v>
      </c>
      <c r="B543" s="3" t="s">
        <v>10</v>
      </c>
      <c r="C543" s="3" t="s">
        <v>11</v>
      </c>
      <c r="D543" s="3" t="s">
        <v>12</v>
      </c>
      <c r="E543" s="3" t="s">
        <v>544</v>
      </c>
      <c r="F543" s="3" t="n">
        <v>18000</v>
      </c>
      <c r="G543" s="3"/>
      <c r="H543" s="3"/>
      <c r="I543" s="4" t="str">
        <f aca="false">IF(AND($A543&lt;&gt;"",$A543=Подбор!$C$4),MAX(I$1:I542)+1,"")</f>
        <v/>
      </c>
    </row>
    <row r="544" customFormat="false" ht="15" hidden="false" customHeight="false" outlineLevel="0" collapsed="false">
      <c r="A544" s="3" t="s">
        <v>545</v>
      </c>
      <c r="B544" s="3" t="s">
        <v>10</v>
      </c>
      <c r="C544" s="3" t="s">
        <v>11</v>
      </c>
      <c r="D544" s="3" t="s">
        <v>12</v>
      </c>
      <c r="E544" s="3" t="s">
        <v>546</v>
      </c>
      <c r="F544" s="3" t="n">
        <v>19800</v>
      </c>
      <c r="G544" s="3"/>
      <c r="H544" s="3"/>
      <c r="I544" s="4" t="str">
        <f aca="false">IF(AND($A544&lt;&gt;"",$A544=Подбор!$C$4),MAX(I$1:I543)+1,"")</f>
        <v/>
      </c>
    </row>
    <row r="545" customFormat="false" ht="15" hidden="false" customHeight="false" outlineLevel="0" collapsed="false">
      <c r="A545" s="3" t="s">
        <v>545</v>
      </c>
      <c r="B545" s="3" t="s">
        <v>10</v>
      </c>
      <c r="C545" s="3" t="s">
        <v>11</v>
      </c>
      <c r="D545" s="3" t="s">
        <v>21</v>
      </c>
      <c r="E545" s="3" t="s">
        <v>547</v>
      </c>
      <c r="F545" s="3" t="n">
        <v>17200</v>
      </c>
      <c r="G545" s="3"/>
      <c r="H545" s="3"/>
      <c r="I545" s="4" t="str">
        <f aca="false">IF(AND($A545&lt;&gt;"",$A545=Подбор!$C$4),MAX(I$1:I544)+1,"")</f>
        <v/>
      </c>
    </row>
    <row r="546" customFormat="false" ht="15" hidden="false" customHeight="false" outlineLevel="0" collapsed="false">
      <c r="A546" s="3" t="s">
        <v>545</v>
      </c>
      <c r="B546" s="3" t="s">
        <v>10</v>
      </c>
      <c r="C546" s="3" t="s">
        <v>11</v>
      </c>
      <c r="D546" s="3" t="s">
        <v>23</v>
      </c>
      <c r="E546" s="3" t="s">
        <v>548</v>
      </c>
      <c r="F546" s="3" t="n">
        <v>17200</v>
      </c>
      <c r="G546" s="3"/>
      <c r="H546" s="3"/>
      <c r="I546" s="4" t="str">
        <f aca="false">IF(AND($A546&lt;&gt;"",$A546=Подбор!$C$4),MAX(I$1:I545)+1,"")</f>
        <v/>
      </c>
    </row>
    <row r="547" customFormat="false" ht="15" hidden="false" customHeight="false" outlineLevel="0" collapsed="false">
      <c r="A547" s="3" t="s">
        <v>545</v>
      </c>
      <c r="B547" s="3" t="s">
        <v>10</v>
      </c>
      <c r="C547" s="3" t="s">
        <v>11</v>
      </c>
      <c r="D547" s="3" t="s">
        <v>25</v>
      </c>
      <c r="E547" s="3" t="s">
        <v>549</v>
      </c>
      <c r="F547" s="3" t="n">
        <v>17200</v>
      </c>
      <c r="G547" s="3"/>
      <c r="H547" s="3"/>
      <c r="I547" s="4" t="str">
        <f aca="false">IF(AND($A547&lt;&gt;"",$A547=Подбор!$C$4),MAX(I$1:I546)+1,"")</f>
        <v/>
      </c>
    </row>
    <row r="548" customFormat="false" ht="15" hidden="false" customHeight="false" outlineLevel="0" collapsed="false">
      <c r="A548" s="3" t="s">
        <v>545</v>
      </c>
      <c r="B548" s="3" t="s">
        <v>10</v>
      </c>
      <c r="C548" s="3" t="s">
        <v>14</v>
      </c>
      <c r="D548" s="3" t="s">
        <v>15</v>
      </c>
      <c r="E548" s="3" t="s">
        <v>550</v>
      </c>
      <c r="F548" s="3"/>
      <c r="G548" s="3"/>
      <c r="H548" s="3"/>
      <c r="I548" s="4" t="str">
        <f aca="false">IF(AND($A548&lt;&gt;"",$A548=Подбор!$C$4),MAX(I$1:I547)+1,"")</f>
        <v/>
      </c>
    </row>
    <row r="549" customFormat="false" ht="15" hidden="false" customHeight="false" outlineLevel="0" collapsed="false">
      <c r="A549" s="3" t="s">
        <v>551</v>
      </c>
      <c r="B549" s="3" t="s">
        <v>552</v>
      </c>
      <c r="C549" s="3" t="s">
        <v>11</v>
      </c>
      <c r="D549" s="3" t="s">
        <v>12</v>
      </c>
      <c r="E549" s="3" t="s">
        <v>553</v>
      </c>
      <c r="F549" s="3" t="n">
        <v>15000</v>
      </c>
      <c r="G549" s="3"/>
      <c r="H549" s="3"/>
      <c r="I549" s="4" t="str">
        <f aca="false">IF(AND($A549&lt;&gt;"",$A549=Подбор!$C$4),MAX(I$1:I548)+1,"")</f>
        <v/>
      </c>
    </row>
    <row r="550" customFormat="false" ht="15" hidden="false" customHeight="false" outlineLevel="0" collapsed="false">
      <c r="A550" s="3" t="s">
        <v>554</v>
      </c>
      <c r="B550" s="3" t="s">
        <v>57</v>
      </c>
      <c r="C550" s="3" t="s">
        <v>11</v>
      </c>
      <c r="D550" s="3" t="s">
        <v>12</v>
      </c>
      <c r="E550" s="3" t="s">
        <v>555</v>
      </c>
      <c r="F550" s="3" t="n">
        <v>9000</v>
      </c>
      <c r="G550" s="3"/>
      <c r="H550" s="3"/>
      <c r="I550" s="4" t="str">
        <f aca="false">IF(AND($A550&lt;&gt;"",$A550=Подбор!$C$4),MAX(I$1:I549)+1,"")</f>
        <v/>
      </c>
    </row>
    <row r="551" customFormat="false" ht="15" hidden="false" customHeight="false" outlineLevel="0" collapsed="false">
      <c r="A551" s="3" t="s">
        <v>556</v>
      </c>
      <c r="B551" s="3" t="s">
        <v>110</v>
      </c>
      <c r="C551" s="3" t="s">
        <v>11</v>
      </c>
      <c r="D551" s="3" t="s">
        <v>12</v>
      </c>
      <c r="E551" s="3" t="s">
        <v>557</v>
      </c>
      <c r="F551" s="3" t="n">
        <v>3000</v>
      </c>
      <c r="G551" s="3"/>
      <c r="H551" s="3"/>
      <c r="I551" s="4" t="str">
        <f aca="false">IF(AND($A551&lt;&gt;"",$A551=Подбор!$C$4),MAX(I$1:I550)+1,"")</f>
        <v/>
      </c>
    </row>
    <row r="552" customFormat="false" ht="15" hidden="false" customHeight="false" outlineLevel="0" collapsed="false">
      <c r="A552" s="3" t="s">
        <v>558</v>
      </c>
      <c r="B552" s="3" t="s">
        <v>110</v>
      </c>
      <c r="C552" s="3" t="s">
        <v>11</v>
      </c>
      <c r="D552" s="3" t="s">
        <v>12</v>
      </c>
      <c r="E552" s="3" t="s">
        <v>559</v>
      </c>
      <c r="F552" s="3" t="n">
        <v>3000</v>
      </c>
      <c r="G552" s="3"/>
      <c r="H552" s="3"/>
      <c r="I552" s="4" t="str">
        <f aca="false">IF(AND($A552&lt;&gt;"",$A552=Подбор!$C$4),MAX(I$1:I551)+1,"")</f>
        <v/>
      </c>
    </row>
    <row r="553" customFormat="false" ht="15" hidden="false" customHeight="false" outlineLevel="0" collapsed="false">
      <c r="A553" s="3" t="s">
        <v>560</v>
      </c>
      <c r="B553" s="3" t="s">
        <v>110</v>
      </c>
      <c r="C553" s="3" t="s">
        <v>11</v>
      </c>
      <c r="D553" s="3" t="s">
        <v>12</v>
      </c>
      <c r="E553" s="3" t="s">
        <v>561</v>
      </c>
      <c r="F553" s="3" t="n">
        <v>3000</v>
      </c>
      <c r="G553" s="3"/>
      <c r="H553" s="3"/>
      <c r="I553" s="4" t="str">
        <f aca="false">IF(AND($A553&lt;&gt;"",$A553=Подбор!$C$4),MAX(I$1:I552)+1,"")</f>
        <v/>
      </c>
    </row>
    <row r="554" customFormat="false" ht="15" hidden="false" customHeight="false" outlineLevel="0" collapsed="false">
      <c r="A554" s="3" t="s">
        <v>562</v>
      </c>
      <c r="B554" s="3" t="s">
        <v>57</v>
      </c>
      <c r="C554" s="3" t="s">
        <v>11</v>
      </c>
      <c r="D554" s="3" t="s">
        <v>12</v>
      </c>
      <c r="E554" s="3" t="s">
        <v>563</v>
      </c>
      <c r="F554" s="3" t="n">
        <v>10000</v>
      </c>
      <c r="G554" s="3"/>
      <c r="H554" s="3"/>
      <c r="I554" s="4" t="str">
        <f aca="false">IF(AND($A554&lt;&gt;"",$A554=Подбор!$C$4),MAX(I$1:I553)+1,"")</f>
        <v/>
      </c>
    </row>
    <row r="555" customFormat="false" ht="15" hidden="false" customHeight="false" outlineLevel="0" collapsed="false">
      <c r="A555" s="3" t="s">
        <v>564</v>
      </c>
      <c r="B555" s="3" t="s">
        <v>110</v>
      </c>
      <c r="C555" s="3" t="s">
        <v>11</v>
      </c>
      <c r="D555" s="3" t="s">
        <v>12</v>
      </c>
      <c r="E555" s="3" t="s">
        <v>565</v>
      </c>
      <c r="F555" s="3" t="n">
        <v>5000</v>
      </c>
      <c r="G555" s="3"/>
      <c r="H555" s="3"/>
      <c r="I555" s="4" t="str">
        <f aca="false">IF(AND($A555&lt;&gt;"",$A555=Подбор!$C$4),MAX(I$1:I554)+1,"")</f>
        <v/>
      </c>
    </row>
    <row r="556" customFormat="false" ht="15" hidden="false" customHeight="false" outlineLevel="0" collapsed="false">
      <c r="A556" s="3" t="s">
        <v>566</v>
      </c>
      <c r="B556" s="3" t="s">
        <v>57</v>
      </c>
      <c r="C556" s="3" t="s">
        <v>567</v>
      </c>
      <c r="D556" s="3" t="s">
        <v>12</v>
      </c>
      <c r="E556" s="3" t="s">
        <v>568</v>
      </c>
      <c r="F556" s="3" t="n">
        <v>9200</v>
      </c>
      <c r="G556" s="3"/>
      <c r="H556" s="3"/>
      <c r="I556" s="4" t="str">
        <f aca="false">IF(AND($A556&lt;&gt;"",$A556=Подбор!$C$4),MAX(I$1:I555)+1,"")</f>
        <v/>
      </c>
    </row>
    <row r="557" customFormat="false" ht="15" hidden="false" customHeight="false" outlineLevel="0" collapsed="false">
      <c r="A557" s="3" t="s">
        <v>569</v>
      </c>
      <c r="B557" s="3" t="s">
        <v>34</v>
      </c>
      <c r="C557" s="3" t="s">
        <v>11</v>
      </c>
      <c r="D557" s="3" t="s">
        <v>12</v>
      </c>
      <c r="E557" s="3" t="s">
        <v>570</v>
      </c>
      <c r="F557" s="3" t="n">
        <v>1600</v>
      </c>
      <c r="G557" s="3"/>
      <c r="H557" s="3"/>
      <c r="I557" s="4" t="str">
        <f aca="false">IF(AND($A557&lt;&gt;"",$A557=Подбор!$C$4),MAX(I$1:I556)+1,"")</f>
        <v/>
      </c>
    </row>
    <row r="558" customFormat="false" ht="15" hidden="false" customHeight="false" outlineLevel="0" collapsed="false">
      <c r="A558" s="3" t="s">
        <v>571</v>
      </c>
      <c r="B558" s="3" t="s">
        <v>84</v>
      </c>
      <c r="C558" s="3" t="s">
        <v>11</v>
      </c>
      <c r="D558" s="3" t="s">
        <v>12</v>
      </c>
      <c r="E558" s="3" t="s">
        <v>572</v>
      </c>
      <c r="F558" s="3" t="n">
        <v>30000</v>
      </c>
      <c r="G558" s="3"/>
      <c r="H558" s="3"/>
      <c r="I558" s="4" t="str">
        <f aca="false">IF(AND($A558&lt;&gt;"",$A558=Подбор!$C$4),MAX(I$1:I557)+1,"")</f>
        <v/>
      </c>
    </row>
    <row r="559" customFormat="false" ht="15" hidden="false" customHeight="false" outlineLevel="0" collapsed="false">
      <c r="A559" s="3" t="s">
        <v>573</v>
      </c>
      <c r="B559" s="3" t="s">
        <v>10</v>
      </c>
      <c r="C559" s="3" t="s">
        <v>11</v>
      </c>
      <c r="D559" s="3" t="s">
        <v>12</v>
      </c>
      <c r="E559" s="3" t="s">
        <v>574</v>
      </c>
      <c r="F559" s="3" t="n">
        <v>3000</v>
      </c>
      <c r="G559" s="3"/>
      <c r="H559" s="3"/>
      <c r="I559" s="4" t="str">
        <f aca="false">IF(AND($A559&lt;&gt;"",$A559=Подбор!$C$4),MAX(I$1:I558)+1,"")</f>
        <v/>
      </c>
    </row>
    <row r="560" customFormat="false" ht="15" hidden="false" customHeight="false" outlineLevel="0" collapsed="false">
      <c r="A560" s="3" t="s">
        <v>575</v>
      </c>
      <c r="B560" s="3" t="s">
        <v>34</v>
      </c>
      <c r="C560" s="3" t="s">
        <v>11</v>
      </c>
      <c r="D560" s="3" t="s">
        <v>12</v>
      </c>
      <c r="E560" s="3" t="s">
        <v>576</v>
      </c>
      <c r="F560" s="3" t="n">
        <v>6000</v>
      </c>
      <c r="G560" s="3"/>
      <c r="H560" s="3"/>
      <c r="I560" s="4" t="str">
        <f aca="false">IF(AND($A560&lt;&gt;"",$A560=Подбор!$C$4),MAX(I$1:I559)+1,"")</f>
        <v/>
      </c>
    </row>
    <row r="561" customFormat="false" ht="15" hidden="false" customHeight="false" outlineLevel="0" collapsed="false">
      <c r="A561" s="3" t="s">
        <v>577</v>
      </c>
      <c r="B561" s="3" t="s">
        <v>34</v>
      </c>
      <c r="C561" s="3" t="s">
        <v>11</v>
      </c>
      <c r="D561" s="3" t="s">
        <v>12</v>
      </c>
      <c r="E561" s="3" t="s">
        <v>570</v>
      </c>
      <c r="F561" s="3" t="n">
        <v>1600</v>
      </c>
      <c r="G561" s="3"/>
      <c r="H561" s="3"/>
      <c r="I561" s="4" t="str">
        <f aca="false">IF(AND($A561&lt;&gt;"",$A561=Подбор!$C$4),MAX(I$1:I560)+1,"")</f>
        <v/>
      </c>
    </row>
    <row r="562" customFormat="false" ht="15" hidden="false" customHeight="false" outlineLevel="0" collapsed="false">
      <c r="A562" s="3" t="s">
        <v>578</v>
      </c>
      <c r="B562" s="3" t="s">
        <v>34</v>
      </c>
      <c r="C562" s="3" t="s">
        <v>11</v>
      </c>
      <c r="D562" s="3" t="s">
        <v>12</v>
      </c>
      <c r="E562" s="3" t="s">
        <v>570</v>
      </c>
      <c r="F562" s="3" t="n">
        <v>1600</v>
      </c>
      <c r="G562" s="3"/>
      <c r="H562" s="3"/>
      <c r="I562" s="4" t="str">
        <f aca="false">IF(AND($A562&lt;&gt;"",$A562=Подбор!$C$4),MAX(I$1:I561)+1,"")</f>
        <v/>
      </c>
    </row>
    <row r="563" customFormat="false" ht="15" hidden="false" customHeight="false" outlineLevel="0" collapsed="false">
      <c r="A563" s="3" t="s">
        <v>579</v>
      </c>
      <c r="B563" s="3" t="s">
        <v>84</v>
      </c>
      <c r="C563" s="3" t="s">
        <v>11</v>
      </c>
      <c r="D563" s="3" t="s">
        <v>12</v>
      </c>
      <c r="E563" s="3" t="s">
        <v>234</v>
      </c>
      <c r="F563" s="3" t="n">
        <v>2000</v>
      </c>
      <c r="G563" s="3"/>
      <c r="H563" s="3"/>
      <c r="I563" s="4" t="str">
        <f aca="false">IF(AND($A563&lt;&gt;"",$A563=Подбор!$C$4),MAX(I$1:I562)+1,"")</f>
        <v/>
      </c>
    </row>
    <row r="564" customFormat="false" ht="15" hidden="false" customHeight="false" outlineLevel="0" collapsed="false">
      <c r="A564" s="3" t="s">
        <v>580</v>
      </c>
      <c r="B564" s="3" t="s">
        <v>57</v>
      </c>
      <c r="C564" s="3" t="s">
        <v>11</v>
      </c>
      <c r="D564" s="3" t="s">
        <v>12</v>
      </c>
      <c r="E564" s="3" t="s">
        <v>393</v>
      </c>
      <c r="F564" s="3" t="n">
        <v>1500</v>
      </c>
      <c r="G564" s="3"/>
      <c r="H564" s="3"/>
      <c r="I564" s="4" t="str">
        <f aca="false">IF(AND($A564&lt;&gt;"",$A564=Подбор!$C$4),MAX(I$1:I563)+1,"")</f>
        <v/>
      </c>
    </row>
    <row r="565" customFormat="false" ht="15" hidden="false" customHeight="false" outlineLevel="0" collapsed="false">
      <c r="A565" s="3" t="s">
        <v>581</v>
      </c>
      <c r="B565" s="3" t="s">
        <v>34</v>
      </c>
      <c r="C565" s="3" t="s">
        <v>11</v>
      </c>
      <c r="D565" s="3" t="s">
        <v>12</v>
      </c>
      <c r="E565" s="3" t="s">
        <v>35</v>
      </c>
      <c r="F565" s="3" t="n">
        <v>6000</v>
      </c>
      <c r="G565" s="3"/>
      <c r="H565" s="3"/>
      <c r="I565" s="4" t="str">
        <f aca="false">IF(AND($A565&lt;&gt;"",$A565=Подбор!$C$4),MAX(I$1:I564)+1,"")</f>
        <v/>
      </c>
    </row>
    <row r="566" customFormat="false" ht="15" hidden="false" customHeight="false" outlineLevel="0" collapsed="false">
      <c r="A566" s="3" t="s">
        <v>581</v>
      </c>
      <c r="B566" s="3" t="s">
        <v>34</v>
      </c>
      <c r="C566" s="3" t="s">
        <v>36</v>
      </c>
      <c r="D566" s="3" t="s">
        <v>15</v>
      </c>
      <c r="E566" s="3" t="s">
        <v>37</v>
      </c>
      <c r="F566" s="3" t="n">
        <v>30000</v>
      </c>
      <c r="G566" s="3"/>
      <c r="H566" s="3"/>
      <c r="I566" s="4" t="str">
        <f aca="false">IF(AND($A566&lt;&gt;"",$A566=Подбор!$C$4),MAX(I$1:I565)+1,"")</f>
        <v/>
      </c>
    </row>
    <row r="567" customFormat="false" ht="15" hidden="false" customHeight="false" outlineLevel="0" collapsed="false">
      <c r="A567" s="3" t="s">
        <v>582</v>
      </c>
      <c r="B567" s="3" t="s">
        <v>34</v>
      </c>
      <c r="C567" s="3" t="s">
        <v>11</v>
      </c>
      <c r="D567" s="3" t="s">
        <v>12</v>
      </c>
      <c r="E567" s="3" t="s">
        <v>35</v>
      </c>
      <c r="F567" s="3" t="n">
        <v>6000</v>
      </c>
      <c r="G567" s="3"/>
      <c r="H567" s="3"/>
      <c r="I567" s="4" t="str">
        <f aca="false">IF(AND($A567&lt;&gt;"",$A567=Подбор!$C$4),MAX(I$1:I566)+1,"")</f>
        <v/>
      </c>
    </row>
    <row r="568" customFormat="false" ht="15" hidden="false" customHeight="false" outlineLevel="0" collapsed="false">
      <c r="A568" s="3" t="s">
        <v>582</v>
      </c>
      <c r="B568" s="3" t="s">
        <v>34</v>
      </c>
      <c r="C568" s="3" t="s">
        <v>36</v>
      </c>
      <c r="D568" s="3" t="s">
        <v>15</v>
      </c>
      <c r="E568" s="3" t="s">
        <v>37</v>
      </c>
      <c r="F568" s="3" t="n">
        <v>30000</v>
      </c>
      <c r="G568" s="3"/>
      <c r="H568" s="3"/>
      <c r="I568" s="4" t="str">
        <f aca="false">IF(AND($A568&lt;&gt;"",$A568=Подбор!$C$4),MAX(I$1:I567)+1,"")</f>
        <v/>
      </c>
    </row>
    <row r="569" customFormat="false" ht="15" hidden="false" customHeight="false" outlineLevel="0" collapsed="false">
      <c r="A569" s="3" t="s">
        <v>583</v>
      </c>
      <c r="B569" s="3" t="s">
        <v>34</v>
      </c>
      <c r="C569" s="3" t="s">
        <v>11</v>
      </c>
      <c r="D569" s="3" t="s">
        <v>12</v>
      </c>
      <c r="E569" s="3" t="s">
        <v>35</v>
      </c>
      <c r="F569" s="3" t="n">
        <v>6000</v>
      </c>
      <c r="G569" s="3"/>
      <c r="H569" s="3"/>
      <c r="I569" s="4" t="str">
        <f aca="false">IF(AND($A569&lt;&gt;"",$A569=Подбор!$C$4),MAX(I$1:I568)+1,"")</f>
        <v/>
      </c>
    </row>
    <row r="570" customFormat="false" ht="15" hidden="false" customHeight="false" outlineLevel="0" collapsed="false">
      <c r="A570" s="3" t="s">
        <v>583</v>
      </c>
      <c r="B570" s="3" t="s">
        <v>34</v>
      </c>
      <c r="C570" s="3" t="s">
        <v>36</v>
      </c>
      <c r="D570" s="3" t="s">
        <v>15</v>
      </c>
      <c r="E570" s="3" t="s">
        <v>37</v>
      </c>
      <c r="F570" s="3" t="n">
        <v>30000</v>
      </c>
      <c r="G570" s="3"/>
      <c r="H570" s="3"/>
      <c r="I570" s="4" t="str">
        <f aca="false">IF(AND($A570&lt;&gt;"",$A570=Подбор!$C$4),MAX(I$1:I569)+1,"")</f>
        <v/>
      </c>
    </row>
    <row r="571" customFormat="false" ht="15" hidden="false" customHeight="false" outlineLevel="0" collapsed="false">
      <c r="A571" s="3" t="s">
        <v>584</v>
      </c>
      <c r="B571" s="3" t="s">
        <v>84</v>
      </c>
      <c r="C571" s="3" t="s">
        <v>11</v>
      </c>
      <c r="D571" s="3" t="s">
        <v>12</v>
      </c>
      <c r="E571" s="3" t="s">
        <v>572</v>
      </c>
      <c r="F571" s="3" t="n">
        <v>30000</v>
      </c>
      <c r="G571" s="3"/>
      <c r="H571" s="3"/>
      <c r="I571" s="4" t="str">
        <f aca="false">IF(AND($A571&lt;&gt;"",$A571=Подбор!$C$4),MAX(I$1:I570)+1,"")</f>
        <v/>
      </c>
    </row>
    <row r="572" customFormat="false" ht="15" hidden="false" customHeight="false" outlineLevel="0" collapsed="false">
      <c r="A572" s="3" t="s">
        <v>585</v>
      </c>
      <c r="B572" s="3" t="s">
        <v>34</v>
      </c>
      <c r="C572" s="3" t="s">
        <v>11</v>
      </c>
      <c r="D572" s="3" t="s">
        <v>12</v>
      </c>
      <c r="E572" s="3" t="s">
        <v>570</v>
      </c>
      <c r="F572" s="3" t="n">
        <v>1600</v>
      </c>
      <c r="G572" s="3"/>
      <c r="H572" s="3"/>
      <c r="I572" s="4" t="str">
        <f aca="false">IF(AND($A572&lt;&gt;"",$A572=Подбор!$C$4),MAX(I$1:I571)+1,"")</f>
        <v/>
      </c>
    </row>
    <row r="573" customFormat="false" ht="15" hidden="false" customHeight="false" outlineLevel="0" collapsed="false">
      <c r="A573" s="3" t="s">
        <v>586</v>
      </c>
      <c r="B573" s="3" t="s">
        <v>34</v>
      </c>
      <c r="C573" s="3" t="s">
        <v>11</v>
      </c>
      <c r="D573" s="3" t="s">
        <v>12</v>
      </c>
      <c r="E573" s="3" t="s">
        <v>587</v>
      </c>
      <c r="F573" s="3" t="n">
        <v>2000</v>
      </c>
      <c r="G573" s="3"/>
      <c r="H573" s="3"/>
      <c r="I573" s="4" t="str">
        <f aca="false">IF(AND($A573&lt;&gt;"",$A573=Подбор!$C$4),MAX(I$1:I572)+1,"")</f>
        <v/>
      </c>
    </row>
    <row r="574" customFormat="false" ht="15" hidden="false" customHeight="false" outlineLevel="0" collapsed="false">
      <c r="A574" s="3" t="s">
        <v>586</v>
      </c>
      <c r="B574" s="3" t="s">
        <v>34</v>
      </c>
      <c r="C574" s="3" t="s">
        <v>11</v>
      </c>
      <c r="D574" s="3" t="s">
        <v>21</v>
      </c>
      <c r="E574" s="3" t="s">
        <v>588</v>
      </c>
      <c r="F574" s="3" t="n">
        <v>2000</v>
      </c>
      <c r="G574" s="3"/>
      <c r="H574" s="3"/>
      <c r="I574" s="4" t="str">
        <f aca="false">IF(AND($A574&lt;&gt;"",$A574=Подбор!$C$4),MAX(I$1:I573)+1,"")</f>
        <v/>
      </c>
    </row>
    <row r="575" customFormat="false" ht="15" hidden="false" customHeight="false" outlineLevel="0" collapsed="false">
      <c r="A575" s="3" t="s">
        <v>586</v>
      </c>
      <c r="B575" s="3" t="s">
        <v>34</v>
      </c>
      <c r="C575" s="3" t="s">
        <v>11</v>
      </c>
      <c r="D575" s="3" t="s">
        <v>23</v>
      </c>
      <c r="E575" s="3" t="s">
        <v>589</v>
      </c>
      <c r="F575" s="3" t="n">
        <v>2000</v>
      </c>
      <c r="G575" s="3"/>
      <c r="H575" s="3"/>
      <c r="I575" s="4" t="str">
        <f aca="false">IF(AND($A575&lt;&gt;"",$A575=Подбор!$C$4),MAX(I$1:I574)+1,"")</f>
        <v/>
      </c>
    </row>
    <row r="576" customFormat="false" ht="15" hidden="false" customHeight="false" outlineLevel="0" collapsed="false">
      <c r="A576" s="3" t="s">
        <v>586</v>
      </c>
      <c r="B576" s="3" t="s">
        <v>34</v>
      </c>
      <c r="C576" s="3" t="s">
        <v>11</v>
      </c>
      <c r="D576" s="3" t="s">
        <v>25</v>
      </c>
      <c r="E576" s="3" t="s">
        <v>590</v>
      </c>
      <c r="F576" s="3" t="n">
        <v>2000</v>
      </c>
      <c r="G576" s="3"/>
      <c r="H576" s="3"/>
      <c r="I576" s="4" t="str">
        <f aca="false">IF(AND($A576&lt;&gt;"",$A576=Подбор!$C$4),MAX(I$1:I575)+1,"")</f>
        <v/>
      </c>
    </row>
    <row r="577" customFormat="false" ht="15" hidden="false" customHeight="false" outlineLevel="0" collapsed="false">
      <c r="A577" s="3" t="s">
        <v>591</v>
      </c>
      <c r="B577" s="3" t="s">
        <v>34</v>
      </c>
      <c r="C577" s="3" t="s">
        <v>11</v>
      </c>
      <c r="D577" s="3" t="s">
        <v>12</v>
      </c>
      <c r="E577" s="3" t="s">
        <v>587</v>
      </c>
      <c r="F577" s="3" t="n">
        <v>2000</v>
      </c>
      <c r="G577" s="3"/>
      <c r="H577" s="3"/>
      <c r="I577" s="4" t="str">
        <f aca="false">IF(AND($A577&lt;&gt;"",$A577=Подбор!$C$4),MAX(I$1:I576)+1,"")</f>
        <v/>
      </c>
    </row>
    <row r="578" customFormat="false" ht="15" hidden="false" customHeight="false" outlineLevel="0" collapsed="false">
      <c r="A578" s="3" t="s">
        <v>591</v>
      </c>
      <c r="B578" s="3" t="s">
        <v>34</v>
      </c>
      <c r="C578" s="3" t="s">
        <v>11</v>
      </c>
      <c r="D578" s="3" t="s">
        <v>21</v>
      </c>
      <c r="E578" s="3" t="s">
        <v>588</v>
      </c>
      <c r="F578" s="3" t="n">
        <v>2000</v>
      </c>
      <c r="G578" s="3"/>
      <c r="H578" s="3"/>
      <c r="I578" s="4" t="str">
        <f aca="false">IF(AND($A578&lt;&gt;"",$A578=Подбор!$C$4),MAX(I$1:I577)+1,"")</f>
        <v/>
      </c>
    </row>
    <row r="579" customFormat="false" ht="15" hidden="false" customHeight="false" outlineLevel="0" collapsed="false">
      <c r="A579" s="3" t="s">
        <v>591</v>
      </c>
      <c r="B579" s="3" t="s">
        <v>34</v>
      </c>
      <c r="C579" s="3" t="s">
        <v>11</v>
      </c>
      <c r="D579" s="3" t="s">
        <v>23</v>
      </c>
      <c r="E579" s="3" t="s">
        <v>589</v>
      </c>
      <c r="F579" s="3" t="n">
        <v>2000</v>
      </c>
      <c r="G579" s="3"/>
      <c r="H579" s="3"/>
      <c r="I579" s="4" t="str">
        <f aca="false">IF(AND($A579&lt;&gt;"",$A579=Подбор!$C$4),MAX(I$1:I578)+1,"")</f>
        <v/>
      </c>
    </row>
    <row r="580" customFormat="false" ht="15" hidden="false" customHeight="false" outlineLevel="0" collapsed="false">
      <c r="A580" s="3" t="s">
        <v>591</v>
      </c>
      <c r="B580" s="3" t="s">
        <v>34</v>
      </c>
      <c r="C580" s="3" t="s">
        <v>11</v>
      </c>
      <c r="D580" s="3" t="s">
        <v>25</v>
      </c>
      <c r="E580" s="3" t="s">
        <v>590</v>
      </c>
      <c r="F580" s="3" t="n">
        <v>2000</v>
      </c>
      <c r="G580" s="3"/>
      <c r="H580" s="3"/>
      <c r="I580" s="4" t="str">
        <f aca="false">IF(AND($A580&lt;&gt;"",$A580=Подбор!$C$4),MAX(I$1:I579)+1,"")</f>
        <v/>
      </c>
    </row>
    <row r="581" customFormat="false" ht="15" hidden="false" customHeight="false" outlineLevel="0" collapsed="false">
      <c r="A581" s="3" t="s">
        <v>592</v>
      </c>
      <c r="B581" s="3" t="s">
        <v>57</v>
      </c>
      <c r="C581" s="3" t="s">
        <v>11</v>
      </c>
      <c r="D581" s="3" t="s">
        <v>12</v>
      </c>
      <c r="E581" s="3" t="s">
        <v>120</v>
      </c>
      <c r="F581" s="3" t="n">
        <v>3000</v>
      </c>
      <c r="G581" s="3"/>
      <c r="H581" s="3"/>
      <c r="I581" s="4" t="str">
        <f aca="false">IF(AND($A581&lt;&gt;"",$A581=Подбор!$C$4),MAX(I$1:I580)+1,"")</f>
        <v/>
      </c>
    </row>
    <row r="582" customFormat="false" ht="15" hidden="false" customHeight="false" outlineLevel="0" collapsed="false">
      <c r="A582" s="3" t="s">
        <v>593</v>
      </c>
      <c r="B582" s="3" t="s">
        <v>57</v>
      </c>
      <c r="C582" s="3" t="s">
        <v>11</v>
      </c>
      <c r="D582" s="3" t="s">
        <v>12</v>
      </c>
      <c r="E582" s="3" t="s">
        <v>594</v>
      </c>
      <c r="F582" s="3" t="n">
        <v>25000</v>
      </c>
      <c r="G582" s="3"/>
      <c r="H582" s="3"/>
      <c r="I582" s="4" t="str">
        <f aca="false">IF(AND($A582&lt;&gt;"",$A582=Подбор!$C$4),MAX(I$1:I581)+1,"")</f>
        <v/>
      </c>
    </row>
    <row r="583" customFormat="false" ht="15" hidden="false" customHeight="false" outlineLevel="0" collapsed="false">
      <c r="A583" s="3" t="s">
        <v>595</v>
      </c>
      <c r="B583" s="3" t="s">
        <v>57</v>
      </c>
      <c r="C583" s="3" t="s">
        <v>567</v>
      </c>
      <c r="D583" s="3" t="s">
        <v>12</v>
      </c>
      <c r="E583" s="3" t="s">
        <v>596</v>
      </c>
      <c r="F583" s="3" t="n">
        <v>2200</v>
      </c>
      <c r="G583" s="3"/>
      <c r="H583" s="3"/>
      <c r="I583" s="4" t="str">
        <f aca="false">IF(AND($A583&lt;&gt;"",$A583=Подбор!$C$4),MAX(I$1:I582)+1,"")</f>
        <v/>
      </c>
    </row>
    <row r="584" customFormat="false" ht="15" hidden="false" customHeight="false" outlineLevel="0" collapsed="false">
      <c r="A584" s="3" t="s">
        <v>597</v>
      </c>
      <c r="B584" s="3" t="s">
        <v>57</v>
      </c>
      <c r="C584" s="3" t="s">
        <v>567</v>
      </c>
      <c r="D584" s="3" t="s">
        <v>12</v>
      </c>
      <c r="E584" s="3" t="s">
        <v>596</v>
      </c>
      <c r="F584" s="3" t="n">
        <v>2200</v>
      </c>
      <c r="G584" s="3"/>
      <c r="H584" s="3"/>
      <c r="I584" s="4" t="str">
        <f aca="false">IF(AND($A584&lt;&gt;"",$A584=Подбор!$C$4),MAX(I$1:I583)+1,"")</f>
        <v/>
      </c>
    </row>
    <row r="585" customFormat="false" ht="15" hidden="false" customHeight="false" outlineLevel="0" collapsed="false">
      <c r="A585" s="3" t="s">
        <v>598</v>
      </c>
      <c r="B585" s="3" t="s">
        <v>57</v>
      </c>
      <c r="C585" s="3" t="s">
        <v>567</v>
      </c>
      <c r="D585" s="3" t="s">
        <v>12</v>
      </c>
      <c r="E585" s="3" t="s">
        <v>596</v>
      </c>
      <c r="F585" s="3" t="n">
        <v>2200</v>
      </c>
      <c r="G585" s="3"/>
      <c r="H585" s="3"/>
      <c r="I585" s="4" t="str">
        <f aca="false">IF(AND($A585&lt;&gt;"",$A585=Подбор!$C$4),MAX(I$1:I584)+1,"")</f>
        <v/>
      </c>
    </row>
    <row r="586" customFormat="false" ht="15" hidden="false" customHeight="false" outlineLevel="0" collapsed="false">
      <c r="A586" s="3" t="s">
        <v>599</v>
      </c>
      <c r="B586" s="3" t="s">
        <v>57</v>
      </c>
      <c r="C586" s="3" t="s">
        <v>11</v>
      </c>
      <c r="D586" s="3" t="s">
        <v>12</v>
      </c>
      <c r="E586" s="3" t="s">
        <v>154</v>
      </c>
      <c r="F586" s="3" t="n">
        <v>15000</v>
      </c>
      <c r="G586" s="3"/>
      <c r="H586" s="3"/>
      <c r="I586" s="4" t="str">
        <f aca="false">IF(AND($A586&lt;&gt;"",$A586=Подбор!$C$4),MAX(I$1:I585)+1,"")</f>
        <v/>
      </c>
    </row>
    <row r="587" customFormat="false" ht="15" hidden="false" customHeight="false" outlineLevel="0" collapsed="false">
      <c r="A587" s="3" t="s">
        <v>600</v>
      </c>
      <c r="B587" s="3" t="s">
        <v>57</v>
      </c>
      <c r="C587" s="3" t="s">
        <v>567</v>
      </c>
      <c r="D587" s="3" t="s">
        <v>12</v>
      </c>
      <c r="E587" s="3" t="s">
        <v>601</v>
      </c>
      <c r="F587" s="3" t="n">
        <v>1200</v>
      </c>
      <c r="G587" s="3"/>
      <c r="H587" s="3"/>
      <c r="I587" s="4" t="str">
        <f aca="false">IF(AND($A587&lt;&gt;"",$A587=Подбор!$C$4),MAX(I$1:I586)+1,"")</f>
        <v/>
      </c>
    </row>
    <row r="588" customFormat="false" ht="15" hidden="false" customHeight="false" outlineLevel="0" collapsed="false">
      <c r="A588" s="3" t="s">
        <v>602</v>
      </c>
      <c r="B588" s="3" t="s">
        <v>57</v>
      </c>
      <c r="C588" s="3" t="s">
        <v>11</v>
      </c>
      <c r="D588" s="3" t="s">
        <v>12</v>
      </c>
      <c r="E588" s="3" t="s">
        <v>603</v>
      </c>
      <c r="F588" s="3" t="n">
        <v>6000</v>
      </c>
      <c r="G588" s="3"/>
      <c r="H588" s="3"/>
      <c r="I588" s="4" t="str">
        <f aca="false">IF(AND($A588&lt;&gt;"",$A588=Подбор!$C$4),MAX(I$1:I587)+1,"")</f>
        <v/>
      </c>
    </row>
    <row r="589" customFormat="false" ht="15" hidden="false" customHeight="false" outlineLevel="0" collapsed="false">
      <c r="A589" s="3" t="s">
        <v>604</v>
      </c>
      <c r="B589" s="3" t="s">
        <v>57</v>
      </c>
      <c r="C589" s="3" t="s">
        <v>567</v>
      </c>
      <c r="D589" s="3" t="s">
        <v>12</v>
      </c>
      <c r="E589" s="3" t="s">
        <v>605</v>
      </c>
      <c r="F589" s="3" t="n">
        <v>2300</v>
      </c>
      <c r="G589" s="3"/>
      <c r="H589" s="3"/>
      <c r="I589" s="4" t="str">
        <f aca="false">IF(AND($A589&lt;&gt;"",$A589=Подбор!$C$4),MAX(I$1:I588)+1,"")</f>
        <v/>
      </c>
    </row>
    <row r="590" customFormat="false" ht="15" hidden="false" customHeight="false" outlineLevel="0" collapsed="false">
      <c r="A590" s="3" t="s">
        <v>606</v>
      </c>
      <c r="B590" s="3" t="s">
        <v>57</v>
      </c>
      <c r="C590" s="3" t="s">
        <v>567</v>
      </c>
      <c r="D590" s="3" t="s">
        <v>12</v>
      </c>
      <c r="E590" s="3" t="s">
        <v>601</v>
      </c>
      <c r="F590" s="3" t="n">
        <v>1200</v>
      </c>
      <c r="G590" s="3"/>
      <c r="H590" s="3"/>
      <c r="I590" s="4" t="str">
        <f aca="false">IF(AND($A590&lt;&gt;"",$A590=Подбор!$C$4),MAX(I$1:I589)+1,"")</f>
        <v/>
      </c>
    </row>
    <row r="591" customFormat="false" ht="15" hidden="false" customHeight="false" outlineLevel="0" collapsed="false">
      <c r="A591" s="3" t="s">
        <v>607</v>
      </c>
      <c r="B591" s="3" t="s">
        <v>57</v>
      </c>
      <c r="C591" s="3" t="s">
        <v>567</v>
      </c>
      <c r="D591" s="3" t="s">
        <v>12</v>
      </c>
      <c r="E591" s="3" t="s">
        <v>568</v>
      </c>
      <c r="F591" s="3" t="n">
        <v>9200</v>
      </c>
      <c r="G591" s="3"/>
      <c r="H591" s="3"/>
      <c r="I591" s="4" t="str">
        <f aca="false">IF(AND($A591&lt;&gt;"",$A591=Подбор!$C$4),MAX(I$1:I590)+1,"")</f>
        <v/>
      </c>
    </row>
    <row r="592" customFormat="false" ht="15" hidden="false" customHeight="false" outlineLevel="0" collapsed="false">
      <c r="A592" s="3" t="s">
        <v>608</v>
      </c>
      <c r="B592" s="3" t="s">
        <v>57</v>
      </c>
      <c r="C592" s="3" t="s">
        <v>567</v>
      </c>
      <c r="D592" s="3" t="s">
        <v>12</v>
      </c>
      <c r="E592" s="3" t="s">
        <v>605</v>
      </c>
      <c r="F592" s="3" t="n">
        <v>2300</v>
      </c>
      <c r="G592" s="3"/>
      <c r="H592" s="3"/>
      <c r="I592" s="4" t="str">
        <f aca="false">IF(AND($A592&lt;&gt;"",$A592=Подбор!$C$4),MAX(I$1:I591)+1,"")</f>
        <v/>
      </c>
    </row>
    <row r="593" customFormat="false" ht="15" hidden="false" customHeight="false" outlineLevel="0" collapsed="false">
      <c r="A593" s="3" t="s">
        <v>609</v>
      </c>
      <c r="B593" s="3" t="s">
        <v>57</v>
      </c>
      <c r="C593" s="3" t="s">
        <v>567</v>
      </c>
      <c r="D593" s="3" t="s">
        <v>12</v>
      </c>
      <c r="E593" s="3" t="s">
        <v>605</v>
      </c>
      <c r="F593" s="3" t="n">
        <v>2300</v>
      </c>
      <c r="G593" s="3"/>
      <c r="H593" s="3"/>
      <c r="I593" s="4" t="str">
        <f aca="false">IF(AND($A593&lt;&gt;"",$A593=Подбор!$C$4),MAX(I$1:I592)+1,"")</f>
        <v/>
      </c>
    </row>
    <row r="594" customFormat="false" ht="15" hidden="false" customHeight="false" outlineLevel="0" collapsed="false">
      <c r="A594" s="3" t="s">
        <v>610</v>
      </c>
      <c r="B594" s="3" t="s">
        <v>57</v>
      </c>
      <c r="C594" s="3" t="s">
        <v>567</v>
      </c>
      <c r="D594" s="3" t="s">
        <v>12</v>
      </c>
      <c r="E594" s="3" t="s">
        <v>568</v>
      </c>
      <c r="F594" s="3" t="n">
        <v>9200</v>
      </c>
      <c r="G594" s="3"/>
      <c r="H594" s="3"/>
      <c r="I594" s="4" t="str">
        <f aca="false">IF(AND($A594&lt;&gt;"",$A594=Подбор!$C$4),MAX(I$1:I593)+1,"")</f>
        <v/>
      </c>
    </row>
    <row r="595" customFormat="false" ht="15" hidden="false" customHeight="false" outlineLevel="0" collapsed="false">
      <c r="A595" s="3" t="s">
        <v>611</v>
      </c>
      <c r="B595" s="3" t="s">
        <v>57</v>
      </c>
      <c r="C595" s="3" t="s">
        <v>567</v>
      </c>
      <c r="D595" s="3" t="s">
        <v>12</v>
      </c>
      <c r="E595" s="3" t="s">
        <v>612</v>
      </c>
      <c r="F595" s="3" t="n">
        <v>6000</v>
      </c>
      <c r="G595" s="3"/>
      <c r="H595" s="3"/>
      <c r="I595" s="4" t="str">
        <f aca="false">IF(AND($A595&lt;&gt;"",$A595=Подбор!$C$4),MAX(I$1:I594)+1,"")</f>
        <v/>
      </c>
    </row>
    <row r="596" customFormat="false" ht="15" hidden="false" customHeight="false" outlineLevel="0" collapsed="false">
      <c r="A596" s="3" t="s">
        <v>613</v>
      </c>
      <c r="B596" s="3" t="s">
        <v>57</v>
      </c>
      <c r="C596" s="3" t="s">
        <v>567</v>
      </c>
      <c r="D596" s="3" t="s">
        <v>12</v>
      </c>
      <c r="E596" s="3" t="s">
        <v>612</v>
      </c>
      <c r="F596" s="3" t="n">
        <v>6000</v>
      </c>
      <c r="G596" s="3"/>
      <c r="H596" s="3"/>
      <c r="I596" s="4" t="str">
        <f aca="false">IF(AND($A596&lt;&gt;"",$A596=Подбор!$C$4),MAX(I$1:I595)+1,"")</f>
        <v/>
      </c>
    </row>
    <row r="597" customFormat="false" ht="15" hidden="false" customHeight="false" outlineLevel="0" collapsed="false">
      <c r="A597" s="3" t="s">
        <v>614</v>
      </c>
      <c r="B597" s="3" t="s">
        <v>57</v>
      </c>
      <c r="C597" s="3" t="s">
        <v>567</v>
      </c>
      <c r="D597" s="3" t="s">
        <v>12</v>
      </c>
      <c r="E597" s="3" t="s">
        <v>568</v>
      </c>
      <c r="F597" s="3" t="n">
        <v>9200</v>
      </c>
      <c r="G597" s="3"/>
      <c r="H597" s="3"/>
      <c r="I597" s="4" t="str">
        <f aca="false">IF(AND($A597&lt;&gt;"",$A597=Подбор!$C$4),MAX(I$1:I596)+1,"")</f>
        <v/>
      </c>
    </row>
    <row r="598" customFormat="false" ht="15" hidden="false" customHeight="false" outlineLevel="0" collapsed="false">
      <c r="A598" s="3" t="s">
        <v>615</v>
      </c>
      <c r="B598" s="3" t="s">
        <v>57</v>
      </c>
      <c r="C598" s="3" t="s">
        <v>567</v>
      </c>
      <c r="D598" s="3" t="s">
        <v>12</v>
      </c>
      <c r="E598" s="3" t="s">
        <v>605</v>
      </c>
      <c r="F598" s="3" t="n">
        <v>2300</v>
      </c>
      <c r="G598" s="3"/>
      <c r="H598" s="3"/>
      <c r="I598" s="4" t="str">
        <f aca="false">IF(AND($A598&lt;&gt;"",$A598=Подбор!$C$4),MAX(I$1:I597)+1,"")</f>
        <v/>
      </c>
    </row>
    <row r="599" customFormat="false" ht="15" hidden="false" customHeight="false" outlineLevel="0" collapsed="false">
      <c r="A599" s="3" t="s">
        <v>616</v>
      </c>
      <c r="B599" s="3" t="s">
        <v>57</v>
      </c>
      <c r="C599" s="3" t="s">
        <v>11</v>
      </c>
      <c r="D599" s="3" t="s">
        <v>12</v>
      </c>
      <c r="E599" s="3" t="s">
        <v>617</v>
      </c>
      <c r="F599" s="3" t="n">
        <v>6000</v>
      </c>
      <c r="G599" s="3"/>
      <c r="H599" s="3"/>
      <c r="I599" s="4" t="str">
        <f aca="false">IF(AND($A599&lt;&gt;"",$A599=Подбор!$C$4),MAX(I$1:I598)+1,"")</f>
        <v/>
      </c>
    </row>
    <row r="600" customFormat="false" ht="15" hidden="false" customHeight="false" outlineLevel="0" collapsed="false">
      <c r="A600" s="3" t="s">
        <v>618</v>
      </c>
      <c r="B600" s="3" t="s">
        <v>57</v>
      </c>
      <c r="C600" s="3" t="s">
        <v>567</v>
      </c>
      <c r="D600" s="3" t="s">
        <v>12</v>
      </c>
      <c r="E600" s="3" t="s">
        <v>619</v>
      </c>
      <c r="F600" s="3" t="n">
        <v>10000</v>
      </c>
      <c r="G600" s="3"/>
      <c r="H600" s="3"/>
      <c r="I600" s="4" t="str">
        <f aca="false">IF(AND($A600&lt;&gt;"",$A600=Подбор!$C$4),MAX(I$1:I599)+1,"")</f>
        <v/>
      </c>
    </row>
    <row r="601" customFormat="false" ht="15" hidden="false" customHeight="false" outlineLevel="0" collapsed="false">
      <c r="A601" s="3" t="s">
        <v>620</v>
      </c>
      <c r="B601" s="3" t="s">
        <v>57</v>
      </c>
      <c r="C601" s="3" t="s">
        <v>567</v>
      </c>
      <c r="D601" s="3" t="s">
        <v>12</v>
      </c>
      <c r="E601" s="3" t="s">
        <v>621</v>
      </c>
      <c r="F601" s="3" t="n">
        <v>1000</v>
      </c>
      <c r="G601" s="3"/>
      <c r="H601" s="3"/>
      <c r="I601" s="4" t="str">
        <f aca="false">IF(AND($A601&lt;&gt;"",$A601=Подбор!$C$4),MAX(I$1:I600)+1,"")</f>
        <v/>
      </c>
    </row>
    <row r="602" customFormat="false" ht="15" hidden="false" customHeight="false" outlineLevel="0" collapsed="false">
      <c r="A602" s="3" t="s">
        <v>622</v>
      </c>
      <c r="B602" s="3" t="s">
        <v>57</v>
      </c>
      <c r="C602" s="3" t="s">
        <v>567</v>
      </c>
      <c r="D602" s="3" t="s">
        <v>12</v>
      </c>
      <c r="E602" s="3" t="s">
        <v>623</v>
      </c>
      <c r="F602" s="3" t="n">
        <v>3000</v>
      </c>
      <c r="G602" s="3"/>
      <c r="H602" s="3"/>
      <c r="I602" s="4" t="str">
        <f aca="false">IF(AND($A602&lt;&gt;"",$A602=Подбор!$C$4),MAX(I$1:I601)+1,"")</f>
        <v/>
      </c>
    </row>
    <row r="603" customFormat="false" ht="15" hidden="false" customHeight="false" outlineLevel="0" collapsed="false">
      <c r="A603" s="3" t="s">
        <v>624</v>
      </c>
      <c r="B603" s="3" t="s">
        <v>57</v>
      </c>
      <c r="C603" s="3" t="s">
        <v>567</v>
      </c>
      <c r="D603" s="3" t="s">
        <v>12</v>
      </c>
      <c r="E603" s="3" t="s">
        <v>623</v>
      </c>
      <c r="F603" s="3" t="n">
        <v>3000</v>
      </c>
      <c r="G603" s="3"/>
      <c r="H603" s="3"/>
      <c r="I603" s="4" t="str">
        <f aca="false">IF(AND($A603&lt;&gt;"",$A603=Подбор!$C$4),MAX(I$1:I602)+1,"")</f>
        <v/>
      </c>
    </row>
    <row r="604" customFormat="false" ht="15" hidden="false" customHeight="false" outlineLevel="0" collapsed="false">
      <c r="A604" s="3" t="s">
        <v>625</v>
      </c>
      <c r="B604" s="3" t="s">
        <v>57</v>
      </c>
      <c r="C604" s="3" t="s">
        <v>567</v>
      </c>
      <c r="D604" s="3" t="s">
        <v>12</v>
      </c>
      <c r="E604" s="3" t="s">
        <v>626</v>
      </c>
      <c r="F604" s="3" t="n">
        <v>10000</v>
      </c>
      <c r="G604" s="3"/>
      <c r="H604" s="3"/>
      <c r="I604" s="4" t="str">
        <f aca="false">IF(AND($A604&lt;&gt;"",$A604=Подбор!$C$4),MAX(I$1:I603)+1,"")</f>
        <v/>
      </c>
    </row>
    <row r="605" customFormat="false" ht="15" hidden="false" customHeight="false" outlineLevel="0" collapsed="false">
      <c r="A605" s="3" t="s">
        <v>627</v>
      </c>
      <c r="B605" s="3" t="s">
        <v>57</v>
      </c>
      <c r="C605" s="3" t="s">
        <v>11</v>
      </c>
      <c r="D605" s="3" t="s">
        <v>12</v>
      </c>
      <c r="E605" s="3" t="s">
        <v>628</v>
      </c>
      <c r="F605" s="3" t="n">
        <v>13500</v>
      </c>
      <c r="G605" s="3"/>
      <c r="H605" s="3"/>
      <c r="I605" s="4" t="str">
        <f aca="false">IF(AND($A605&lt;&gt;"",$A605=Подбор!$C$4),MAX(I$1:I604)+1,"")</f>
        <v/>
      </c>
    </row>
    <row r="606" customFormat="false" ht="15" hidden="false" customHeight="false" outlineLevel="0" collapsed="false">
      <c r="A606" s="3" t="s">
        <v>629</v>
      </c>
      <c r="B606" s="3" t="s">
        <v>57</v>
      </c>
      <c r="C606" s="3" t="s">
        <v>11</v>
      </c>
      <c r="D606" s="3" t="s">
        <v>12</v>
      </c>
      <c r="E606" s="3" t="s">
        <v>630</v>
      </c>
      <c r="F606" s="3" t="n">
        <v>2500</v>
      </c>
      <c r="G606" s="3"/>
      <c r="H606" s="3"/>
      <c r="I606" s="4" t="str">
        <f aca="false">IF(AND($A606&lt;&gt;"",$A606=Подбор!$C$4),MAX(I$1:I605)+1,"")</f>
        <v/>
      </c>
    </row>
    <row r="607" customFormat="false" ht="15" hidden="false" customHeight="false" outlineLevel="0" collapsed="false">
      <c r="A607" s="3" t="s">
        <v>631</v>
      </c>
      <c r="B607" s="3" t="s">
        <v>57</v>
      </c>
      <c r="C607" s="3" t="s">
        <v>11</v>
      </c>
      <c r="D607" s="3" t="s">
        <v>12</v>
      </c>
      <c r="E607" s="3" t="s">
        <v>485</v>
      </c>
      <c r="F607" s="3" t="n">
        <v>26000</v>
      </c>
      <c r="G607" s="3"/>
      <c r="H607" s="3"/>
      <c r="I607" s="4" t="str">
        <f aca="false">IF(AND($A607&lt;&gt;"",$A607=Подбор!$C$4),MAX(I$1:I606)+1,"")</f>
        <v/>
      </c>
    </row>
    <row r="608" customFormat="false" ht="15" hidden="false" customHeight="false" outlineLevel="0" collapsed="false">
      <c r="A608" s="3" t="s">
        <v>632</v>
      </c>
      <c r="B608" s="3" t="s">
        <v>57</v>
      </c>
      <c r="C608" s="3" t="s">
        <v>11</v>
      </c>
      <c r="D608" s="3" t="s">
        <v>12</v>
      </c>
      <c r="E608" s="3" t="s">
        <v>633</v>
      </c>
      <c r="F608" s="3" t="n">
        <v>7000</v>
      </c>
      <c r="G608" s="3"/>
      <c r="H608" s="3"/>
      <c r="I608" s="4" t="str">
        <f aca="false">IF(AND($A608&lt;&gt;"",$A608=Подбор!$C$4),MAX(I$1:I607)+1,"")</f>
        <v/>
      </c>
    </row>
    <row r="609" customFormat="false" ht="15" hidden="false" customHeight="false" outlineLevel="0" collapsed="false">
      <c r="A609" s="3" t="s">
        <v>634</v>
      </c>
      <c r="B609" s="3" t="s">
        <v>57</v>
      </c>
      <c r="C609" s="3" t="s">
        <v>11</v>
      </c>
      <c r="D609" s="3" t="s">
        <v>12</v>
      </c>
      <c r="E609" s="3" t="s">
        <v>635</v>
      </c>
      <c r="F609" s="3" t="n">
        <v>25000</v>
      </c>
      <c r="G609" s="3"/>
      <c r="H609" s="3"/>
      <c r="I609" s="4" t="str">
        <f aca="false">IF(AND($A609&lt;&gt;"",$A609=Подбор!$C$4),MAX(I$1:I608)+1,"")</f>
        <v/>
      </c>
    </row>
    <row r="610" customFormat="false" ht="15" hidden="false" customHeight="false" outlineLevel="0" collapsed="false">
      <c r="A610" s="3" t="s">
        <v>636</v>
      </c>
      <c r="B610" s="3" t="s">
        <v>57</v>
      </c>
      <c r="C610" s="3" t="s">
        <v>11</v>
      </c>
      <c r="D610" s="3" t="s">
        <v>12</v>
      </c>
      <c r="E610" s="3" t="s">
        <v>637</v>
      </c>
      <c r="F610" s="3" t="n">
        <v>15000</v>
      </c>
      <c r="G610" s="3"/>
      <c r="H610" s="3"/>
      <c r="I610" s="4" t="str">
        <f aca="false">IF(AND($A610&lt;&gt;"",$A610=Подбор!$C$4),MAX(I$1:I609)+1,"")</f>
        <v/>
      </c>
    </row>
    <row r="611" customFormat="false" ht="15" hidden="false" customHeight="false" outlineLevel="0" collapsed="false">
      <c r="A611" s="3" t="s">
        <v>638</v>
      </c>
      <c r="B611" s="3" t="s">
        <v>57</v>
      </c>
      <c r="C611" s="3" t="s">
        <v>11</v>
      </c>
      <c r="D611" s="3" t="s">
        <v>12</v>
      </c>
      <c r="E611" s="3" t="s">
        <v>639</v>
      </c>
      <c r="F611" s="3" t="n">
        <v>8000</v>
      </c>
      <c r="G611" s="3"/>
      <c r="H611" s="3"/>
      <c r="I611" s="4" t="str">
        <f aca="false">IF(AND($A611&lt;&gt;"",$A611=Подбор!$C$4),MAX(I$1:I610)+1,"")</f>
        <v/>
      </c>
    </row>
    <row r="612" customFormat="false" ht="15" hidden="false" customHeight="false" outlineLevel="0" collapsed="false">
      <c r="A612" s="3" t="s">
        <v>640</v>
      </c>
      <c r="B612" s="3" t="s">
        <v>57</v>
      </c>
      <c r="C612" s="3" t="s">
        <v>11</v>
      </c>
      <c r="D612" s="3" t="s">
        <v>12</v>
      </c>
      <c r="E612" s="3" t="s">
        <v>641</v>
      </c>
      <c r="F612" s="3" t="n">
        <v>12000</v>
      </c>
      <c r="G612" s="3"/>
      <c r="H612" s="3"/>
      <c r="I612" s="4" t="str">
        <f aca="false">IF(AND($A612&lt;&gt;"",$A612=Подбор!$C$4),MAX(I$1:I611)+1,"")</f>
        <v/>
      </c>
    </row>
    <row r="613" customFormat="false" ht="15" hidden="false" customHeight="false" outlineLevel="0" collapsed="false">
      <c r="A613" s="3" t="s">
        <v>642</v>
      </c>
      <c r="B613" s="3" t="s">
        <v>57</v>
      </c>
      <c r="C613" s="3" t="s">
        <v>11</v>
      </c>
      <c r="D613" s="3" t="s">
        <v>12</v>
      </c>
      <c r="E613" s="3" t="s">
        <v>643</v>
      </c>
      <c r="F613" s="3" t="n">
        <v>26000</v>
      </c>
      <c r="G613" s="3"/>
      <c r="H613" s="3"/>
      <c r="I613" s="4" t="str">
        <f aca="false">IF(AND($A613&lt;&gt;"",$A613=Подбор!$C$4),MAX(I$1:I612)+1,"")</f>
        <v/>
      </c>
    </row>
    <row r="614" customFormat="false" ht="15" hidden="false" customHeight="false" outlineLevel="0" collapsed="false">
      <c r="A614" s="3" t="s">
        <v>644</v>
      </c>
      <c r="B614" s="3" t="s">
        <v>57</v>
      </c>
      <c r="C614" s="3" t="s">
        <v>11</v>
      </c>
      <c r="D614" s="3" t="s">
        <v>12</v>
      </c>
      <c r="E614" s="3" t="s">
        <v>643</v>
      </c>
      <c r="F614" s="3" t="n">
        <v>26000</v>
      </c>
      <c r="G614" s="3"/>
      <c r="H614" s="3"/>
      <c r="I614" s="4" t="str">
        <f aca="false">IF(AND($A614&lt;&gt;"",$A614=Подбор!$C$4),MAX(I$1:I613)+1,"")</f>
        <v/>
      </c>
    </row>
    <row r="615" customFormat="false" ht="15" hidden="false" customHeight="false" outlineLevel="0" collapsed="false">
      <c r="A615" s="3" t="s">
        <v>645</v>
      </c>
      <c r="B615" s="3" t="s">
        <v>57</v>
      </c>
      <c r="C615" s="3" t="s">
        <v>11</v>
      </c>
      <c r="D615" s="3" t="s">
        <v>12</v>
      </c>
      <c r="E615" s="3" t="s">
        <v>646</v>
      </c>
      <c r="F615" s="3" t="n">
        <v>1000</v>
      </c>
      <c r="G615" s="3"/>
      <c r="H615" s="3"/>
      <c r="I615" s="4" t="str">
        <f aca="false">IF(AND($A615&lt;&gt;"",$A615=Подбор!$C$4),MAX(I$1:I614)+1,"")</f>
        <v/>
      </c>
    </row>
    <row r="616" customFormat="false" ht="15" hidden="false" customHeight="false" outlineLevel="0" collapsed="false">
      <c r="A616" s="3" t="s">
        <v>647</v>
      </c>
      <c r="B616" s="3" t="s">
        <v>57</v>
      </c>
      <c r="C616" s="3" t="s">
        <v>11</v>
      </c>
      <c r="D616" s="3" t="s">
        <v>12</v>
      </c>
      <c r="E616" s="3" t="s">
        <v>393</v>
      </c>
      <c r="F616" s="3" t="n">
        <v>1500</v>
      </c>
      <c r="G616" s="3"/>
      <c r="H616" s="3"/>
      <c r="I616" s="4" t="str">
        <f aca="false">IF(AND($A616&lt;&gt;"",$A616=Подбор!$C$4),MAX(I$1:I615)+1,"")</f>
        <v/>
      </c>
    </row>
    <row r="617" customFormat="false" ht="15" hidden="false" customHeight="false" outlineLevel="0" collapsed="false">
      <c r="A617" s="3" t="s">
        <v>648</v>
      </c>
      <c r="B617" s="3" t="s">
        <v>57</v>
      </c>
      <c r="C617" s="3" t="s">
        <v>11</v>
      </c>
      <c r="D617" s="3" t="s">
        <v>12</v>
      </c>
      <c r="E617" s="3" t="s">
        <v>207</v>
      </c>
      <c r="F617" s="3" t="n">
        <v>2700</v>
      </c>
      <c r="G617" s="3"/>
      <c r="H617" s="3"/>
      <c r="I617" s="4" t="str">
        <f aca="false">IF(AND($A617&lt;&gt;"",$A617=Подбор!$C$4),MAX(I$1:I616)+1,"")</f>
        <v/>
      </c>
    </row>
    <row r="618" customFormat="false" ht="15" hidden="false" customHeight="false" outlineLevel="0" collapsed="false">
      <c r="A618" s="3" t="s">
        <v>649</v>
      </c>
      <c r="B618" s="3" t="s">
        <v>57</v>
      </c>
      <c r="C618" s="3" t="s">
        <v>11</v>
      </c>
      <c r="D618" s="3" t="s">
        <v>12</v>
      </c>
      <c r="E618" s="3" t="s">
        <v>650</v>
      </c>
      <c r="F618" s="3" t="n">
        <v>7000</v>
      </c>
      <c r="G618" s="3"/>
      <c r="H618" s="3"/>
      <c r="I618" s="4" t="str">
        <f aca="false">IF(AND($A618&lt;&gt;"",$A618=Подбор!$C$4),MAX(I$1:I617)+1,"")</f>
        <v/>
      </c>
    </row>
    <row r="619" customFormat="false" ht="15" hidden="false" customHeight="false" outlineLevel="0" collapsed="false">
      <c r="A619" s="3" t="s">
        <v>651</v>
      </c>
      <c r="B619" s="3" t="s">
        <v>57</v>
      </c>
      <c r="C619" s="3" t="s">
        <v>11</v>
      </c>
      <c r="D619" s="3" t="s">
        <v>12</v>
      </c>
      <c r="E619" s="3" t="s">
        <v>652</v>
      </c>
      <c r="F619" s="3" t="n">
        <v>4000</v>
      </c>
      <c r="G619" s="3"/>
      <c r="H619" s="3"/>
      <c r="I619" s="4" t="str">
        <f aca="false">IF(AND($A619&lt;&gt;"",$A619=Подбор!$C$4),MAX(I$1:I618)+1,"")</f>
        <v/>
      </c>
    </row>
    <row r="620" customFormat="false" ht="15" hidden="false" customHeight="false" outlineLevel="0" collapsed="false">
      <c r="A620" s="3" t="s">
        <v>653</v>
      </c>
      <c r="B620" s="3" t="s">
        <v>57</v>
      </c>
      <c r="C620" s="3" t="s">
        <v>11</v>
      </c>
      <c r="D620" s="3" t="s">
        <v>12</v>
      </c>
      <c r="E620" s="3" t="s">
        <v>650</v>
      </c>
      <c r="F620" s="3" t="n">
        <v>7000</v>
      </c>
      <c r="G620" s="3"/>
      <c r="H620" s="3"/>
      <c r="I620" s="4" t="str">
        <f aca="false">IF(AND($A620&lt;&gt;"",$A620=Подбор!$C$4),MAX(I$1:I619)+1,"")</f>
        <v/>
      </c>
    </row>
    <row r="621" customFormat="false" ht="15" hidden="false" customHeight="false" outlineLevel="0" collapsed="false">
      <c r="A621" s="3" t="s">
        <v>654</v>
      </c>
      <c r="B621" s="3" t="s">
        <v>57</v>
      </c>
      <c r="C621" s="3" t="s">
        <v>11</v>
      </c>
      <c r="D621" s="3" t="s">
        <v>12</v>
      </c>
      <c r="E621" s="3" t="s">
        <v>393</v>
      </c>
      <c r="F621" s="3" t="n">
        <v>1500</v>
      </c>
      <c r="G621" s="3"/>
      <c r="H621" s="3"/>
      <c r="I621" s="4" t="str">
        <f aca="false">IF(AND($A621&lt;&gt;"",$A621=Подбор!$C$4),MAX(I$1:I620)+1,"")</f>
        <v/>
      </c>
    </row>
    <row r="622" customFormat="false" ht="15" hidden="false" customHeight="false" outlineLevel="0" collapsed="false">
      <c r="A622" s="3" t="s">
        <v>655</v>
      </c>
      <c r="B622" s="3" t="s">
        <v>57</v>
      </c>
      <c r="C622" s="3" t="s">
        <v>11</v>
      </c>
      <c r="D622" s="3" t="s">
        <v>12</v>
      </c>
      <c r="E622" s="3" t="s">
        <v>91</v>
      </c>
      <c r="F622" s="3" t="n">
        <v>2200</v>
      </c>
      <c r="G622" s="3"/>
      <c r="H622" s="3"/>
      <c r="I622" s="4" t="str">
        <f aca="false">IF(AND($A622&lt;&gt;"",$A622=Подбор!$C$4),MAX(I$1:I621)+1,"")</f>
        <v/>
      </c>
    </row>
    <row r="623" customFormat="false" ht="15" hidden="false" customHeight="false" outlineLevel="0" collapsed="false">
      <c r="A623" s="3" t="s">
        <v>656</v>
      </c>
      <c r="B623" s="3" t="s">
        <v>57</v>
      </c>
      <c r="C623" s="3" t="s">
        <v>11</v>
      </c>
      <c r="D623" s="3" t="s">
        <v>12</v>
      </c>
      <c r="E623" s="3" t="s">
        <v>657</v>
      </c>
      <c r="F623" s="3" t="n">
        <v>3000</v>
      </c>
      <c r="G623" s="3"/>
      <c r="H623" s="3"/>
      <c r="I623" s="4" t="str">
        <f aca="false">IF(AND($A623&lt;&gt;"",$A623=Подбор!$C$4),MAX(I$1:I622)+1,"")</f>
        <v/>
      </c>
    </row>
    <row r="624" customFormat="false" ht="15" hidden="false" customHeight="false" outlineLevel="0" collapsed="false">
      <c r="A624" s="3" t="s">
        <v>658</v>
      </c>
      <c r="B624" s="3" t="s">
        <v>57</v>
      </c>
      <c r="C624" s="3" t="s">
        <v>11</v>
      </c>
      <c r="D624" s="3" t="s">
        <v>12</v>
      </c>
      <c r="E624" s="3" t="s">
        <v>659</v>
      </c>
      <c r="F624" s="3" t="n">
        <v>12000</v>
      </c>
      <c r="G624" s="3"/>
      <c r="H624" s="3"/>
      <c r="I624" s="4" t="str">
        <f aca="false">IF(AND($A624&lt;&gt;"",$A624=Подбор!$C$4),MAX(I$1:I623)+1,"")</f>
        <v/>
      </c>
    </row>
    <row r="625" customFormat="false" ht="15" hidden="false" customHeight="false" outlineLevel="0" collapsed="false">
      <c r="A625" s="3" t="s">
        <v>660</v>
      </c>
      <c r="B625" s="3" t="s">
        <v>57</v>
      </c>
      <c r="C625" s="3" t="s">
        <v>11</v>
      </c>
      <c r="D625" s="3" t="s">
        <v>12</v>
      </c>
      <c r="E625" s="3" t="s">
        <v>393</v>
      </c>
      <c r="F625" s="3" t="n">
        <v>1500</v>
      </c>
      <c r="G625" s="3"/>
      <c r="H625" s="3"/>
      <c r="I625" s="4" t="str">
        <f aca="false">IF(AND($A625&lt;&gt;"",$A625=Подбор!$C$4),MAX(I$1:I624)+1,"")</f>
        <v/>
      </c>
    </row>
    <row r="626" customFormat="false" ht="15" hidden="false" customHeight="false" outlineLevel="0" collapsed="false">
      <c r="A626" s="3" t="s">
        <v>661</v>
      </c>
      <c r="B626" s="3" t="s">
        <v>57</v>
      </c>
      <c r="C626" s="3" t="s">
        <v>11</v>
      </c>
      <c r="D626" s="3" t="s">
        <v>12</v>
      </c>
      <c r="E626" s="3" t="s">
        <v>594</v>
      </c>
      <c r="F626" s="3" t="n">
        <v>25000</v>
      </c>
      <c r="G626" s="3"/>
      <c r="H626" s="3"/>
      <c r="I626" s="4" t="str">
        <f aca="false">IF(AND($A626&lt;&gt;"",$A626=Подбор!$C$4),MAX(I$1:I625)+1,"")</f>
        <v/>
      </c>
    </row>
    <row r="627" customFormat="false" ht="15" hidden="false" customHeight="false" outlineLevel="0" collapsed="false">
      <c r="A627" s="3" t="s">
        <v>662</v>
      </c>
      <c r="B627" s="3" t="s">
        <v>57</v>
      </c>
      <c r="C627" s="3" t="s">
        <v>11</v>
      </c>
      <c r="D627" s="3" t="s">
        <v>12</v>
      </c>
      <c r="E627" s="3" t="s">
        <v>594</v>
      </c>
      <c r="F627" s="3" t="n">
        <v>25000</v>
      </c>
      <c r="G627" s="3"/>
      <c r="H627" s="3"/>
      <c r="I627" s="4" t="str">
        <f aca="false">IF(AND($A627&lt;&gt;"",$A627=Подбор!$C$4),MAX(I$1:I626)+1,"")</f>
        <v/>
      </c>
    </row>
    <row r="628" customFormat="false" ht="15" hidden="false" customHeight="false" outlineLevel="0" collapsed="false">
      <c r="A628" s="3" t="s">
        <v>663</v>
      </c>
      <c r="B628" s="3" t="s">
        <v>57</v>
      </c>
      <c r="C628" s="3" t="s">
        <v>11</v>
      </c>
      <c r="D628" s="3" t="s">
        <v>12</v>
      </c>
      <c r="E628" s="3" t="s">
        <v>594</v>
      </c>
      <c r="F628" s="3" t="n">
        <v>25000</v>
      </c>
      <c r="G628" s="3"/>
      <c r="H628" s="3"/>
      <c r="I628" s="4" t="str">
        <f aca="false">IF(AND($A628&lt;&gt;"",$A628=Подбор!$C$4),MAX(I$1:I627)+1,"")</f>
        <v/>
      </c>
    </row>
    <row r="629" customFormat="false" ht="15" hidden="false" customHeight="false" outlineLevel="0" collapsed="false">
      <c r="A629" s="3" t="s">
        <v>664</v>
      </c>
      <c r="B629" s="3" t="s">
        <v>57</v>
      </c>
      <c r="C629" s="3" t="s">
        <v>11</v>
      </c>
      <c r="D629" s="3" t="s">
        <v>12</v>
      </c>
      <c r="E629" s="3" t="s">
        <v>665</v>
      </c>
      <c r="F629" s="3" t="n">
        <v>25000</v>
      </c>
      <c r="G629" s="3"/>
      <c r="H629" s="3"/>
      <c r="I629" s="4" t="str">
        <f aca="false">IF(AND($A629&lt;&gt;"",$A629=Подбор!$C$4),MAX(I$1:I628)+1,"")</f>
        <v/>
      </c>
    </row>
    <row r="630" customFormat="false" ht="15" hidden="false" customHeight="false" outlineLevel="0" collapsed="false">
      <c r="A630" s="3" t="s">
        <v>666</v>
      </c>
      <c r="B630" s="3" t="s">
        <v>57</v>
      </c>
      <c r="C630" s="3" t="s">
        <v>11</v>
      </c>
      <c r="D630" s="3" t="s">
        <v>12</v>
      </c>
      <c r="E630" s="3" t="s">
        <v>665</v>
      </c>
      <c r="F630" s="3" t="n">
        <v>25000</v>
      </c>
      <c r="G630" s="3"/>
      <c r="H630" s="3"/>
      <c r="I630" s="4" t="str">
        <f aca="false">IF(AND($A630&lt;&gt;"",$A630=Подбор!$C$4),MAX(I$1:I629)+1,"")</f>
        <v/>
      </c>
    </row>
    <row r="631" customFormat="false" ht="15" hidden="false" customHeight="false" outlineLevel="0" collapsed="false">
      <c r="A631" s="3" t="s">
        <v>667</v>
      </c>
      <c r="B631" s="3" t="s">
        <v>57</v>
      </c>
      <c r="C631" s="3" t="s">
        <v>11</v>
      </c>
      <c r="D631" s="3" t="s">
        <v>12</v>
      </c>
      <c r="E631" s="3" t="s">
        <v>485</v>
      </c>
      <c r="F631" s="3" t="n">
        <v>26000</v>
      </c>
      <c r="G631" s="3"/>
      <c r="H631" s="3"/>
      <c r="I631" s="4" t="str">
        <f aca="false">IF(AND($A631&lt;&gt;"",$A631=Подбор!$C$4),MAX(I$1:I630)+1,"")</f>
        <v/>
      </c>
    </row>
    <row r="632" customFormat="false" ht="15" hidden="false" customHeight="false" outlineLevel="0" collapsed="false">
      <c r="A632" s="3" t="s">
        <v>668</v>
      </c>
      <c r="B632" s="3" t="s">
        <v>57</v>
      </c>
      <c r="C632" s="3" t="s">
        <v>11</v>
      </c>
      <c r="D632" s="3" t="s">
        <v>12</v>
      </c>
      <c r="E632" s="3" t="s">
        <v>97</v>
      </c>
      <c r="F632" s="3" t="n">
        <v>1600</v>
      </c>
      <c r="G632" s="3"/>
      <c r="H632" s="3"/>
      <c r="I632" s="4" t="str">
        <f aca="false">IF(AND($A632&lt;&gt;"",$A632=Подбор!$C$4),MAX(I$1:I631)+1,"")</f>
        <v/>
      </c>
    </row>
    <row r="633" customFormat="false" ht="15" hidden="false" customHeight="false" outlineLevel="0" collapsed="false">
      <c r="A633" s="3" t="s">
        <v>669</v>
      </c>
      <c r="B633" s="3" t="s">
        <v>57</v>
      </c>
      <c r="C633" s="3" t="s">
        <v>11</v>
      </c>
      <c r="D633" s="3" t="s">
        <v>12</v>
      </c>
      <c r="E633" s="3" t="s">
        <v>670</v>
      </c>
      <c r="F633" s="3" t="n">
        <v>2100</v>
      </c>
      <c r="G633" s="3"/>
      <c r="H633" s="3"/>
      <c r="I633" s="4" t="str">
        <f aca="false">IF(AND($A633&lt;&gt;"",$A633=Подбор!$C$4),MAX(I$1:I632)+1,"")</f>
        <v/>
      </c>
    </row>
    <row r="634" customFormat="false" ht="15" hidden="false" customHeight="false" outlineLevel="0" collapsed="false">
      <c r="A634" s="3" t="s">
        <v>671</v>
      </c>
      <c r="B634" s="3" t="s">
        <v>57</v>
      </c>
      <c r="C634" s="3" t="s">
        <v>11</v>
      </c>
      <c r="D634" s="3" t="s">
        <v>12</v>
      </c>
      <c r="E634" s="3" t="s">
        <v>672</v>
      </c>
      <c r="F634" s="3" t="n">
        <v>25000</v>
      </c>
      <c r="G634" s="3"/>
      <c r="H634" s="3"/>
      <c r="I634" s="4" t="str">
        <f aca="false">IF(AND($A634&lt;&gt;"",$A634=Подбор!$C$4),MAX(I$1:I633)+1,"")</f>
        <v/>
      </c>
    </row>
    <row r="635" customFormat="false" ht="15" hidden="false" customHeight="false" outlineLevel="0" collapsed="false">
      <c r="A635" s="3" t="s">
        <v>673</v>
      </c>
      <c r="B635" s="3" t="s">
        <v>57</v>
      </c>
      <c r="C635" s="3" t="s">
        <v>11</v>
      </c>
      <c r="D635" s="3" t="s">
        <v>12</v>
      </c>
      <c r="E635" s="3" t="s">
        <v>182</v>
      </c>
      <c r="F635" s="3" t="n">
        <v>2000</v>
      </c>
      <c r="G635" s="3"/>
      <c r="H635" s="3"/>
      <c r="I635" s="4" t="str">
        <f aca="false">IF(AND($A635&lt;&gt;"",$A635=Подбор!$C$4),MAX(I$1:I634)+1,"")</f>
        <v/>
      </c>
    </row>
    <row r="636" customFormat="false" ht="15" hidden="false" customHeight="false" outlineLevel="0" collapsed="false">
      <c r="A636" s="3" t="s">
        <v>674</v>
      </c>
      <c r="B636" s="3" t="s">
        <v>57</v>
      </c>
      <c r="C636" s="3" t="s">
        <v>11</v>
      </c>
      <c r="D636" s="3" t="s">
        <v>12</v>
      </c>
      <c r="E636" s="3" t="s">
        <v>89</v>
      </c>
      <c r="F636" s="3" t="n">
        <v>2000</v>
      </c>
      <c r="G636" s="3"/>
      <c r="H636" s="3"/>
      <c r="I636" s="4" t="str">
        <f aca="false">IF(AND($A636&lt;&gt;"",$A636=Подбор!$C$4),MAX(I$1:I635)+1,"")</f>
        <v/>
      </c>
    </row>
    <row r="637" customFormat="false" ht="15" hidden="false" customHeight="false" outlineLevel="0" collapsed="false">
      <c r="A637" s="3" t="s">
        <v>675</v>
      </c>
      <c r="B637" s="3" t="s">
        <v>57</v>
      </c>
      <c r="C637" s="3" t="s">
        <v>11</v>
      </c>
      <c r="D637" s="3" t="s">
        <v>12</v>
      </c>
      <c r="E637" s="3" t="s">
        <v>89</v>
      </c>
      <c r="F637" s="3" t="n">
        <v>2000</v>
      </c>
      <c r="G637" s="3"/>
      <c r="H637" s="3"/>
      <c r="I637" s="4" t="str">
        <f aca="false">IF(AND($A637&lt;&gt;"",$A637=Подбор!$C$4),MAX(I$1:I636)+1,"")</f>
        <v/>
      </c>
    </row>
    <row r="638" customFormat="false" ht="15" hidden="false" customHeight="false" outlineLevel="0" collapsed="false">
      <c r="A638" s="3" t="s">
        <v>676</v>
      </c>
      <c r="B638" s="3" t="s">
        <v>57</v>
      </c>
      <c r="C638" s="3" t="s">
        <v>11</v>
      </c>
      <c r="D638" s="3" t="s">
        <v>12</v>
      </c>
      <c r="E638" s="3" t="s">
        <v>89</v>
      </c>
      <c r="F638" s="3" t="n">
        <v>2000</v>
      </c>
      <c r="G638" s="3"/>
      <c r="H638" s="3"/>
      <c r="I638" s="4" t="str">
        <f aca="false">IF(AND($A638&lt;&gt;"",$A638=Подбор!$C$4),MAX(I$1:I637)+1,"")</f>
        <v/>
      </c>
    </row>
    <row r="639" customFormat="false" ht="15" hidden="false" customHeight="false" outlineLevel="0" collapsed="false">
      <c r="A639" s="3" t="s">
        <v>677</v>
      </c>
      <c r="B639" s="3" t="s">
        <v>57</v>
      </c>
      <c r="C639" s="3" t="s">
        <v>11</v>
      </c>
      <c r="D639" s="3" t="s">
        <v>12</v>
      </c>
      <c r="E639" s="3" t="s">
        <v>678</v>
      </c>
      <c r="F639" s="3" t="n">
        <v>2500</v>
      </c>
      <c r="G639" s="3"/>
      <c r="H639" s="3"/>
      <c r="I639" s="4" t="str">
        <f aca="false">IF(AND($A639&lt;&gt;"",$A639=Подбор!$C$4),MAX(I$1:I638)+1,"")</f>
        <v/>
      </c>
    </row>
    <row r="640" customFormat="false" ht="15" hidden="false" customHeight="false" outlineLevel="0" collapsed="false">
      <c r="A640" s="3" t="s">
        <v>679</v>
      </c>
      <c r="B640" s="3" t="s">
        <v>57</v>
      </c>
      <c r="C640" s="3" t="s">
        <v>11</v>
      </c>
      <c r="D640" s="3" t="s">
        <v>12</v>
      </c>
      <c r="E640" s="3" t="s">
        <v>680</v>
      </c>
      <c r="F640" s="3" t="n">
        <v>12000</v>
      </c>
      <c r="G640" s="3"/>
      <c r="H640" s="3"/>
      <c r="I640" s="4" t="str">
        <f aca="false">IF(AND($A640&lt;&gt;"",$A640=Подбор!$C$4),MAX(I$1:I639)+1,"")</f>
        <v/>
      </c>
    </row>
    <row r="641" customFormat="false" ht="15" hidden="false" customHeight="false" outlineLevel="0" collapsed="false">
      <c r="A641" s="3" t="s">
        <v>681</v>
      </c>
      <c r="B641" s="3" t="s">
        <v>57</v>
      </c>
      <c r="C641" s="3" t="s">
        <v>11</v>
      </c>
      <c r="D641" s="3" t="s">
        <v>12</v>
      </c>
      <c r="E641" s="3" t="s">
        <v>682</v>
      </c>
      <c r="F641" s="3" t="n">
        <v>13000</v>
      </c>
      <c r="G641" s="3"/>
      <c r="H641" s="3"/>
      <c r="I641" s="4" t="str">
        <f aca="false">IF(AND($A641&lt;&gt;"",$A641=Подбор!$C$4),MAX(I$1:I640)+1,"")</f>
        <v/>
      </c>
    </row>
    <row r="642" customFormat="false" ht="15" hidden="false" customHeight="false" outlineLevel="0" collapsed="false">
      <c r="A642" s="3" t="s">
        <v>683</v>
      </c>
      <c r="B642" s="3" t="s">
        <v>57</v>
      </c>
      <c r="C642" s="3" t="s">
        <v>11</v>
      </c>
      <c r="D642" s="3" t="s">
        <v>12</v>
      </c>
      <c r="E642" s="3" t="s">
        <v>127</v>
      </c>
      <c r="F642" s="3" t="n">
        <v>6500</v>
      </c>
      <c r="G642" s="3"/>
      <c r="H642" s="3"/>
      <c r="I642" s="4" t="str">
        <f aca="false">IF(AND($A642&lt;&gt;"",$A642=Подбор!$C$4),MAX(I$1:I641)+1,"")</f>
        <v/>
      </c>
    </row>
    <row r="643" customFormat="false" ht="15" hidden="false" customHeight="false" outlineLevel="0" collapsed="false">
      <c r="A643" s="3" t="s">
        <v>684</v>
      </c>
      <c r="B643" s="3" t="s">
        <v>57</v>
      </c>
      <c r="C643" s="3" t="s">
        <v>11</v>
      </c>
      <c r="D643" s="3" t="s">
        <v>12</v>
      </c>
      <c r="E643" s="3" t="s">
        <v>685</v>
      </c>
      <c r="F643" s="3" t="n">
        <v>3000</v>
      </c>
      <c r="G643" s="3"/>
      <c r="H643" s="3"/>
      <c r="I643" s="4" t="str">
        <f aca="false">IF(AND($A643&lt;&gt;"",$A643=Подбор!$C$4),MAX(I$1:I642)+1,"")</f>
        <v/>
      </c>
    </row>
    <row r="644" customFormat="false" ht="15" hidden="false" customHeight="false" outlineLevel="0" collapsed="false">
      <c r="A644" s="3" t="s">
        <v>684</v>
      </c>
      <c r="B644" s="3" t="s">
        <v>57</v>
      </c>
      <c r="C644" s="3" t="s">
        <v>14</v>
      </c>
      <c r="D644" s="3" t="s">
        <v>15</v>
      </c>
      <c r="E644" s="3" t="s">
        <v>59</v>
      </c>
      <c r="F644" s="3" t="n">
        <v>23000</v>
      </c>
      <c r="G644" s="3"/>
      <c r="H644" s="3"/>
      <c r="I644" s="4" t="str">
        <f aca="false">IF(AND($A644&lt;&gt;"",$A644=Подбор!$C$4),MAX(I$1:I643)+1,"")</f>
        <v/>
      </c>
    </row>
    <row r="645" customFormat="false" ht="15" hidden="false" customHeight="false" outlineLevel="0" collapsed="false">
      <c r="A645" s="3" t="s">
        <v>686</v>
      </c>
      <c r="B645" s="3" t="s">
        <v>57</v>
      </c>
      <c r="C645" s="3" t="s">
        <v>11</v>
      </c>
      <c r="D645" s="3" t="s">
        <v>12</v>
      </c>
      <c r="E645" s="3" t="s">
        <v>687</v>
      </c>
      <c r="F645" s="3" t="n">
        <v>2400</v>
      </c>
      <c r="G645" s="3"/>
      <c r="H645" s="3"/>
      <c r="I645" s="4" t="str">
        <f aca="false">IF(AND($A645&lt;&gt;"",$A645=Подбор!$C$4),MAX(I$1:I644)+1,"")</f>
        <v/>
      </c>
    </row>
    <row r="646" customFormat="false" ht="15" hidden="false" customHeight="false" outlineLevel="0" collapsed="false">
      <c r="A646" s="3" t="s">
        <v>686</v>
      </c>
      <c r="B646" s="3" t="s">
        <v>57</v>
      </c>
      <c r="C646" s="3" t="s">
        <v>11</v>
      </c>
      <c r="D646" s="3" t="s">
        <v>21</v>
      </c>
      <c r="E646" s="3" t="s">
        <v>688</v>
      </c>
      <c r="F646" s="3" t="n">
        <v>2100</v>
      </c>
      <c r="G646" s="3"/>
      <c r="H646" s="3"/>
      <c r="I646" s="4" t="str">
        <f aca="false">IF(AND($A646&lt;&gt;"",$A646=Подбор!$C$4),MAX(I$1:I645)+1,"")</f>
        <v/>
      </c>
    </row>
    <row r="647" customFormat="false" ht="15" hidden="false" customHeight="false" outlineLevel="0" collapsed="false">
      <c r="A647" s="3" t="s">
        <v>686</v>
      </c>
      <c r="B647" s="3" t="s">
        <v>57</v>
      </c>
      <c r="C647" s="3" t="s">
        <v>11</v>
      </c>
      <c r="D647" s="3" t="s">
        <v>23</v>
      </c>
      <c r="E647" s="3" t="s">
        <v>689</v>
      </c>
      <c r="F647" s="3" t="n">
        <v>2100</v>
      </c>
      <c r="G647" s="3"/>
      <c r="H647" s="3"/>
      <c r="I647" s="4" t="str">
        <f aca="false">IF(AND($A647&lt;&gt;"",$A647=Подбор!$C$4),MAX(I$1:I646)+1,"")</f>
        <v/>
      </c>
    </row>
    <row r="648" customFormat="false" ht="15" hidden="false" customHeight="false" outlineLevel="0" collapsed="false">
      <c r="A648" s="3" t="s">
        <v>686</v>
      </c>
      <c r="B648" s="3" t="s">
        <v>57</v>
      </c>
      <c r="C648" s="3" t="s">
        <v>11</v>
      </c>
      <c r="D648" s="3" t="s">
        <v>25</v>
      </c>
      <c r="E648" s="3" t="s">
        <v>690</v>
      </c>
      <c r="F648" s="3" t="n">
        <v>2100</v>
      </c>
      <c r="G648" s="3"/>
      <c r="H648" s="3"/>
      <c r="I648" s="4" t="str">
        <f aca="false">IF(AND($A648&lt;&gt;"",$A648=Подбор!$C$4),MAX(I$1:I647)+1,"")</f>
        <v/>
      </c>
    </row>
    <row r="649" customFormat="false" ht="15" hidden="false" customHeight="false" outlineLevel="0" collapsed="false">
      <c r="A649" s="3" t="s">
        <v>691</v>
      </c>
      <c r="B649" s="3" t="s">
        <v>57</v>
      </c>
      <c r="C649" s="3" t="s">
        <v>11</v>
      </c>
      <c r="D649" s="3" t="s">
        <v>12</v>
      </c>
      <c r="E649" s="3" t="s">
        <v>87</v>
      </c>
      <c r="F649" s="3" t="n">
        <v>18000</v>
      </c>
      <c r="G649" s="3"/>
      <c r="H649" s="3"/>
      <c r="I649" s="4" t="str">
        <f aca="false">IF(AND($A649&lt;&gt;"",$A649=Подбор!$C$4),MAX(I$1:I648)+1,"")</f>
        <v/>
      </c>
    </row>
    <row r="650" customFormat="false" ht="15" hidden="false" customHeight="false" outlineLevel="0" collapsed="false">
      <c r="A650" s="3" t="s">
        <v>692</v>
      </c>
      <c r="B650" s="3" t="s">
        <v>57</v>
      </c>
      <c r="C650" s="3" t="s">
        <v>11</v>
      </c>
      <c r="D650" s="3" t="s">
        <v>12</v>
      </c>
      <c r="E650" s="3" t="s">
        <v>693</v>
      </c>
      <c r="F650" s="3" t="n">
        <v>2500</v>
      </c>
      <c r="G650" s="3"/>
      <c r="H650" s="3"/>
      <c r="I650" s="4" t="str">
        <f aca="false">IF(AND($A650&lt;&gt;"",$A650=Подбор!$C$4),MAX(I$1:I649)+1,"")</f>
        <v/>
      </c>
    </row>
    <row r="651" customFormat="false" ht="15" hidden="false" customHeight="false" outlineLevel="0" collapsed="false">
      <c r="A651" s="3" t="s">
        <v>694</v>
      </c>
      <c r="B651" s="3" t="s">
        <v>57</v>
      </c>
      <c r="C651" s="3" t="s">
        <v>11</v>
      </c>
      <c r="D651" s="3" t="s">
        <v>12</v>
      </c>
      <c r="E651" s="3" t="s">
        <v>693</v>
      </c>
      <c r="F651" s="3" t="n">
        <v>2500</v>
      </c>
      <c r="G651" s="3"/>
      <c r="H651" s="3"/>
      <c r="I651" s="4" t="str">
        <f aca="false">IF(AND($A651&lt;&gt;"",$A651=Подбор!$C$4),MAX(I$1:I650)+1,"")</f>
        <v/>
      </c>
    </row>
    <row r="652" customFormat="false" ht="15" hidden="false" customHeight="false" outlineLevel="0" collapsed="false">
      <c r="A652" s="3" t="s">
        <v>695</v>
      </c>
      <c r="B652" s="3" t="s">
        <v>57</v>
      </c>
      <c r="C652" s="3" t="s">
        <v>11</v>
      </c>
      <c r="D652" s="3" t="s">
        <v>12</v>
      </c>
      <c r="E652" s="3" t="s">
        <v>693</v>
      </c>
      <c r="F652" s="3" t="n">
        <v>2500</v>
      </c>
      <c r="G652" s="3"/>
      <c r="H652" s="3"/>
      <c r="I652" s="4" t="str">
        <f aca="false">IF(AND($A652&lt;&gt;"",$A652=Подбор!$C$4),MAX(I$1:I651)+1,"")</f>
        <v/>
      </c>
    </row>
    <row r="653" customFormat="false" ht="15" hidden="false" customHeight="false" outlineLevel="0" collapsed="false">
      <c r="A653" s="3" t="s">
        <v>696</v>
      </c>
      <c r="B653" s="3" t="s">
        <v>57</v>
      </c>
      <c r="C653" s="3" t="s">
        <v>11</v>
      </c>
      <c r="D653" s="3" t="s">
        <v>12</v>
      </c>
      <c r="E653" s="3" t="s">
        <v>685</v>
      </c>
      <c r="F653" s="3" t="n">
        <v>3000</v>
      </c>
      <c r="G653" s="3"/>
      <c r="H653" s="3"/>
      <c r="I653" s="4" t="str">
        <f aca="false">IF(AND($A653&lt;&gt;"",$A653=Подбор!$C$4),MAX(I$1:I652)+1,"")</f>
        <v/>
      </c>
    </row>
    <row r="654" customFormat="false" ht="15" hidden="false" customHeight="false" outlineLevel="0" collapsed="false">
      <c r="A654" s="3" t="s">
        <v>696</v>
      </c>
      <c r="B654" s="3" t="s">
        <v>57</v>
      </c>
      <c r="C654" s="3" t="s">
        <v>14</v>
      </c>
      <c r="D654" s="3" t="s">
        <v>15</v>
      </c>
      <c r="E654" s="3" t="s">
        <v>59</v>
      </c>
      <c r="F654" s="3" t="n">
        <v>23000</v>
      </c>
      <c r="G654" s="3"/>
      <c r="H654" s="3"/>
      <c r="I654" s="4" t="str">
        <f aca="false">IF(AND($A654&lt;&gt;"",$A654=Подбор!$C$4),MAX(I$1:I653)+1,"")</f>
        <v/>
      </c>
    </row>
    <row r="655" customFormat="false" ht="15" hidden="false" customHeight="false" outlineLevel="0" collapsed="false">
      <c r="A655" s="3" t="s">
        <v>697</v>
      </c>
      <c r="B655" s="3" t="s">
        <v>57</v>
      </c>
      <c r="C655" s="3" t="s">
        <v>11</v>
      </c>
      <c r="D655" s="3" t="s">
        <v>12</v>
      </c>
      <c r="E655" s="3" t="s">
        <v>628</v>
      </c>
      <c r="F655" s="3" t="n">
        <v>13500</v>
      </c>
      <c r="G655" s="3"/>
      <c r="H655" s="3"/>
      <c r="I655" s="4" t="str">
        <f aca="false">IF(AND($A655&lt;&gt;"",$A655=Подбор!$C$4),MAX(I$1:I654)+1,"")</f>
        <v/>
      </c>
    </row>
    <row r="656" customFormat="false" ht="15" hidden="false" customHeight="false" outlineLevel="0" collapsed="false">
      <c r="A656" s="3" t="s">
        <v>698</v>
      </c>
      <c r="B656" s="3" t="s">
        <v>57</v>
      </c>
      <c r="C656" s="3" t="s">
        <v>11</v>
      </c>
      <c r="D656" s="3" t="s">
        <v>12</v>
      </c>
      <c r="E656" s="3" t="s">
        <v>699</v>
      </c>
      <c r="F656" s="3" t="n">
        <v>6000</v>
      </c>
      <c r="G656" s="3"/>
      <c r="H656" s="3"/>
      <c r="I656" s="4" t="str">
        <f aca="false">IF(AND($A656&lt;&gt;"",$A656=Подбор!$C$4),MAX(I$1:I655)+1,"")</f>
        <v/>
      </c>
    </row>
    <row r="657" customFormat="false" ht="15" hidden="false" customHeight="false" outlineLevel="0" collapsed="false">
      <c r="A657" s="3" t="s">
        <v>700</v>
      </c>
      <c r="B657" s="3" t="s">
        <v>57</v>
      </c>
      <c r="C657" s="3" t="s">
        <v>11</v>
      </c>
      <c r="D657" s="3" t="s">
        <v>12</v>
      </c>
      <c r="E657" s="3" t="s">
        <v>699</v>
      </c>
      <c r="F657" s="3" t="n">
        <v>6000</v>
      </c>
      <c r="G657" s="3"/>
      <c r="H657" s="3"/>
      <c r="I657" s="4" t="str">
        <f aca="false">IF(AND($A657&lt;&gt;"",$A657=Подбор!$C$4),MAX(I$1:I656)+1,"")</f>
        <v/>
      </c>
    </row>
    <row r="658" customFormat="false" ht="15" hidden="false" customHeight="false" outlineLevel="0" collapsed="false">
      <c r="A658" s="3" t="s">
        <v>701</v>
      </c>
      <c r="B658" s="3" t="s">
        <v>57</v>
      </c>
      <c r="C658" s="3" t="s">
        <v>11</v>
      </c>
      <c r="D658" s="3" t="s">
        <v>12</v>
      </c>
      <c r="E658" s="3" t="s">
        <v>699</v>
      </c>
      <c r="F658" s="3" t="n">
        <v>6000</v>
      </c>
      <c r="G658" s="3"/>
      <c r="H658" s="3"/>
      <c r="I658" s="4" t="str">
        <f aca="false">IF(AND($A658&lt;&gt;"",$A658=Подбор!$C$4),MAX(I$1:I657)+1,"")</f>
        <v/>
      </c>
    </row>
    <row r="659" customFormat="false" ht="15" hidden="false" customHeight="false" outlineLevel="0" collapsed="false">
      <c r="A659" s="3" t="s">
        <v>702</v>
      </c>
      <c r="B659" s="3" t="s">
        <v>57</v>
      </c>
      <c r="C659" s="3" t="s">
        <v>11</v>
      </c>
      <c r="D659" s="3" t="s">
        <v>12</v>
      </c>
      <c r="E659" s="3" t="s">
        <v>699</v>
      </c>
      <c r="F659" s="3" t="n">
        <v>6000</v>
      </c>
      <c r="G659" s="3"/>
      <c r="H659" s="3"/>
      <c r="I659" s="4" t="str">
        <f aca="false">IF(AND($A659&lt;&gt;"",$A659=Подбор!$C$4),MAX(I$1:I658)+1,"")</f>
        <v/>
      </c>
    </row>
    <row r="660" customFormat="false" ht="15" hidden="false" customHeight="false" outlineLevel="0" collapsed="false">
      <c r="A660" s="3" t="s">
        <v>703</v>
      </c>
      <c r="B660" s="3" t="s">
        <v>57</v>
      </c>
      <c r="C660" s="3" t="s">
        <v>11</v>
      </c>
      <c r="D660" s="3" t="s">
        <v>12</v>
      </c>
      <c r="E660" s="3" t="s">
        <v>704</v>
      </c>
      <c r="F660" s="3" t="n">
        <v>6000</v>
      </c>
      <c r="G660" s="3"/>
      <c r="H660" s="3"/>
      <c r="I660" s="4" t="str">
        <f aca="false">IF(AND($A660&lt;&gt;"",$A660=Подбор!$C$4),MAX(I$1:I659)+1,"")</f>
        <v/>
      </c>
    </row>
    <row r="661" customFormat="false" ht="15" hidden="false" customHeight="false" outlineLevel="0" collapsed="false">
      <c r="A661" s="3" t="s">
        <v>705</v>
      </c>
      <c r="B661" s="3" t="s">
        <v>57</v>
      </c>
      <c r="C661" s="3" t="s">
        <v>11</v>
      </c>
      <c r="D661" s="3" t="s">
        <v>12</v>
      </c>
      <c r="E661" s="3" t="s">
        <v>603</v>
      </c>
      <c r="F661" s="3" t="n">
        <v>6000</v>
      </c>
      <c r="G661" s="3"/>
      <c r="H661" s="3"/>
      <c r="I661" s="4" t="str">
        <f aca="false">IF(AND($A661&lt;&gt;"",$A661=Подбор!$C$4),MAX(I$1:I660)+1,"")</f>
        <v/>
      </c>
    </row>
    <row r="662" customFormat="false" ht="15" hidden="false" customHeight="false" outlineLevel="0" collapsed="false">
      <c r="A662" s="3" t="s">
        <v>706</v>
      </c>
      <c r="B662" s="3" t="s">
        <v>57</v>
      </c>
      <c r="C662" s="3" t="s">
        <v>11</v>
      </c>
      <c r="D662" s="3" t="s">
        <v>12</v>
      </c>
      <c r="E662" s="3" t="s">
        <v>707</v>
      </c>
      <c r="F662" s="3" t="n">
        <v>24000</v>
      </c>
      <c r="G662" s="3"/>
      <c r="H662" s="3"/>
      <c r="I662" s="4" t="str">
        <f aca="false">IF(AND($A662&lt;&gt;"",$A662=Подбор!$C$4),MAX(I$1:I661)+1,"")</f>
        <v/>
      </c>
    </row>
    <row r="663" customFormat="false" ht="15" hidden="false" customHeight="false" outlineLevel="0" collapsed="false">
      <c r="A663" s="3" t="s">
        <v>708</v>
      </c>
      <c r="B663" s="3" t="s">
        <v>57</v>
      </c>
      <c r="C663" s="3" t="s">
        <v>11</v>
      </c>
      <c r="D663" s="3" t="s">
        <v>12</v>
      </c>
      <c r="E663" s="3" t="s">
        <v>707</v>
      </c>
      <c r="F663" s="3" t="n">
        <v>24000</v>
      </c>
      <c r="G663" s="3"/>
      <c r="H663" s="3"/>
      <c r="I663" s="4" t="str">
        <f aca="false">IF(AND($A663&lt;&gt;"",$A663=Подбор!$C$4),MAX(I$1:I662)+1,"")</f>
        <v/>
      </c>
    </row>
    <row r="664" customFormat="false" ht="15" hidden="false" customHeight="false" outlineLevel="0" collapsed="false">
      <c r="A664" s="3" t="s">
        <v>709</v>
      </c>
      <c r="B664" s="3" t="s">
        <v>57</v>
      </c>
      <c r="C664" s="3" t="s">
        <v>11</v>
      </c>
      <c r="D664" s="3" t="s">
        <v>12</v>
      </c>
      <c r="E664" s="3" t="s">
        <v>710</v>
      </c>
      <c r="F664" s="3" t="n">
        <v>10000</v>
      </c>
      <c r="G664" s="3"/>
      <c r="H664" s="3"/>
      <c r="I664" s="4" t="str">
        <f aca="false">IF(AND($A664&lt;&gt;"",$A664=Подбор!$C$4),MAX(I$1:I663)+1,"")</f>
        <v/>
      </c>
    </row>
    <row r="665" customFormat="false" ht="15" hidden="false" customHeight="false" outlineLevel="0" collapsed="false">
      <c r="A665" s="3" t="s">
        <v>711</v>
      </c>
      <c r="B665" s="3" t="s">
        <v>57</v>
      </c>
      <c r="C665" s="3" t="s">
        <v>11</v>
      </c>
      <c r="D665" s="3" t="s">
        <v>12</v>
      </c>
      <c r="E665" s="3" t="s">
        <v>710</v>
      </c>
      <c r="F665" s="3" t="n">
        <v>10000</v>
      </c>
      <c r="G665" s="3"/>
      <c r="H665" s="3"/>
      <c r="I665" s="4" t="str">
        <f aca="false">IF(AND($A665&lt;&gt;"",$A665=Подбор!$C$4),MAX(I$1:I664)+1,"")</f>
        <v/>
      </c>
    </row>
    <row r="666" customFormat="false" ht="15" hidden="false" customHeight="false" outlineLevel="0" collapsed="false">
      <c r="A666" s="3" t="s">
        <v>712</v>
      </c>
      <c r="B666" s="3" t="s">
        <v>57</v>
      </c>
      <c r="C666" s="3" t="s">
        <v>11</v>
      </c>
      <c r="D666" s="3" t="s">
        <v>12</v>
      </c>
      <c r="E666" s="3" t="s">
        <v>710</v>
      </c>
      <c r="F666" s="3" t="n">
        <v>10000</v>
      </c>
      <c r="G666" s="3"/>
      <c r="H666" s="3"/>
      <c r="I666" s="4" t="str">
        <f aca="false">IF(AND($A666&lt;&gt;"",$A666=Подбор!$C$4),MAX(I$1:I665)+1,"")</f>
        <v/>
      </c>
    </row>
    <row r="667" customFormat="false" ht="15" hidden="false" customHeight="false" outlineLevel="0" collapsed="false">
      <c r="A667" s="3" t="s">
        <v>713</v>
      </c>
      <c r="B667" s="3" t="s">
        <v>57</v>
      </c>
      <c r="C667" s="3" t="s">
        <v>11</v>
      </c>
      <c r="D667" s="3" t="s">
        <v>12</v>
      </c>
      <c r="E667" s="3" t="s">
        <v>710</v>
      </c>
      <c r="F667" s="3" t="n">
        <v>10000</v>
      </c>
      <c r="G667" s="3"/>
      <c r="H667" s="3"/>
      <c r="I667" s="4" t="str">
        <f aca="false">IF(AND($A667&lt;&gt;"",$A667=Подбор!$C$4),MAX(I$1:I666)+1,"")</f>
        <v/>
      </c>
    </row>
    <row r="668" customFormat="false" ht="15" hidden="false" customHeight="false" outlineLevel="0" collapsed="false">
      <c r="A668" s="3" t="s">
        <v>714</v>
      </c>
      <c r="B668" s="3" t="s">
        <v>57</v>
      </c>
      <c r="C668" s="3" t="s">
        <v>11</v>
      </c>
      <c r="D668" s="3" t="s">
        <v>12</v>
      </c>
      <c r="E668" s="3" t="s">
        <v>715</v>
      </c>
      <c r="F668" s="3" t="n">
        <v>11500</v>
      </c>
      <c r="G668" s="3"/>
      <c r="H668" s="3"/>
      <c r="I668" s="4" t="str">
        <f aca="false">IF(AND($A668&lt;&gt;"",$A668=Подбор!$C$4),MAX(I$1:I667)+1,"")</f>
        <v/>
      </c>
    </row>
    <row r="669" customFormat="false" ht="15" hidden="false" customHeight="false" outlineLevel="0" collapsed="false">
      <c r="A669" s="3" t="s">
        <v>716</v>
      </c>
      <c r="B669" s="3" t="s">
        <v>57</v>
      </c>
      <c r="C669" s="3" t="s">
        <v>11</v>
      </c>
      <c r="D669" s="3" t="s">
        <v>12</v>
      </c>
      <c r="E669" s="3" t="s">
        <v>116</v>
      </c>
      <c r="F669" s="3" t="n">
        <v>10500</v>
      </c>
      <c r="G669" s="3"/>
      <c r="H669" s="3"/>
      <c r="I669" s="4" t="str">
        <f aca="false">IF(AND($A669&lt;&gt;"",$A669=Подбор!$C$4),MAX(I$1:I668)+1,"")</f>
        <v/>
      </c>
    </row>
    <row r="670" customFormat="false" ht="15" hidden="false" customHeight="false" outlineLevel="0" collapsed="false">
      <c r="A670" s="3" t="s">
        <v>717</v>
      </c>
      <c r="B670" s="3" t="s">
        <v>57</v>
      </c>
      <c r="C670" s="3" t="s">
        <v>11</v>
      </c>
      <c r="D670" s="3" t="s">
        <v>12</v>
      </c>
      <c r="E670" s="3" t="s">
        <v>617</v>
      </c>
      <c r="F670" s="3" t="n">
        <v>6000</v>
      </c>
      <c r="G670" s="3"/>
      <c r="H670" s="3"/>
      <c r="I670" s="4" t="str">
        <f aca="false">IF(AND($A670&lt;&gt;"",$A670=Подбор!$C$4),MAX(I$1:I669)+1,"")</f>
        <v/>
      </c>
    </row>
    <row r="671" customFormat="false" ht="15" hidden="false" customHeight="false" outlineLevel="0" collapsed="false">
      <c r="A671" s="3" t="s">
        <v>718</v>
      </c>
      <c r="B671" s="3" t="s">
        <v>57</v>
      </c>
      <c r="C671" s="3" t="s">
        <v>11</v>
      </c>
      <c r="D671" s="3" t="s">
        <v>12</v>
      </c>
      <c r="E671" s="3" t="s">
        <v>672</v>
      </c>
      <c r="F671" s="3" t="n">
        <v>25000</v>
      </c>
      <c r="G671" s="3"/>
      <c r="H671" s="3"/>
      <c r="I671" s="4" t="str">
        <f aca="false">IF(AND($A671&lt;&gt;"",$A671=Подбор!$C$4),MAX(I$1:I670)+1,"")</f>
        <v/>
      </c>
    </row>
    <row r="672" customFormat="false" ht="15" hidden="false" customHeight="false" outlineLevel="0" collapsed="false">
      <c r="A672" s="3" t="s">
        <v>719</v>
      </c>
      <c r="B672" s="3" t="s">
        <v>57</v>
      </c>
      <c r="C672" s="3" t="s">
        <v>11</v>
      </c>
      <c r="D672" s="3" t="s">
        <v>12</v>
      </c>
      <c r="E672" s="3" t="s">
        <v>116</v>
      </c>
      <c r="F672" s="3" t="n">
        <v>10500</v>
      </c>
      <c r="G672" s="3"/>
      <c r="H672" s="3"/>
      <c r="I672" s="4" t="str">
        <f aca="false">IF(AND($A672&lt;&gt;"",$A672=Подбор!$C$4),MAX(I$1:I671)+1,"")</f>
        <v/>
      </c>
    </row>
    <row r="673" customFormat="false" ht="15" hidden="false" customHeight="false" outlineLevel="0" collapsed="false">
      <c r="A673" s="3" t="s">
        <v>720</v>
      </c>
      <c r="B673" s="3" t="s">
        <v>57</v>
      </c>
      <c r="C673" s="3" t="s">
        <v>11</v>
      </c>
      <c r="D673" s="3" t="s">
        <v>12</v>
      </c>
      <c r="E673" s="3" t="s">
        <v>721</v>
      </c>
      <c r="F673" s="3" t="n">
        <v>11000</v>
      </c>
      <c r="G673" s="3"/>
      <c r="H673" s="3"/>
      <c r="I673" s="4" t="str">
        <f aca="false">IF(AND($A673&lt;&gt;"",$A673=Подбор!$C$4),MAX(I$1:I672)+1,"")</f>
        <v/>
      </c>
    </row>
    <row r="674" customFormat="false" ht="15" hidden="false" customHeight="false" outlineLevel="0" collapsed="false">
      <c r="A674" s="3" t="s">
        <v>722</v>
      </c>
      <c r="B674" s="3" t="s">
        <v>57</v>
      </c>
      <c r="C674" s="3" t="s">
        <v>11</v>
      </c>
      <c r="D674" s="3" t="s">
        <v>12</v>
      </c>
      <c r="E674" s="3" t="s">
        <v>721</v>
      </c>
      <c r="F674" s="3" t="n">
        <v>11000</v>
      </c>
      <c r="G674" s="3"/>
      <c r="H674" s="3"/>
      <c r="I674" s="4" t="str">
        <f aca="false">IF(AND($A674&lt;&gt;"",$A674=Подбор!$C$4),MAX(I$1:I673)+1,"")</f>
        <v/>
      </c>
    </row>
    <row r="675" customFormat="false" ht="15" hidden="false" customHeight="false" outlineLevel="0" collapsed="false">
      <c r="A675" s="3" t="s">
        <v>723</v>
      </c>
      <c r="B675" s="3" t="s">
        <v>57</v>
      </c>
      <c r="C675" s="3" t="s">
        <v>11</v>
      </c>
      <c r="D675" s="3" t="s">
        <v>12</v>
      </c>
      <c r="E675" s="3" t="s">
        <v>721</v>
      </c>
      <c r="F675" s="3" t="n">
        <v>11000</v>
      </c>
      <c r="G675" s="3"/>
      <c r="H675" s="3"/>
      <c r="I675" s="4" t="str">
        <f aca="false">IF(AND($A675&lt;&gt;"",$A675=Подбор!$C$4),MAX(I$1:I674)+1,"")</f>
        <v/>
      </c>
    </row>
    <row r="676" customFormat="false" ht="15" hidden="false" customHeight="false" outlineLevel="0" collapsed="false">
      <c r="A676" s="3" t="s">
        <v>724</v>
      </c>
      <c r="B676" s="3" t="s">
        <v>57</v>
      </c>
      <c r="C676" s="3" t="s">
        <v>11</v>
      </c>
      <c r="D676" s="3" t="s">
        <v>12</v>
      </c>
      <c r="E676" s="3" t="s">
        <v>721</v>
      </c>
      <c r="F676" s="3" t="n">
        <v>11000</v>
      </c>
      <c r="G676" s="3"/>
      <c r="H676" s="3"/>
      <c r="I676" s="4" t="str">
        <f aca="false">IF(AND($A676&lt;&gt;"",$A676=Подбор!$C$4),MAX(I$1:I675)+1,"")</f>
        <v/>
      </c>
    </row>
    <row r="677" customFormat="false" ht="15" hidden="false" customHeight="false" outlineLevel="0" collapsed="false">
      <c r="A677" s="3" t="s">
        <v>725</v>
      </c>
      <c r="B677" s="3" t="s">
        <v>57</v>
      </c>
      <c r="C677" s="3" t="s">
        <v>11</v>
      </c>
      <c r="D677" s="3" t="s">
        <v>12</v>
      </c>
      <c r="E677" s="3" t="s">
        <v>726</v>
      </c>
      <c r="F677" s="3" t="n">
        <v>25000</v>
      </c>
      <c r="G677" s="3"/>
      <c r="H677" s="3"/>
      <c r="I677" s="4" t="str">
        <f aca="false">IF(AND($A677&lt;&gt;"",$A677=Подбор!$C$4),MAX(I$1:I676)+1,"")</f>
        <v/>
      </c>
    </row>
    <row r="678" customFormat="false" ht="15" hidden="false" customHeight="false" outlineLevel="0" collapsed="false">
      <c r="A678" s="3" t="s">
        <v>727</v>
      </c>
      <c r="B678" s="3" t="s">
        <v>57</v>
      </c>
      <c r="C678" s="3" t="s">
        <v>11</v>
      </c>
      <c r="D678" s="3" t="s">
        <v>12</v>
      </c>
      <c r="E678" s="3" t="s">
        <v>728</v>
      </c>
      <c r="F678" s="3" t="n">
        <v>10500</v>
      </c>
      <c r="G678" s="3"/>
      <c r="H678" s="3"/>
      <c r="I678" s="4" t="str">
        <f aca="false">IF(AND($A678&lt;&gt;"",$A678=Подбор!$C$4),MAX(I$1:I677)+1,"")</f>
        <v/>
      </c>
    </row>
    <row r="679" customFormat="false" ht="15" hidden="false" customHeight="false" outlineLevel="0" collapsed="false">
      <c r="A679" s="3" t="s">
        <v>729</v>
      </c>
      <c r="B679" s="3" t="s">
        <v>57</v>
      </c>
      <c r="C679" s="3" t="s">
        <v>11</v>
      </c>
      <c r="D679" s="3" t="s">
        <v>12</v>
      </c>
      <c r="E679" s="3" t="s">
        <v>173</v>
      </c>
      <c r="F679" s="3" t="n">
        <v>2500</v>
      </c>
      <c r="G679" s="3"/>
      <c r="H679" s="3"/>
      <c r="I679" s="4" t="str">
        <f aca="false">IF(AND($A679&lt;&gt;"",$A679=Подбор!$C$4),MAX(I$1:I678)+1,"")</f>
        <v/>
      </c>
    </row>
    <row r="680" customFormat="false" ht="15" hidden="false" customHeight="false" outlineLevel="0" collapsed="false">
      <c r="A680" s="3" t="s">
        <v>730</v>
      </c>
      <c r="B680" s="3" t="s">
        <v>57</v>
      </c>
      <c r="C680" s="3" t="s">
        <v>11</v>
      </c>
      <c r="D680" s="3" t="s">
        <v>12</v>
      </c>
      <c r="E680" s="3" t="s">
        <v>177</v>
      </c>
      <c r="F680" s="3" t="n">
        <v>2500</v>
      </c>
      <c r="G680" s="3"/>
      <c r="H680" s="3"/>
      <c r="I680" s="4" t="str">
        <f aca="false">IF(AND($A680&lt;&gt;"",$A680=Подбор!$C$4),MAX(I$1:I679)+1,"")</f>
        <v/>
      </c>
    </row>
    <row r="681" customFormat="false" ht="15" hidden="false" customHeight="false" outlineLevel="0" collapsed="false">
      <c r="A681" s="3" t="s">
        <v>731</v>
      </c>
      <c r="B681" s="3" t="s">
        <v>57</v>
      </c>
      <c r="C681" s="3" t="s">
        <v>11</v>
      </c>
      <c r="D681" s="3" t="s">
        <v>12</v>
      </c>
      <c r="E681" s="3" t="s">
        <v>120</v>
      </c>
      <c r="F681" s="3" t="n">
        <v>3000</v>
      </c>
      <c r="G681" s="3"/>
      <c r="H681" s="3"/>
      <c r="I681" s="4" t="str">
        <f aca="false">IF(AND($A681&lt;&gt;"",$A681=Подбор!$C$4),MAX(I$1:I680)+1,"")</f>
        <v/>
      </c>
    </row>
    <row r="682" customFormat="false" ht="15" hidden="false" customHeight="false" outlineLevel="0" collapsed="false">
      <c r="A682" s="3" t="s">
        <v>732</v>
      </c>
      <c r="B682" s="3" t="s">
        <v>57</v>
      </c>
      <c r="C682" s="3" t="s">
        <v>11</v>
      </c>
      <c r="D682" s="3" t="s">
        <v>12</v>
      </c>
      <c r="E682" s="3" t="s">
        <v>120</v>
      </c>
      <c r="F682" s="3" t="n">
        <v>3000</v>
      </c>
      <c r="G682" s="3"/>
      <c r="H682" s="3"/>
      <c r="I682" s="4" t="str">
        <f aca="false">IF(AND($A682&lt;&gt;"",$A682=Подбор!$C$4),MAX(I$1:I681)+1,"")</f>
        <v/>
      </c>
    </row>
    <row r="683" customFormat="false" ht="15" hidden="false" customHeight="false" outlineLevel="0" collapsed="false">
      <c r="A683" s="3" t="s">
        <v>733</v>
      </c>
      <c r="B683" s="3" t="s">
        <v>57</v>
      </c>
      <c r="C683" s="3" t="s">
        <v>11</v>
      </c>
      <c r="D683" s="3" t="s">
        <v>12</v>
      </c>
      <c r="E683" s="3" t="s">
        <v>657</v>
      </c>
      <c r="F683" s="3" t="n">
        <v>3000</v>
      </c>
      <c r="G683" s="3"/>
      <c r="H683" s="3"/>
      <c r="I683" s="4" t="str">
        <f aca="false">IF(AND($A683&lt;&gt;"",$A683=Подбор!$C$4),MAX(I$1:I682)+1,"")</f>
        <v/>
      </c>
    </row>
    <row r="684" customFormat="false" ht="15" hidden="false" customHeight="false" outlineLevel="0" collapsed="false">
      <c r="A684" s="3" t="s">
        <v>734</v>
      </c>
      <c r="B684" s="3" t="s">
        <v>57</v>
      </c>
      <c r="C684" s="3" t="s">
        <v>11</v>
      </c>
      <c r="D684" s="3" t="s">
        <v>12</v>
      </c>
      <c r="E684" s="3" t="s">
        <v>462</v>
      </c>
      <c r="F684" s="3" t="n">
        <v>2300</v>
      </c>
      <c r="G684" s="3"/>
      <c r="H684" s="3"/>
      <c r="I684" s="4" t="str">
        <f aca="false">IF(AND($A684&lt;&gt;"",$A684=Подбор!$C$4),MAX(I$1:I683)+1,"")</f>
        <v/>
      </c>
    </row>
    <row r="685" customFormat="false" ht="15" hidden="false" customHeight="false" outlineLevel="0" collapsed="false">
      <c r="A685" s="3" t="s">
        <v>735</v>
      </c>
      <c r="B685" s="3" t="s">
        <v>57</v>
      </c>
      <c r="C685" s="3" t="s">
        <v>11</v>
      </c>
      <c r="D685" s="3" t="s">
        <v>12</v>
      </c>
      <c r="E685" s="3" t="s">
        <v>462</v>
      </c>
      <c r="F685" s="3" t="n">
        <v>2300</v>
      </c>
      <c r="G685" s="3"/>
      <c r="H685" s="3"/>
      <c r="I685" s="4" t="str">
        <f aca="false">IF(AND($A685&lt;&gt;"",$A685=Подбор!$C$4),MAX(I$1:I684)+1,"")</f>
        <v/>
      </c>
    </row>
    <row r="686" customFormat="false" ht="15" hidden="false" customHeight="false" outlineLevel="0" collapsed="false">
      <c r="A686" s="3" t="s">
        <v>736</v>
      </c>
      <c r="B686" s="3" t="s">
        <v>57</v>
      </c>
      <c r="C686" s="3" t="s">
        <v>11</v>
      </c>
      <c r="D686" s="3" t="s">
        <v>12</v>
      </c>
      <c r="E686" s="3" t="s">
        <v>737</v>
      </c>
      <c r="F686" s="3" t="n">
        <v>6500</v>
      </c>
      <c r="G686" s="3"/>
      <c r="H686" s="3"/>
      <c r="I686" s="4" t="str">
        <f aca="false">IF(AND($A686&lt;&gt;"",$A686=Подбор!$C$4),MAX(I$1:I685)+1,"")</f>
        <v/>
      </c>
    </row>
    <row r="687" customFormat="false" ht="15" hidden="false" customHeight="false" outlineLevel="0" collapsed="false">
      <c r="A687" s="3" t="s">
        <v>738</v>
      </c>
      <c r="B687" s="3" t="s">
        <v>57</v>
      </c>
      <c r="C687" s="3" t="s">
        <v>11</v>
      </c>
      <c r="D687" s="3" t="s">
        <v>12</v>
      </c>
      <c r="E687" s="3" t="s">
        <v>89</v>
      </c>
      <c r="F687" s="3" t="n">
        <v>2000</v>
      </c>
      <c r="G687" s="3"/>
      <c r="H687" s="3"/>
      <c r="I687" s="4" t="str">
        <f aca="false">IF(AND($A687&lt;&gt;"",$A687=Подбор!$C$4),MAX(I$1:I686)+1,"")</f>
        <v/>
      </c>
    </row>
    <row r="688" customFormat="false" ht="15" hidden="false" customHeight="false" outlineLevel="0" collapsed="false">
      <c r="A688" s="3" t="s">
        <v>739</v>
      </c>
      <c r="B688" s="3" t="s">
        <v>57</v>
      </c>
      <c r="C688" s="3" t="s">
        <v>11</v>
      </c>
      <c r="D688" s="3" t="s">
        <v>12</v>
      </c>
      <c r="E688" s="3" t="s">
        <v>462</v>
      </c>
      <c r="F688" s="3" t="n">
        <v>2300</v>
      </c>
      <c r="G688" s="3"/>
      <c r="H688" s="3"/>
      <c r="I688" s="4" t="str">
        <f aca="false">IF(AND($A688&lt;&gt;"",$A688=Подбор!$C$4),MAX(I$1:I687)+1,"")</f>
        <v/>
      </c>
    </row>
    <row r="689" customFormat="false" ht="15" hidden="false" customHeight="false" outlineLevel="0" collapsed="false">
      <c r="A689" s="3" t="s">
        <v>740</v>
      </c>
      <c r="B689" s="3" t="s">
        <v>57</v>
      </c>
      <c r="C689" s="3" t="s">
        <v>11</v>
      </c>
      <c r="D689" s="3" t="s">
        <v>12</v>
      </c>
      <c r="E689" s="3" t="s">
        <v>741</v>
      </c>
      <c r="F689" s="3" t="n">
        <v>25000</v>
      </c>
      <c r="G689" s="3"/>
      <c r="H689" s="3"/>
      <c r="I689" s="4" t="str">
        <f aca="false">IF(AND($A689&lt;&gt;"",$A689=Подбор!$C$4),MAX(I$1:I688)+1,"")</f>
        <v/>
      </c>
    </row>
    <row r="690" customFormat="false" ht="15" hidden="false" customHeight="false" outlineLevel="0" collapsed="false">
      <c r="A690" s="3" t="s">
        <v>742</v>
      </c>
      <c r="B690" s="3" t="s">
        <v>57</v>
      </c>
      <c r="C690" s="3" t="s">
        <v>11</v>
      </c>
      <c r="D690" s="3" t="s">
        <v>12</v>
      </c>
      <c r="E690" s="3" t="s">
        <v>743</v>
      </c>
      <c r="F690" s="3" t="n">
        <v>1600</v>
      </c>
      <c r="G690" s="3"/>
      <c r="H690" s="3"/>
      <c r="I690" s="4" t="str">
        <f aca="false">IF(AND($A690&lt;&gt;"",$A690=Подбор!$C$4),MAX(I$1:I689)+1,"")</f>
        <v/>
      </c>
    </row>
    <row r="691" customFormat="false" ht="15" hidden="false" customHeight="false" outlineLevel="0" collapsed="false">
      <c r="A691" s="3" t="s">
        <v>744</v>
      </c>
      <c r="B691" s="3" t="s">
        <v>57</v>
      </c>
      <c r="C691" s="3" t="s">
        <v>11</v>
      </c>
      <c r="D691" s="3" t="s">
        <v>12</v>
      </c>
      <c r="E691" s="3" t="s">
        <v>741</v>
      </c>
      <c r="F691" s="3" t="n">
        <v>25000</v>
      </c>
      <c r="G691" s="3"/>
      <c r="H691" s="3"/>
      <c r="I691" s="4" t="str">
        <f aca="false">IF(AND($A691&lt;&gt;"",$A691=Подбор!$C$4),MAX(I$1:I690)+1,"")</f>
        <v/>
      </c>
    </row>
    <row r="692" customFormat="false" ht="15" hidden="false" customHeight="false" outlineLevel="0" collapsed="false">
      <c r="A692" s="3" t="s">
        <v>745</v>
      </c>
      <c r="B692" s="3" t="s">
        <v>57</v>
      </c>
      <c r="C692" s="3" t="s">
        <v>11</v>
      </c>
      <c r="D692" s="3" t="s">
        <v>12</v>
      </c>
      <c r="E692" s="3" t="s">
        <v>594</v>
      </c>
      <c r="F692" s="3" t="n">
        <v>25000</v>
      </c>
      <c r="G692" s="3"/>
      <c r="H692" s="3"/>
      <c r="I692" s="4" t="str">
        <f aca="false">IF(AND($A692&lt;&gt;"",$A692=Подбор!$C$4),MAX(I$1:I691)+1,"")</f>
        <v/>
      </c>
    </row>
    <row r="693" customFormat="false" ht="15" hidden="false" customHeight="false" outlineLevel="0" collapsed="false">
      <c r="A693" s="3" t="s">
        <v>746</v>
      </c>
      <c r="B693" s="3" t="s">
        <v>57</v>
      </c>
      <c r="C693" s="3" t="s">
        <v>11</v>
      </c>
      <c r="D693" s="3" t="s">
        <v>12</v>
      </c>
      <c r="E693" s="3" t="s">
        <v>665</v>
      </c>
      <c r="F693" s="3" t="n">
        <v>25000</v>
      </c>
      <c r="G693" s="3"/>
      <c r="H693" s="3"/>
      <c r="I693" s="4" t="str">
        <f aca="false">IF(AND($A693&lt;&gt;"",$A693=Подбор!$C$4),MAX(I$1:I692)+1,"")</f>
        <v/>
      </c>
    </row>
    <row r="694" customFormat="false" ht="15" hidden="false" customHeight="false" outlineLevel="0" collapsed="false">
      <c r="A694" s="3" t="s">
        <v>747</v>
      </c>
      <c r="B694" s="3" t="s">
        <v>57</v>
      </c>
      <c r="C694" s="3" t="s">
        <v>11</v>
      </c>
      <c r="D694" s="3" t="s">
        <v>12</v>
      </c>
      <c r="E694" s="3" t="s">
        <v>91</v>
      </c>
      <c r="F694" s="3" t="n">
        <v>2200</v>
      </c>
      <c r="G694" s="3"/>
      <c r="H694" s="3"/>
      <c r="I694" s="4" t="str">
        <f aca="false">IF(AND($A694&lt;&gt;"",$A694=Подбор!$C$4),MAX(I$1:I693)+1,"")</f>
        <v/>
      </c>
    </row>
    <row r="695" customFormat="false" ht="15" hidden="false" customHeight="false" outlineLevel="0" collapsed="false">
      <c r="A695" s="3" t="s">
        <v>748</v>
      </c>
      <c r="B695" s="3" t="s">
        <v>57</v>
      </c>
      <c r="C695" s="3" t="s">
        <v>11</v>
      </c>
      <c r="D695" s="3" t="s">
        <v>12</v>
      </c>
      <c r="E695" s="3" t="s">
        <v>136</v>
      </c>
      <c r="F695" s="3" t="n">
        <v>20000</v>
      </c>
      <c r="G695" s="3"/>
      <c r="H695" s="3"/>
      <c r="I695" s="4" t="str">
        <f aca="false">IF(AND($A695&lt;&gt;"",$A695=Подбор!$C$4),MAX(I$1:I694)+1,"")</f>
        <v/>
      </c>
    </row>
    <row r="696" customFormat="false" ht="15" hidden="false" customHeight="false" outlineLevel="0" collapsed="false">
      <c r="A696" s="3" t="s">
        <v>749</v>
      </c>
      <c r="B696" s="3" t="s">
        <v>57</v>
      </c>
      <c r="C696" s="3" t="s">
        <v>11</v>
      </c>
      <c r="D696" s="3" t="s">
        <v>12</v>
      </c>
      <c r="E696" s="3" t="s">
        <v>750</v>
      </c>
      <c r="F696" s="3" t="n">
        <v>1200</v>
      </c>
      <c r="G696" s="3"/>
      <c r="H696" s="3"/>
      <c r="I696" s="4" t="str">
        <f aca="false">IF(AND($A696&lt;&gt;"",$A696=Подбор!$C$4),MAX(I$1:I695)+1,"")</f>
        <v/>
      </c>
    </row>
    <row r="697" customFormat="false" ht="15" hidden="false" customHeight="false" outlineLevel="0" collapsed="false">
      <c r="A697" s="3" t="s">
        <v>751</v>
      </c>
      <c r="B697" s="3" t="s">
        <v>57</v>
      </c>
      <c r="C697" s="3" t="s">
        <v>11</v>
      </c>
      <c r="D697" s="3" t="s">
        <v>12</v>
      </c>
      <c r="E697" s="3" t="s">
        <v>657</v>
      </c>
      <c r="F697" s="3" t="n">
        <v>3000</v>
      </c>
      <c r="G697" s="3"/>
      <c r="H697" s="3"/>
      <c r="I697" s="4" t="str">
        <f aca="false">IF(AND($A697&lt;&gt;"",$A697=Подбор!$C$4),MAX(I$1:I696)+1,"")</f>
        <v/>
      </c>
    </row>
    <row r="698" customFormat="false" ht="15" hidden="false" customHeight="false" outlineLevel="0" collapsed="false">
      <c r="A698" s="3" t="s">
        <v>752</v>
      </c>
      <c r="B698" s="3" t="s">
        <v>57</v>
      </c>
      <c r="C698" s="3" t="s">
        <v>11</v>
      </c>
      <c r="D698" s="3" t="s">
        <v>12</v>
      </c>
      <c r="E698" s="3" t="s">
        <v>750</v>
      </c>
      <c r="F698" s="3" t="n">
        <v>1200</v>
      </c>
      <c r="G698" s="3"/>
      <c r="H698" s="3"/>
      <c r="I698" s="4" t="str">
        <f aca="false">IF(AND($A698&lt;&gt;"",$A698=Подбор!$C$4),MAX(I$1:I697)+1,"")</f>
        <v/>
      </c>
    </row>
    <row r="699" customFormat="false" ht="15" hidden="false" customHeight="false" outlineLevel="0" collapsed="false">
      <c r="A699" s="3" t="s">
        <v>753</v>
      </c>
      <c r="B699" s="3" t="s">
        <v>57</v>
      </c>
      <c r="C699" s="3" t="s">
        <v>11</v>
      </c>
      <c r="D699" s="3" t="s">
        <v>12</v>
      </c>
      <c r="E699" s="3" t="s">
        <v>754</v>
      </c>
      <c r="F699" s="3" t="n">
        <v>2000</v>
      </c>
      <c r="G699" s="3"/>
      <c r="H699" s="3"/>
      <c r="I699" s="4" t="str">
        <f aca="false">IF(AND($A699&lt;&gt;"",$A699=Подбор!$C$4),MAX(I$1:I698)+1,"")</f>
        <v/>
      </c>
    </row>
    <row r="700" customFormat="false" ht="15" hidden="false" customHeight="false" outlineLevel="0" collapsed="false">
      <c r="A700" s="3" t="s">
        <v>755</v>
      </c>
      <c r="B700" s="3" t="s">
        <v>57</v>
      </c>
      <c r="C700" s="3" t="s">
        <v>11</v>
      </c>
      <c r="D700" s="3" t="s">
        <v>12</v>
      </c>
      <c r="E700" s="3" t="s">
        <v>678</v>
      </c>
      <c r="F700" s="3" t="n">
        <v>2500</v>
      </c>
      <c r="G700" s="3"/>
      <c r="H700" s="3"/>
      <c r="I700" s="4" t="str">
        <f aca="false">IF(AND($A700&lt;&gt;"",$A700=Подбор!$C$4),MAX(I$1:I699)+1,"")</f>
        <v/>
      </c>
    </row>
    <row r="701" customFormat="false" ht="15" hidden="false" customHeight="false" outlineLevel="0" collapsed="false">
      <c r="A701" s="3" t="s">
        <v>756</v>
      </c>
      <c r="B701" s="3" t="s">
        <v>57</v>
      </c>
      <c r="C701" s="3" t="s">
        <v>11</v>
      </c>
      <c r="D701" s="3" t="s">
        <v>12</v>
      </c>
      <c r="E701" s="3" t="s">
        <v>657</v>
      </c>
      <c r="F701" s="3" t="n">
        <v>3000</v>
      </c>
      <c r="G701" s="3"/>
      <c r="H701" s="3"/>
      <c r="I701" s="4" t="str">
        <f aca="false">IF(AND($A701&lt;&gt;"",$A701=Подбор!$C$4),MAX(I$1:I700)+1,"")</f>
        <v/>
      </c>
    </row>
    <row r="702" customFormat="false" ht="15" hidden="false" customHeight="false" outlineLevel="0" collapsed="false">
      <c r="A702" s="3" t="s">
        <v>757</v>
      </c>
      <c r="B702" s="3" t="s">
        <v>57</v>
      </c>
      <c r="C702" s="3" t="s">
        <v>11</v>
      </c>
      <c r="D702" s="3" t="s">
        <v>12</v>
      </c>
      <c r="E702" s="3" t="s">
        <v>750</v>
      </c>
      <c r="F702" s="3" t="n">
        <v>1200</v>
      </c>
      <c r="G702" s="3"/>
      <c r="H702" s="3"/>
      <c r="I702" s="4" t="str">
        <f aca="false">IF(AND($A702&lt;&gt;"",$A702=Подбор!$C$4),MAX(I$1:I701)+1,"")</f>
        <v/>
      </c>
    </row>
    <row r="703" customFormat="false" ht="15" hidden="false" customHeight="false" outlineLevel="0" collapsed="false">
      <c r="A703" s="3" t="s">
        <v>758</v>
      </c>
      <c r="B703" s="3" t="s">
        <v>57</v>
      </c>
      <c r="C703" s="3" t="s">
        <v>11</v>
      </c>
      <c r="D703" s="3" t="s">
        <v>12</v>
      </c>
      <c r="E703" s="3" t="s">
        <v>759</v>
      </c>
      <c r="F703" s="3" t="n">
        <v>6000</v>
      </c>
      <c r="G703" s="3"/>
      <c r="H703" s="3"/>
      <c r="I703" s="4" t="str">
        <f aca="false">IF(AND($A703&lt;&gt;"",$A703=Подбор!$C$4),MAX(I$1:I702)+1,"")</f>
        <v/>
      </c>
    </row>
    <row r="704" customFormat="false" ht="15" hidden="false" customHeight="false" outlineLevel="0" collapsed="false">
      <c r="A704" s="3" t="s">
        <v>760</v>
      </c>
      <c r="B704" s="3" t="s">
        <v>57</v>
      </c>
      <c r="C704" s="3" t="s">
        <v>11</v>
      </c>
      <c r="D704" s="3" t="s">
        <v>12</v>
      </c>
      <c r="E704" s="3" t="s">
        <v>761</v>
      </c>
      <c r="F704" s="3" t="n">
        <v>1300</v>
      </c>
      <c r="G704" s="3"/>
      <c r="H704" s="3"/>
      <c r="I704" s="4" t="str">
        <f aca="false">IF(AND($A704&lt;&gt;"",$A704=Подбор!$C$4),MAX(I$1:I703)+1,"")</f>
        <v/>
      </c>
    </row>
    <row r="705" customFormat="false" ht="15" hidden="false" customHeight="false" outlineLevel="0" collapsed="false">
      <c r="A705" s="3" t="s">
        <v>762</v>
      </c>
      <c r="B705" s="3" t="s">
        <v>57</v>
      </c>
      <c r="C705" s="3" t="s">
        <v>11</v>
      </c>
      <c r="D705" s="3" t="s">
        <v>12</v>
      </c>
      <c r="E705" s="3" t="s">
        <v>89</v>
      </c>
      <c r="F705" s="3" t="n">
        <v>2000</v>
      </c>
      <c r="G705" s="3"/>
      <c r="H705" s="3"/>
      <c r="I705" s="4" t="str">
        <f aca="false">IF(AND($A705&lt;&gt;"",$A705=Подбор!$C$4),MAX(I$1:I704)+1,"")</f>
        <v/>
      </c>
    </row>
    <row r="706" customFormat="false" ht="15" hidden="false" customHeight="false" outlineLevel="0" collapsed="false">
      <c r="A706" s="3" t="s">
        <v>763</v>
      </c>
      <c r="B706" s="3" t="s">
        <v>57</v>
      </c>
      <c r="C706" s="3" t="s">
        <v>11</v>
      </c>
      <c r="D706" s="3" t="s">
        <v>12</v>
      </c>
      <c r="E706" s="3" t="s">
        <v>89</v>
      </c>
      <c r="F706" s="3" t="n">
        <v>2000</v>
      </c>
      <c r="G706" s="3"/>
      <c r="H706" s="3"/>
      <c r="I706" s="4" t="str">
        <f aca="false">IF(AND($A706&lt;&gt;"",$A706=Подбор!$C$4),MAX(I$1:I705)+1,"")</f>
        <v/>
      </c>
    </row>
    <row r="707" customFormat="false" ht="15" hidden="false" customHeight="false" outlineLevel="0" collapsed="false">
      <c r="A707" s="3" t="s">
        <v>764</v>
      </c>
      <c r="B707" s="3" t="s">
        <v>57</v>
      </c>
      <c r="C707" s="3" t="s">
        <v>11</v>
      </c>
      <c r="D707" s="3" t="s">
        <v>12</v>
      </c>
      <c r="E707" s="3" t="s">
        <v>120</v>
      </c>
      <c r="F707" s="3" t="n">
        <v>3000</v>
      </c>
      <c r="G707" s="3"/>
      <c r="H707" s="3"/>
      <c r="I707" s="4" t="str">
        <f aca="false">IF(AND($A707&lt;&gt;"",$A707=Подбор!$C$4),MAX(I$1:I706)+1,"")</f>
        <v/>
      </c>
    </row>
    <row r="708" customFormat="false" ht="15" hidden="false" customHeight="false" outlineLevel="0" collapsed="false">
      <c r="A708" s="3" t="s">
        <v>765</v>
      </c>
      <c r="B708" s="3" t="s">
        <v>57</v>
      </c>
      <c r="C708" s="3" t="s">
        <v>11</v>
      </c>
      <c r="D708" s="3" t="s">
        <v>12</v>
      </c>
      <c r="E708" s="3" t="s">
        <v>657</v>
      </c>
      <c r="F708" s="3" t="n">
        <v>3000</v>
      </c>
      <c r="G708" s="3"/>
      <c r="H708" s="3"/>
      <c r="I708" s="4" t="str">
        <f aca="false">IF(AND($A708&lt;&gt;"",$A708=Подбор!$C$4),MAX(I$1:I707)+1,"")</f>
        <v/>
      </c>
    </row>
    <row r="709" customFormat="false" ht="15" hidden="false" customHeight="false" outlineLevel="0" collapsed="false">
      <c r="A709" s="3" t="s">
        <v>766</v>
      </c>
      <c r="B709" s="3" t="s">
        <v>57</v>
      </c>
      <c r="C709" s="3" t="s">
        <v>11</v>
      </c>
      <c r="D709" s="3" t="s">
        <v>12</v>
      </c>
      <c r="E709" s="3" t="s">
        <v>138</v>
      </c>
      <c r="F709" s="3" t="n">
        <v>3500</v>
      </c>
      <c r="G709" s="3"/>
      <c r="H709" s="3"/>
      <c r="I709" s="4" t="str">
        <f aca="false">IF(AND($A709&lt;&gt;"",$A709=Подбор!$C$4),MAX(I$1:I708)+1,"")</f>
        <v/>
      </c>
    </row>
    <row r="710" customFormat="false" ht="15" hidden="false" customHeight="false" outlineLevel="0" collapsed="false">
      <c r="A710" s="3" t="s">
        <v>767</v>
      </c>
      <c r="B710" s="3" t="s">
        <v>57</v>
      </c>
      <c r="C710" s="3" t="s">
        <v>11</v>
      </c>
      <c r="D710" s="3" t="s">
        <v>12</v>
      </c>
      <c r="E710" s="3" t="s">
        <v>687</v>
      </c>
      <c r="F710" s="3" t="n">
        <v>2400</v>
      </c>
      <c r="G710" s="3"/>
      <c r="H710" s="3"/>
      <c r="I710" s="4" t="str">
        <f aca="false">IF(AND($A710&lt;&gt;"",$A710=Подбор!$C$4),MAX(I$1:I709)+1,"")</f>
        <v/>
      </c>
    </row>
    <row r="711" customFormat="false" ht="15" hidden="false" customHeight="false" outlineLevel="0" collapsed="false">
      <c r="A711" s="3" t="s">
        <v>768</v>
      </c>
      <c r="B711" s="3" t="s">
        <v>57</v>
      </c>
      <c r="C711" s="3" t="s">
        <v>11</v>
      </c>
      <c r="D711" s="3" t="s">
        <v>12</v>
      </c>
      <c r="E711" s="3" t="s">
        <v>769</v>
      </c>
      <c r="F711" s="3" t="n">
        <v>3000</v>
      </c>
      <c r="G711" s="3"/>
      <c r="H711" s="3"/>
      <c r="I711" s="4" t="str">
        <f aca="false">IF(AND($A711&lt;&gt;"",$A711=Подбор!$C$4),MAX(I$1:I710)+1,"")</f>
        <v/>
      </c>
    </row>
    <row r="712" customFormat="false" ht="15" hidden="false" customHeight="false" outlineLevel="0" collapsed="false">
      <c r="A712" s="3" t="s">
        <v>770</v>
      </c>
      <c r="B712" s="3" t="s">
        <v>57</v>
      </c>
      <c r="C712" s="3" t="s">
        <v>11</v>
      </c>
      <c r="D712" s="3" t="s">
        <v>12</v>
      </c>
      <c r="E712" s="3" t="s">
        <v>769</v>
      </c>
      <c r="F712" s="3" t="n">
        <v>3000</v>
      </c>
      <c r="G712" s="3"/>
      <c r="H712" s="3"/>
      <c r="I712" s="4" t="str">
        <f aca="false">IF(AND($A712&lt;&gt;"",$A712=Подбор!$C$4),MAX(I$1:I711)+1,"")</f>
        <v/>
      </c>
    </row>
    <row r="713" customFormat="false" ht="15" hidden="false" customHeight="false" outlineLevel="0" collapsed="false">
      <c r="A713" s="3" t="s">
        <v>771</v>
      </c>
      <c r="B713" s="3" t="s">
        <v>57</v>
      </c>
      <c r="C713" s="3" t="s">
        <v>11</v>
      </c>
      <c r="D713" s="3" t="s">
        <v>12</v>
      </c>
      <c r="E713" s="3" t="s">
        <v>138</v>
      </c>
      <c r="F713" s="3" t="n">
        <v>3500</v>
      </c>
      <c r="G713" s="3"/>
      <c r="H713" s="3"/>
      <c r="I713" s="4" t="str">
        <f aca="false">IF(AND($A713&lt;&gt;"",$A713=Подбор!$C$4),MAX(I$1:I712)+1,"")</f>
        <v/>
      </c>
    </row>
    <row r="714" customFormat="false" ht="15" hidden="false" customHeight="false" outlineLevel="0" collapsed="false">
      <c r="A714" s="3" t="s">
        <v>772</v>
      </c>
      <c r="B714" s="3" t="s">
        <v>57</v>
      </c>
      <c r="C714" s="3" t="s">
        <v>11</v>
      </c>
      <c r="D714" s="3" t="s">
        <v>12</v>
      </c>
      <c r="E714" s="3" t="s">
        <v>182</v>
      </c>
      <c r="F714" s="3" t="n">
        <v>2000</v>
      </c>
      <c r="G714" s="3"/>
      <c r="H714" s="3"/>
      <c r="I714" s="4" t="str">
        <f aca="false">IF(AND($A714&lt;&gt;"",$A714=Подбор!$C$4),MAX(I$1:I713)+1,"")</f>
        <v/>
      </c>
    </row>
    <row r="715" customFormat="false" ht="15" hidden="false" customHeight="false" outlineLevel="0" collapsed="false">
      <c r="A715" s="3" t="s">
        <v>773</v>
      </c>
      <c r="B715" s="3" t="s">
        <v>57</v>
      </c>
      <c r="C715" s="3" t="s">
        <v>11</v>
      </c>
      <c r="D715" s="3" t="s">
        <v>12</v>
      </c>
      <c r="E715" s="3" t="s">
        <v>182</v>
      </c>
      <c r="F715" s="3" t="n">
        <v>2000</v>
      </c>
      <c r="G715" s="3"/>
      <c r="H715" s="3"/>
      <c r="I715" s="4" t="str">
        <f aca="false">IF(AND($A715&lt;&gt;"",$A715=Подбор!$C$4),MAX(I$1:I714)+1,"")</f>
        <v/>
      </c>
    </row>
    <row r="716" customFormat="false" ht="15" hidden="false" customHeight="false" outlineLevel="0" collapsed="false">
      <c r="A716" s="3" t="s">
        <v>774</v>
      </c>
      <c r="B716" s="3" t="s">
        <v>57</v>
      </c>
      <c r="C716" s="3" t="s">
        <v>11</v>
      </c>
      <c r="D716" s="3" t="s">
        <v>12</v>
      </c>
      <c r="E716" s="3" t="s">
        <v>775</v>
      </c>
      <c r="F716" s="3" t="n">
        <v>5000</v>
      </c>
      <c r="G716" s="3"/>
      <c r="H716" s="3"/>
      <c r="I716" s="4" t="str">
        <f aca="false">IF(AND($A716&lt;&gt;"",$A716=Подбор!$C$4),MAX(I$1:I715)+1,"")</f>
        <v/>
      </c>
    </row>
    <row r="717" customFormat="false" ht="15" hidden="false" customHeight="false" outlineLevel="0" collapsed="false">
      <c r="A717" s="3" t="s">
        <v>776</v>
      </c>
      <c r="B717" s="3" t="s">
        <v>57</v>
      </c>
      <c r="C717" s="3" t="s">
        <v>11</v>
      </c>
      <c r="D717" s="3" t="s">
        <v>12</v>
      </c>
      <c r="E717" s="3" t="s">
        <v>91</v>
      </c>
      <c r="F717" s="3" t="n">
        <v>2200</v>
      </c>
      <c r="G717" s="3"/>
      <c r="H717" s="3"/>
      <c r="I717" s="4" t="str">
        <f aca="false">IF(AND($A717&lt;&gt;"",$A717=Подбор!$C$4),MAX(I$1:I716)+1,"")</f>
        <v/>
      </c>
    </row>
    <row r="718" customFormat="false" ht="15" hidden="false" customHeight="false" outlineLevel="0" collapsed="false">
      <c r="A718" s="3" t="s">
        <v>777</v>
      </c>
      <c r="B718" s="3" t="s">
        <v>57</v>
      </c>
      <c r="C718" s="3" t="s">
        <v>11</v>
      </c>
      <c r="D718" s="3" t="s">
        <v>12</v>
      </c>
      <c r="E718" s="3" t="s">
        <v>778</v>
      </c>
      <c r="F718" s="3" t="n">
        <v>7000</v>
      </c>
      <c r="G718" s="3"/>
      <c r="H718" s="3"/>
      <c r="I718" s="4" t="str">
        <f aca="false">IF(AND($A718&lt;&gt;"",$A718=Подбор!$C$4),MAX(I$1:I717)+1,"")</f>
        <v/>
      </c>
    </row>
    <row r="719" customFormat="false" ht="15" hidden="false" customHeight="false" outlineLevel="0" collapsed="false">
      <c r="A719" s="3" t="s">
        <v>779</v>
      </c>
      <c r="B719" s="3" t="s">
        <v>57</v>
      </c>
      <c r="C719" s="3" t="s">
        <v>11</v>
      </c>
      <c r="D719" s="3" t="s">
        <v>12</v>
      </c>
      <c r="E719" s="3" t="s">
        <v>628</v>
      </c>
      <c r="F719" s="3" t="n">
        <v>13500</v>
      </c>
      <c r="G719" s="3"/>
      <c r="H719" s="3"/>
      <c r="I719" s="4" t="str">
        <f aca="false">IF(AND($A719&lt;&gt;"",$A719=Подбор!$C$4),MAX(I$1:I718)+1,"")</f>
        <v/>
      </c>
    </row>
    <row r="720" customFormat="false" ht="15" hidden="false" customHeight="false" outlineLevel="0" collapsed="false">
      <c r="A720" s="3" t="s">
        <v>780</v>
      </c>
      <c r="B720" s="3" t="s">
        <v>57</v>
      </c>
      <c r="C720" s="3" t="s">
        <v>11</v>
      </c>
      <c r="D720" s="3" t="s">
        <v>12</v>
      </c>
      <c r="E720" s="3" t="s">
        <v>775</v>
      </c>
      <c r="F720" s="3" t="n">
        <v>5000</v>
      </c>
      <c r="G720" s="3"/>
      <c r="H720" s="3"/>
      <c r="I720" s="4" t="str">
        <f aca="false">IF(AND($A720&lt;&gt;"",$A720=Подбор!$C$4),MAX(I$1:I719)+1,"")</f>
        <v/>
      </c>
    </row>
    <row r="721" customFormat="false" ht="15" hidden="false" customHeight="false" outlineLevel="0" collapsed="false">
      <c r="A721" s="3" t="s">
        <v>781</v>
      </c>
      <c r="B721" s="3" t="s">
        <v>57</v>
      </c>
      <c r="C721" s="3" t="s">
        <v>11</v>
      </c>
      <c r="D721" s="3" t="s">
        <v>12</v>
      </c>
      <c r="E721" s="3" t="s">
        <v>184</v>
      </c>
      <c r="F721" s="3" t="n">
        <v>13500</v>
      </c>
      <c r="G721" s="3"/>
      <c r="H721" s="3"/>
      <c r="I721" s="4" t="str">
        <f aca="false">IF(AND($A721&lt;&gt;"",$A721=Подбор!$C$4),MAX(I$1:I720)+1,"")</f>
        <v/>
      </c>
    </row>
    <row r="722" customFormat="false" ht="15" hidden="false" customHeight="false" outlineLevel="0" collapsed="false">
      <c r="A722" s="3" t="s">
        <v>782</v>
      </c>
      <c r="B722" s="3" t="s">
        <v>57</v>
      </c>
      <c r="C722" s="3" t="s">
        <v>11</v>
      </c>
      <c r="D722" s="3" t="s">
        <v>12</v>
      </c>
      <c r="E722" s="3" t="s">
        <v>707</v>
      </c>
      <c r="F722" s="3" t="n">
        <v>24000</v>
      </c>
      <c r="G722" s="3"/>
      <c r="H722" s="3"/>
      <c r="I722" s="4" t="str">
        <f aca="false">IF(AND($A722&lt;&gt;"",$A722=Подбор!$C$4),MAX(I$1:I721)+1,"")</f>
        <v/>
      </c>
    </row>
    <row r="723" customFormat="false" ht="15" hidden="false" customHeight="false" outlineLevel="0" collapsed="false">
      <c r="A723" s="3" t="s">
        <v>783</v>
      </c>
      <c r="B723" s="3" t="s">
        <v>57</v>
      </c>
      <c r="C723" s="3" t="s">
        <v>11</v>
      </c>
      <c r="D723" s="3" t="s">
        <v>12</v>
      </c>
      <c r="E723" s="3" t="s">
        <v>710</v>
      </c>
      <c r="F723" s="3" t="n">
        <v>10000</v>
      </c>
      <c r="G723" s="3"/>
      <c r="H723" s="3"/>
      <c r="I723" s="4" t="str">
        <f aca="false">IF(AND($A723&lt;&gt;"",$A723=Подбор!$C$4),MAX(I$1:I722)+1,"")</f>
        <v/>
      </c>
    </row>
    <row r="724" customFormat="false" ht="15" hidden="false" customHeight="false" outlineLevel="0" collapsed="false">
      <c r="A724" s="3" t="s">
        <v>784</v>
      </c>
      <c r="B724" s="3" t="s">
        <v>57</v>
      </c>
      <c r="C724" s="3" t="s">
        <v>11</v>
      </c>
      <c r="D724" s="3" t="s">
        <v>12</v>
      </c>
      <c r="E724" s="3" t="s">
        <v>710</v>
      </c>
      <c r="F724" s="3" t="n">
        <v>10000</v>
      </c>
      <c r="G724" s="3"/>
      <c r="H724" s="3"/>
      <c r="I724" s="4" t="str">
        <f aca="false">IF(AND($A724&lt;&gt;"",$A724=Подбор!$C$4),MAX(I$1:I723)+1,"")</f>
        <v/>
      </c>
    </row>
    <row r="725" customFormat="false" ht="15" hidden="false" customHeight="false" outlineLevel="0" collapsed="false">
      <c r="A725" s="3" t="s">
        <v>785</v>
      </c>
      <c r="B725" s="3" t="s">
        <v>57</v>
      </c>
      <c r="C725" s="3" t="s">
        <v>11</v>
      </c>
      <c r="D725" s="3" t="s">
        <v>12</v>
      </c>
      <c r="E725" s="3" t="s">
        <v>786</v>
      </c>
      <c r="F725" s="3" t="n">
        <v>10000</v>
      </c>
      <c r="G725" s="3"/>
      <c r="H725" s="3"/>
      <c r="I725" s="4" t="str">
        <f aca="false">IF(AND($A725&lt;&gt;"",$A725=Подбор!$C$4),MAX(I$1:I724)+1,"")</f>
        <v/>
      </c>
    </row>
    <row r="726" customFormat="false" ht="15" hidden="false" customHeight="false" outlineLevel="0" collapsed="false">
      <c r="A726" s="3" t="s">
        <v>787</v>
      </c>
      <c r="B726" s="3" t="s">
        <v>57</v>
      </c>
      <c r="C726" s="3" t="s">
        <v>11</v>
      </c>
      <c r="D726" s="3" t="s">
        <v>12</v>
      </c>
      <c r="E726" s="3" t="s">
        <v>788</v>
      </c>
      <c r="F726" s="3" t="n">
        <v>23000</v>
      </c>
      <c r="G726" s="3"/>
      <c r="H726" s="3"/>
      <c r="I726" s="4" t="str">
        <f aca="false">IF(AND($A726&lt;&gt;"",$A726=Подбор!$C$4),MAX(I$1:I725)+1,"")</f>
        <v/>
      </c>
    </row>
    <row r="727" customFormat="false" ht="15" hidden="false" customHeight="false" outlineLevel="0" collapsed="false">
      <c r="A727" s="3" t="s">
        <v>789</v>
      </c>
      <c r="B727" s="3" t="s">
        <v>57</v>
      </c>
      <c r="C727" s="3" t="s">
        <v>11</v>
      </c>
      <c r="D727" s="3" t="s">
        <v>12</v>
      </c>
      <c r="E727" s="3" t="s">
        <v>221</v>
      </c>
      <c r="F727" s="3" t="n">
        <v>17500</v>
      </c>
      <c r="G727" s="3"/>
      <c r="H727" s="3"/>
      <c r="I727" s="4" t="str">
        <f aca="false">IF(AND($A727&lt;&gt;"",$A727=Подбор!$C$4),MAX(I$1:I726)+1,"")</f>
        <v/>
      </c>
    </row>
    <row r="728" customFormat="false" ht="15" hidden="false" customHeight="false" outlineLevel="0" collapsed="false">
      <c r="A728" s="3" t="s">
        <v>790</v>
      </c>
      <c r="B728" s="3" t="s">
        <v>57</v>
      </c>
      <c r="C728" s="3" t="s">
        <v>11</v>
      </c>
      <c r="D728" s="3" t="s">
        <v>12</v>
      </c>
      <c r="E728" s="3" t="s">
        <v>221</v>
      </c>
      <c r="F728" s="3" t="n">
        <v>17500</v>
      </c>
      <c r="G728" s="3"/>
      <c r="H728" s="3"/>
      <c r="I728" s="4" t="str">
        <f aca="false">IF(AND($A728&lt;&gt;"",$A728=Подбор!$C$4),MAX(I$1:I727)+1,"")</f>
        <v/>
      </c>
    </row>
    <row r="729" customFormat="false" ht="15" hidden="false" customHeight="false" outlineLevel="0" collapsed="false">
      <c r="A729" s="3" t="s">
        <v>791</v>
      </c>
      <c r="B729" s="3" t="s">
        <v>57</v>
      </c>
      <c r="C729" s="3" t="s">
        <v>11</v>
      </c>
      <c r="D729" s="3" t="s">
        <v>12</v>
      </c>
      <c r="E729" s="3" t="s">
        <v>114</v>
      </c>
      <c r="F729" s="3" t="n">
        <v>3100</v>
      </c>
      <c r="G729" s="3"/>
      <c r="H729" s="3"/>
      <c r="I729" s="4" t="str">
        <f aca="false">IF(AND($A729&lt;&gt;"",$A729=Подбор!$C$4),MAX(I$1:I728)+1,"")</f>
        <v/>
      </c>
    </row>
    <row r="730" customFormat="false" ht="15" hidden="false" customHeight="false" outlineLevel="0" collapsed="false">
      <c r="A730" s="3" t="s">
        <v>792</v>
      </c>
      <c r="B730" s="3" t="s">
        <v>57</v>
      </c>
      <c r="C730" s="3" t="s">
        <v>11</v>
      </c>
      <c r="D730" s="3" t="s">
        <v>12</v>
      </c>
      <c r="E730" s="3" t="s">
        <v>721</v>
      </c>
      <c r="F730" s="3" t="n">
        <v>11000</v>
      </c>
      <c r="G730" s="3"/>
      <c r="H730" s="3"/>
      <c r="I730" s="4" t="str">
        <f aca="false">IF(AND($A730&lt;&gt;"",$A730=Подбор!$C$4),MAX(I$1:I729)+1,"")</f>
        <v/>
      </c>
    </row>
    <row r="731" customFormat="false" ht="15" hidden="false" customHeight="false" outlineLevel="0" collapsed="false">
      <c r="A731" s="3" t="s">
        <v>793</v>
      </c>
      <c r="B731" s="3" t="s">
        <v>57</v>
      </c>
      <c r="C731" s="3" t="s">
        <v>11</v>
      </c>
      <c r="D731" s="3" t="s">
        <v>12</v>
      </c>
      <c r="E731" s="3" t="s">
        <v>127</v>
      </c>
      <c r="F731" s="3" t="n">
        <v>6500</v>
      </c>
      <c r="G731" s="3"/>
      <c r="H731" s="3"/>
      <c r="I731" s="4" t="str">
        <f aca="false">IF(AND($A731&lt;&gt;"",$A731=Подбор!$C$4),MAX(I$1:I730)+1,"")</f>
        <v/>
      </c>
    </row>
    <row r="732" customFormat="false" ht="15" hidden="false" customHeight="false" outlineLevel="0" collapsed="false">
      <c r="A732" s="3" t="s">
        <v>794</v>
      </c>
      <c r="B732" s="3" t="s">
        <v>57</v>
      </c>
      <c r="C732" s="3" t="s">
        <v>11</v>
      </c>
      <c r="D732" s="3" t="s">
        <v>12</v>
      </c>
      <c r="E732" s="3" t="s">
        <v>177</v>
      </c>
      <c r="F732" s="3" t="n">
        <v>2500</v>
      </c>
      <c r="G732" s="3"/>
      <c r="H732" s="3"/>
      <c r="I732" s="4" t="str">
        <f aca="false">IF(AND($A732&lt;&gt;"",$A732=Подбор!$C$4),MAX(I$1:I731)+1,"")</f>
        <v/>
      </c>
    </row>
    <row r="733" customFormat="false" ht="15" hidden="false" customHeight="false" outlineLevel="0" collapsed="false">
      <c r="A733" s="3" t="s">
        <v>795</v>
      </c>
      <c r="B733" s="3" t="s">
        <v>57</v>
      </c>
      <c r="C733" s="3" t="s">
        <v>11</v>
      </c>
      <c r="D733" s="3" t="s">
        <v>12</v>
      </c>
      <c r="E733" s="3" t="s">
        <v>796</v>
      </c>
      <c r="F733" s="3" t="n">
        <v>12000</v>
      </c>
      <c r="G733" s="3"/>
      <c r="H733" s="3"/>
      <c r="I733" s="4" t="str">
        <f aca="false">IF(AND($A733&lt;&gt;"",$A733=Подбор!$C$4),MAX(I$1:I732)+1,"")</f>
        <v/>
      </c>
    </row>
    <row r="734" customFormat="false" ht="15" hidden="false" customHeight="false" outlineLevel="0" collapsed="false">
      <c r="A734" s="3" t="s">
        <v>797</v>
      </c>
      <c r="B734" s="3" t="s">
        <v>57</v>
      </c>
      <c r="C734" s="3" t="s">
        <v>11</v>
      </c>
      <c r="D734" s="3" t="s">
        <v>12</v>
      </c>
      <c r="E734" s="3" t="s">
        <v>136</v>
      </c>
      <c r="F734" s="3" t="n">
        <v>20000</v>
      </c>
      <c r="G734" s="3"/>
      <c r="H734" s="3"/>
      <c r="I734" s="4" t="str">
        <f aca="false">IF(AND($A734&lt;&gt;"",$A734=Подбор!$C$4),MAX(I$1:I733)+1,"")</f>
        <v/>
      </c>
    </row>
    <row r="735" customFormat="false" ht="15" hidden="false" customHeight="false" outlineLevel="0" collapsed="false">
      <c r="A735" s="3" t="s">
        <v>798</v>
      </c>
      <c r="B735" s="3" t="s">
        <v>57</v>
      </c>
      <c r="C735" s="3" t="s">
        <v>11</v>
      </c>
      <c r="D735" s="3" t="s">
        <v>12</v>
      </c>
      <c r="E735" s="3" t="s">
        <v>177</v>
      </c>
      <c r="F735" s="3" t="n">
        <v>2500</v>
      </c>
      <c r="G735" s="3"/>
      <c r="H735" s="3"/>
      <c r="I735" s="4" t="str">
        <f aca="false">IF(AND($A735&lt;&gt;"",$A735=Подбор!$C$4),MAX(I$1:I734)+1,"")</f>
        <v/>
      </c>
    </row>
    <row r="736" customFormat="false" ht="15" hidden="false" customHeight="false" outlineLevel="0" collapsed="false">
      <c r="A736" s="3" t="s">
        <v>799</v>
      </c>
      <c r="B736" s="3" t="s">
        <v>57</v>
      </c>
      <c r="C736" s="3" t="s">
        <v>567</v>
      </c>
      <c r="D736" s="3" t="s">
        <v>12</v>
      </c>
      <c r="E736" s="3" t="s">
        <v>619</v>
      </c>
      <c r="F736" s="3" t="n">
        <v>10000</v>
      </c>
      <c r="G736" s="3"/>
      <c r="H736" s="3"/>
      <c r="I736" s="4" t="str">
        <f aca="false">IF(AND($A736&lt;&gt;"",$A736=Подбор!$C$4),MAX(I$1:I735)+1,"")</f>
        <v/>
      </c>
    </row>
    <row r="737" customFormat="false" ht="15" hidden="false" customHeight="false" outlineLevel="0" collapsed="false">
      <c r="A737" s="3" t="s">
        <v>800</v>
      </c>
      <c r="B737" s="3" t="s">
        <v>57</v>
      </c>
      <c r="C737" s="3" t="s">
        <v>567</v>
      </c>
      <c r="D737" s="3" t="s">
        <v>12</v>
      </c>
      <c r="E737" s="3" t="s">
        <v>626</v>
      </c>
      <c r="F737" s="3" t="n">
        <v>10000</v>
      </c>
      <c r="G737" s="3"/>
      <c r="H737" s="3"/>
      <c r="I737" s="4" t="str">
        <f aca="false">IF(AND($A737&lt;&gt;"",$A737=Подбор!$C$4),MAX(I$1:I736)+1,"")</f>
        <v/>
      </c>
    </row>
    <row r="738" customFormat="false" ht="15" hidden="false" customHeight="false" outlineLevel="0" collapsed="false">
      <c r="A738" s="3" t="s">
        <v>801</v>
      </c>
      <c r="B738" s="3" t="s">
        <v>57</v>
      </c>
      <c r="C738" s="3" t="s">
        <v>11</v>
      </c>
      <c r="D738" s="3" t="s">
        <v>12</v>
      </c>
      <c r="E738" s="3" t="s">
        <v>97</v>
      </c>
      <c r="F738" s="3" t="n">
        <v>1600</v>
      </c>
      <c r="G738" s="3"/>
      <c r="H738" s="3"/>
      <c r="I738" s="4" t="str">
        <f aca="false">IF(AND($A738&lt;&gt;"",$A738=Подбор!$C$4),MAX(I$1:I737)+1,"")</f>
        <v/>
      </c>
    </row>
    <row r="739" customFormat="false" ht="15" hidden="false" customHeight="false" outlineLevel="0" collapsed="false">
      <c r="A739" s="3" t="s">
        <v>802</v>
      </c>
      <c r="B739" s="3" t="s">
        <v>57</v>
      </c>
      <c r="C739" s="3" t="s">
        <v>11</v>
      </c>
      <c r="D739" s="3" t="s">
        <v>12</v>
      </c>
      <c r="E739" s="3" t="s">
        <v>743</v>
      </c>
      <c r="F739" s="3" t="n">
        <v>1600</v>
      </c>
      <c r="G739" s="3"/>
      <c r="H739" s="3"/>
      <c r="I739" s="4" t="str">
        <f aca="false">IF(AND($A739&lt;&gt;"",$A739=Подбор!$C$4),MAX(I$1:I738)+1,"")</f>
        <v/>
      </c>
    </row>
    <row r="740" customFormat="false" ht="15" hidden="false" customHeight="false" outlineLevel="0" collapsed="false">
      <c r="A740" s="3" t="s">
        <v>803</v>
      </c>
      <c r="B740" s="3" t="s">
        <v>57</v>
      </c>
      <c r="C740" s="3" t="s">
        <v>11</v>
      </c>
      <c r="D740" s="3" t="s">
        <v>12</v>
      </c>
      <c r="E740" s="3" t="s">
        <v>657</v>
      </c>
      <c r="F740" s="3" t="n">
        <v>3000</v>
      </c>
      <c r="G740" s="3"/>
      <c r="H740" s="3"/>
      <c r="I740" s="4" t="str">
        <f aca="false">IF(AND($A740&lt;&gt;"",$A740=Подбор!$C$4),MAX(I$1:I739)+1,"")</f>
        <v/>
      </c>
    </row>
    <row r="741" customFormat="false" ht="15" hidden="false" customHeight="false" outlineLevel="0" collapsed="false">
      <c r="A741" s="3" t="s">
        <v>804</v>
      </c>
      <c r="B741" s="3" t="s">
        <v>57</v>
      </c>
      <c r="C741" s="3" t="s">
        <v>11</v>
      </c>
      <c r="D741" s="3" t="s">
        <v>12</v>
      </c>
      <c r="E741" s="3" t="s">
        <v>127</v>
      </c>
      <c r="F741" s="3" t="n">
        <v>6500</v>
      </c>
      <c r="G741" s="3"/>
      <c r="H741" s="3"/>
      <c r="I741" s="4" t="str">
        <f aca="false">IF(AND($A741&lt;&gt;"",$A741=Подбор!$C$4),MAX(I$1:I740)+1,"")</f>
        <v/>
      </c>
    </row>
    <row r="742" customFormat="false" ht="15" hidden="false" customHeight="false" outlineLevel="0" collapsed="false">
      <c r="A742" s="3" t="s">
        <v>805</v>
      </c>
      <c r="B742" s="3" t="s">
        <v>57</v>
      </c>
      <c r="C742" s="3" t="s">
        <v>11</v>
      </c>
      <c r="D742" s="3" t="s">
        <v>12</v>
      </c>
      <c r="E742" s="3" t="s">
        <v>120</v>
      </c>
      <c r="F742" s="3" t="n">
        <v>3000</v>
      </c>
      <c r="G742" s="3"/>
      <c r="H742" s="3"/>
      <c r="I742" s="4" t="str">
        <f aca="false">IF(AND($A742&lt;&gt;"",$A742=Подбор!$C$4),MAX(I$1:I741)+1,"")</f>
        <v/>
      </c>
    </row>
    <row r="743" customFormat="false" ht="15" hidden="false" customHeight="false" outlineLevel="0" collapsed="false">
      <c r="A743" s="3" t="s">
        <v>806</v>
      </c>
      <c r="B743" s="3" t="s">
        <v>57</v>
      </c>
      <c r="C743" s="3" t="s">
        <v>11</v>
      </c>
      <c r="D743" s="3" t="s">
        <v>12</v>
      </c>
      <c r="E743" s="3" t="s">
        <v>807</v>
      </c>
      <c r="F743" s="3" t="n">
        <v>15000</v>
      </c>
      <c r="G743" s="3"/>
      <c r="H743" s="3"/>
      <c r="I743" s="4" t="str">
        <f aca="false">IF(AND($A743&lt;&gt;"",$A743=Подбор!$C$4),MAX(I$1:I742)+1,"")</f>
        <v/>
      </c>
    </row>
    <row r="744" customFormat="false" ht="15" hidden="false" customHeight="false" outlineLevel="0" collapsed="false">
      <c r="A744" s="3" t="s">
        <v>808</v>
      </c>
      <c r="B744" s="3" t="s">
        <v>57</v>
      </c>
      <c r="C744" s="3" t="s">
        <v>11</v>
      </c>
      <c r="D744" s="3" t="s">
        <v>12</v>
      </c>
      <c r="E744" s="3" t="s">
        <v>807</v>
      </c>
      <c r="F744" s="3" t="n">
        <v>15000</v>
      </c>
      <c r="G744" s="3"/>
      <c r="H744" s="3"/>
      <c r="I744" s="4" t="str">
        <f aca="false">IF(AND($A744&lt;&gt;"",$A744=Подбор!$C$4),MAX(I$1:I743)+1,"")</f>
        <v/>
      </c>
    </row>
    <row r="745" customFormat="false" ht="15" hidden="false" customHeight="false" outlineLevel="0" collapsed="false">
      <c r="A745" s="3" t="s">
        <v>809</v>
      </c>
      <c r="B745" s="3" t="s">
        <v>57</v>
      </c>
      <c r="C745" s="3" t="s">
        <v>11</v>
      </c>
      <c r="D745" s="3" t="s">
        <v>12</v>
      </c>
      <c r="E745" s="3" t="s">
        <v>807</v>
      </c>
      <c r="F745" s="3" t="n">
        <v>15000</v>
      </c>
      <c r="G745" s="3"/>
      <c r="H745" s="3"/>
      <c r="I745" s="4" t="str">
        <f aca="false">IF(AND($A745&lt;&gt;"",$A745=Подбор!$C$4),MAX(I$1:I744)+1,"")</f>
        <v/>
      </c>
    </row>
    <row r="746" customFormat="false" ht="15" hidden="false" customHeight="false" outlineLevel="0" collapsed="false">
      <c r="A746" s="3" t="s">
        <v>810</v>
      </c>
      <c r="B746" s="3" t="s">
        <v>57</v>
      </c>
      <c r="C746" s="3" t="s">
        <v>11</v>
      </c>
      <c r="D746" s="3" t="s">
        <v>12</v>
      </c>
      <c r="E746" s="3" t="s">
        <v>807</v>
      </c>
      <c r="F746" s="3" t="n">
        <v>15000</v>
      </c>
      <c r="G746" s="3"/>
      <c r="H746" s="3"/>
      <c r="I746" s="4" t="str">
        <f aca="false">IF(AND($A746&lt;&gt;"",$A746=Подбор!$C$4),MAX(I$1:I745)+1,"")</f>
        <v/>
      </c>
    </row>
    <row r="747" customFormat="false" ht="15" hidden="false" customHeight="false" outlineLevel="0" collapsed="false">
      <c r="A747" s="3" t="s">
        <v>811</v>
      </c>
      <c r="B747" s="3" t="s">
        <v>57</v>
      </c>
      <c r="C747" s="3" t="s">
        <v>11</v>
      </c>
      <c r="D747" s="3" t="s">
        <v>12</v>
      </c>
      <c r="E747" s="3" t="s">
        <v>87</v>
      </c>
      <c r="F747" s="3" t="n">
        <v>18000</v>
      </c>
      <c r="G747" s="3"/>
      <c r="H747" s="3"/>
      <c r="I747" s="4" t="str">
        <f aca="false">IF(AND($A747&lt;&gt;"",$A747=Подбор!$C$4),MAX(I$1:I746)+1,"")</f>
        <v/>
      </c>
    </row>
    <row r="748" customFormat="false" ht="15" hidden="false" customHeight="false" outlineLevel="0" collapsed="false">
      <c r="A748" s="3" t="s">
        <v>812</v>
      </c>
      <c r="B748" s="3" t="s">
        <v>57</v>
      </c>
      <c r="C748" s="3" t="s">
        <v>11</v>
      </c>
      <c r="D748" s="3" t="s">
        <v>12</v>
      </c>
      <c r="E748" s="3" t="s">
        <v>603</v>
      </c>
      <c r="F748" s="3" t="n">
        <v>6000</v>
      </c>
      <c r="G748" s="3"/>
      <c r="H748" s="3"/>
      <c r="I748" s="4" t="str">
        <f aca="false">IF(AND($A748&lt;&gt;"",$A748=Подбор!$C$4),MAX(I$1:I747)+1,"")</f>
        <v/>
      </c>
    </row>
    <row r="749" customFormat="false" ht="15" hidden="false" customHeight="false" outlineLevel="0" collapsed="false">
      <c r="A749" s="3" t="s">
        <v>813</v>
      </c>
      <c r="B749" s="3" t="s">
        <v>57</v>
      </c>
      <c r="C749" s="3" t="s">
        <v>11</v>
      </c>
      <c r="D749" s="3" t="s">
        <v>12</v>
      </c>
      <c r="E749" s="3" t="s">
        <v>221</v>
      </c>
      <c r="F749" s="3" t="n">
        <v>17500</v>
      </c>
      <c r="G749" s="3"/>
      <c r="H749" s="3"/>
      <c r="I749" s="4" t="str">
        <f aca="false">IF(AND($A749&lt;&gt;"",$A749=Подбор!$C$4),MAX(I$1:I748)+1,"")</f>
        <v/>
      </c>
    </row>
    <row r="750" customFormat="false" ht="15" hidden="false" customHeight="false" outlineLevel="0" collapsed="false">
      <c r="A750" s="3" t="s">
        <v>814</v>
      </c>
      <c r="B750" s="3" t="s">
        <v>57</v>
      </c>
      <c r="C750" s="3" t="s">
        <v>11</v>
      </c>
      <c r="D750" s="3" t="s">
        <v>12</v>
      </c>
      <c r="E750" s="3" t="s">
        <v>182</v>
      </c>
      <c r="F750" s="3" t="n">
        <v>2000</v>
      </c>
      <c r="G750" s="3"/>
      <c r="H750" s="3"/>
      <c r="I750" s="4" t="str">
        <f aca="false">IF(AND($A750&lt;&gt;"",$A750=Подбор!$C$4),MAX(I$1:I749)+1,"")</f>
        <v/>
      </c>
    </row>
    <row r="751" customFormat="false" ht="15" hidden="false" customHeight="false" outlineLevel="0" collapsed="false">
      <c r="A751" s="3" t="s">
        <v>815</v>
      </c>
      <c r="B751" s="3" t="s">
        <v>68</v>
      </c>
      <c r="C751" s="3" t="s">
        <v>11</v>
      </c>
      <c r="D751" s="3" t="s">
        <v>12</v>
      </c>
      <c r="E751" s="3" t="s">
        <v>212</v>
      </c>
      <c r="F751" s="3" t="n">
        <v>3000</v>
      </c>
      <c r="G751" s="3"/>
      <c r="H751" s="3"/>
      <c r="I751" s="4" t="str">
        <f aca="false">IF(AND($A751&lt;&gt;"",$A751=Подбор!$C$4),MAX(I$1:I750)+1,"")</f>
        <v/>
      </c>
    </row>
    <row r="752" customFormat="false" ht="15" hidden="false" customHeight="false" outlineLevel="0" collapsed="false">
      <c r="A752" s="3" t="s">
        <v>816</v>
      </c>
      <c r="B752" s="3" t="s">
        <v>57</v>
      </c>
      <c r="C752" s="3" t="s">
        <v>11</v>
      </c>
      <c r="D752" s="3" t="s">
        <v>12</v>
      </c>
      <c r="E752" s="3" t="s">
        <v>97</v>
      </c>
      <c r="F752" s="3" t="n">
        <v>1600</v>
      </c>
      <c r="G752" s="3"/>
      <c r="H752" s="3"/>
      <c r="I752" s="4" t="str">
        <f aca="false">IF(AND($A752&lt;&gt;"",$A752=Подбор!$C$4),MAX(I$1:I751)+1,"")</f>
        <v/>
      </c>
    </row>
    <row r="753" customFormat="false" ht="15" hidden="false" customHeight="false" outlineLevel="0" collapsed="false">
      <c r="A753" s="3" t="s">
        <v>817</v>
      </c>
      <c r="B753" s="3" t="s">
        <v>57</v>
      </c>
      <c r="C753" s="3" t="s">
        <v>11</v>
      </c>
      <c r="D753" s="3" t="s">
        <v>12</v>
      </c>
      <c r="E753" s="3" t="s">
        <v>89</v>
      </c>
      <c r="F753" s="3" t="n">
        <v>2000</v>
      </c>
      <c r="G753" s="3"/>
      <c r="H753" s="3"/>
      <c r="I753" s="4" t="str">
        <f aca="false">IF(AND($A753&lt;&gt;"",$A753=Подбор!$C$4),MAX(I$1:I752)+1,"")</f>
        <v/>
      </c>
    </row>
    <row r="754" customFormat="false" ht="15" hidden="false" customHeight="false" outlineLevel="0" collapsed="false">
      <c r="A754" s="3" t="s">
        <v>818</v>
      </c>
      <c r="B754" s="3" t="s">
        <v>57</v>
      </c>
      <c r="C754" s="3" t="s">
        <v>11</v>
      </c>
      <c r="D754" s="3" t="s">
        <v>12</v>
      </c>
      <c r="E754" s="3" t="s">
        <v>177</v>
      </c>
      <c r="F754" s="3" t="n">
        <v>2500</v>
      </c>
      <c r="G754" s="3"/>
      <c r="H754" s="3"/>
      <c r="I754" s="4" t="str">
        <f aca="false">IF(AND($A754&lt;&gt;"",$A754=Подбор!$C$4),MAX(I$1:I753)+1,"")</f>
        <v/>
      </c>
    </row>
    <row r="755" customFormat="false" ht="15" hidden="false" customHeight="false" outlineLevel="0" collapsed="false">
      <c r="A755" s="3" t="s">
        <v>819</v>
      </c>
      <c r="B755" s="3" t="s">
        <v>57</v>
      </c>
      <c r="C755" s="3" t="s">
        <v>11</v>
      </c>
      <c r="D755" s="3" t="s">
        <v>12</v>
      </c>
      <c r="E755" s="3" t="s">
        <v>177</v>
      </c>
      <c r="F755" s="3" t="n">
        <v>2500</v>
      </c>
      <c r="G755" s="3"/>
      <c r="H755" s="3"/>
      <c r="I755" s="4" t="str">
        <f aca="false">IF(AND($A755&lt;&gt;"",$A755=Подбор!$C$4),MAX(I$1:I754)+1,"")</f>
        <v/>
      </c>
    </row>
    <row r="756" customFormat="false" ht="15" hidden="false" customHeight="false" outlineLevel="0" collapsed="false">
      <c r="A756" s="3" t="s">
        <v>820</v>
      </c>
      <c r="B756" s="3" t="s">
        <v>57</v>
      </c>
      <c r="C756" s="3" t="s">
        <v>11</v>
      </c>
      <c r="D756" s="3" t="s">
        <v>12</v>
      </c>
      <c r="E756" s="3" t="s">
        <v>89</v>
      </c>
      <c r="F756" s="3" t="n">
        <v>2000</v>
      </c>
      <c r="G756" s="3"/>
      <c r="H756" s="3"/>
      <c r="I756" s="4" t="str">
        <f aca="false">IF(AND($A756&lt;&gt;"",$A756=Подбор!$C$4),MAX(I$1:I755)+1,"")</f>
        <v/>
      </c>
    </row>
    <row r="757" customFormat="false" ht="15" hidden="false" customHeight="false" outlineLevel="0" collapsed="false">
      <c r="A757" s="3" t="s">
        <v>821</v>
      </c>
      <c r="B757" s="3" t="s">
        <v>57</v>
      </c>
      <c r="C757" s="3" t="s">
        <v>11</v>
      </c>
      <c r="D757" s="3" t="s">
        <v>12</v>
      </c>
      <c r="E757" s="3" t="s">
        <v>822</v>
      </c>
      <c r="F757" s="3" t="n">
        <v>6000</v>
      </c>
      <c r="G757" s="3"/>
      <c r="H757" s="3"/>
      <c r="I757" s="4" t="str">
        <f aca="false">IF(AND($A757&lt;&gt;"",$A757=Подбор!$C$4),MAX(I$1:I756)+1,"")</f>
        <v/>
      </c>
    </row>
    <row r="758" customFormat="false" ht="15" hidden="false" customHeight="false" outlineLevel="0" collapsed="false">
      <c r="A758" s="3" t="s">
        <v>823</v>
      </c>
      <c r="B758" s="3" t="s">
        <v>57</v>
      </c>
      <c r="C758" s="3" t="s">
        <v>11</v>
      </c>
      <c r="D758" s="3" t="s">
        <v>12</v>
      </c>
      <c r="E758" s="3" t="s">
        <v>822</v>
      </c>
      <c r="F758" s="3" t="n">
        <v>6000</v>
      </c>
      <c r="G758" s="3"/>
      <c r="H758" s="3"/>
      <c r="I758" s="4" t="str">
        <f aca="false">IF(AND($A758&lt;&gt;"",$A758=Подбор!$C$4),MAX(I$1:I757)+1,"")</f>
        <v/>
      </c>
    </row>
    <row r="759" customFormat="false" ht="15" hidden="false" customHeight="false" outlineLevel="0" collapsed="false">
      <c r="A759" s="3" t="s">
        <v>824</v>
      </c>
      <c r="B759" s="3" t="s">
        <v>57</v>
      </c>
      <c r="C759" s="3" t="s">
        <v>11</v>
      </c>
      <c r="D759" s="3" t="s">
        <v>12</v>
      </c>
      <c r="E759" s="3" t="s">
        <v>822</v>
      </c>
      <c r="F759" s="3" t="n">
        <v>6000</v>
      </c>
      <c r="G759" s="3"/>
      <c r="H759" s="3"/>
      <c r="I759" s="4" t="str">
        <f aca="false">IF(AND($A759&lt;&gt;"",$A759=Подбор!$C$4),MAX(I$1:I758)+1,"")</f>
        <v/>
      </c>
    </row>
    <row r="760" customFormat="false" ht="15" hidden="false" customHeight="false" outlineLevel="0" collapsed="false">
      <c r="A760" s="3" t="s">
        <v>825</v>
      </c>
      <c r="B760" s="3" t="s">
        <v>57</v>
      </c>
      <c r="C760" s="3" t="s">
        <v>11</v>
      </c>
      <c r="D760" s="3" t="s">
        <v>12</v>
      </c>
      <c r="E760" s="3" t="s">
        <v>822</v>
      </c>
      <c r="F760" s="3" t="n">
        <v>6000</v>
      </c>
      <c r="G760" s="3"/>
      <c r="H760" s="3"/>
      <c r="I760" s="4" t="str">
        <f aca="false">IF(AND($A760&lt;&gt;"",$A760=Подбор!$C$4),MAX(I$1:I759)+1,"")</f>
        <v/>
      </c>
    </row>
    <row r="761" customFormat="false" ht="15" hidden="false" customHeight="false" outlineLevel="0" collapsed="false">
      <c r="A761" s="3" t="s">
        <v>826</v>
      </c>
      <c r="B761" s="3" t="s">
        <v>57</v>
      </c>
      <c r="C761" s="3" t="s">
        <v>11</v>
      </c>
      <c r="D761" s="3" t="s">
        <v>12</v>
      </c>
      <c r="E761" s="3" t="s">
        <v>127</v>
      </c>
      <c r="F761" s="3" t="n">
        <v>6500</v>
      </c>
      <c r="G761" s="3"/>
      <c r="H761" s="3"/>
      <c r="I761" s="4" t="str">
        <f aca="false">IF(AND($A761&lt;&gt;"",$A761=Подбор!$C$4),MAX(I$1:I760)+1,"")</f>
        <v/>
      </c>
    </row>
    <row r="762" customFormat="false" ht="15" hidden="false" customHeight="false" outlineLevel="0" collapsed="false">
      <c r="A762" s="3" t="s">
        <v>827</v>
      </c>
      <c r="B762" s="3" t="s">
        <v>57</v>
      </c>
      <c r="C762" s="3" t="s">
        <v>11</v>
      </c>
      <c r="D762" s="3" t="s">
        <v>12</v>
      </c>
      <c r="E762" s="3" t="s">
        <v>828</v>
      </c>
      <c r="F762" s="3" t="n">
        <v>2500</v>
      </c>
      <c r="G762" s="3"/>
      <c r="H762" s="3"/>
      <c r="I762" s="4" t="str">
        <f aca="false">IF(AND($A762&lt;&gt;"",$A762=Подбор!$C$4),MAX(I$1:I761)+1,"")</f>
        <v/>
      </c>
    </row>
    <row r="763" customFormat="false" ht="15" hidden="false" customHeight="false" outlineLevel="0" collapsed="false">
      <c r="A763" s="3" t="s">
        <v>829</v>
      </c>
      <c r="B763" s="3" t="s">
        <v>57</v>
      </c>
      <c r="C763" s="3" t="s">
        <v>11</v>
      </c>
      <c r="D763" s="3" t="s">
        <v>12</v>
      </c>
      <c r="E763" s="3" t="s">
        <v>138</v>
      </c>
      <c r="F763" s="3" t="n">
        <v>3500</v>
      </c>
      <c r="G763" s="3"/>
      <c r="H763" s="3"/>
      <c r="I763" s="4" t="str">
        <f aca="false">IF(AND($A763&lt;&gt;"",$A763=Подбор!$C$4),MAX(I$1:I762)+1,"")</f>
        <v/>
      </c>
    </row>
    <row r="764" customFormat="false" ht="15" hidden="false" customHeight="false" outlineLevel="0" collapsed="false">
      <c r="A764" s="3" t="s">
        <v>830</v>
      </c>
      <c r="B764" s="3" t="s">
        <v>57</v>
      </c>
      <c r="C764" s="3" t="s">
        <v>11</v>
      </c>
      <c r="D764" s="3" t="s">
        <v>12</v>
      </c>
      <c r="E764" s="3" t="s">
        <v>628</v>
      </c>
      <c r="F764" s="3" t="n">
        <v>13500</v>
      </c>
      <c r="G764" s="3"/>
      <c r="H764" s="3"/>
      <c r="I764" s="4" t="str">
        <f aca="false">IF(AND($A764&lt;&gt;"",$A764=Подбор!$C$4),MAX(I$1:I763)+1,"")</f>
        <v/>
      </c>
    </row>
    <row r="765" customFormat="false" ht="15" hidden="false" customHeight="false" outlineLevel="0" collapsed="false">
      <c r="A765" s="3" t="s">
        <v>831</v>
      </c>
      <c r="B765" s="3" t="s">
        <v>57</v>
      </c>
      <c r="C765" s="3" t="s">
        <v>11</v>
      </c>
      <c r="D765" s="3" t="s">
        <v>12</v>
      </c>
      <c r="E765" s="3" t="s">
        <v>778</v>
      </c>
      <c r="F765" s="3" t="n">
        <v>7000</v>
      </c>
      <c r="G765" s="3"/>
      <c r="H765" s="3"/>
      <c r="I765" s="4" t="str">
        <f aca="false">IF(AND($A765&lt;&gt;"",$A765=Подбор!$C$4),MAX(I$1:I764)+1,"")</f>
        <v/>
      </c>
    </row>
    <row r="766" customFormat="false" ht="15" hidden="false" customHeight="false" outlineLevel="0" collapsed="false">
      <c r="A766" s="3" t="s">
        <v>832</v>
      </c>
      <c r="B766" s="3" t="s">
        <v>57</v>
      </c>
      <c r="C766" s="3" t="s">
        <v>11</v>
      </c>
      <c r="D766" s="3" t="s">
        <v>12</v>
      </c>
      <c r="E766" s="3" t="s">
        <v>173</v>
      </c>
      <c r="F766" s="3" t="n">
        <v>2500</v>
      </c>
      <c r="G766" s="3"/>
      <c r="H766" s="3"/>
      <c r="I766" s="4" t="str">
        <f aca="false">IF(AND($A766&lt;&gt;"",$A766=Подбор!$C$4),MAX(I$1:I765)+1,"")</f>
        <v/>
      </c>
    </row>
    <row r="767" customFormat="false" ht="15" hidden="false" customHeight="false" outlineLevel="0" collapsed="false">
      <c r="A767" s="3" t="s">
        <v>833</v>
      </c>
      <c r="B767" s="3" t="s">
        <v>57</v>
      </c>
      <c r="C767" s="3" t="s">
        <v>11</v>
      </c>
      <c r="D767" s="3" t="s">
        <v>12</v>
      </c>
      <c r="E767" s="3" t="s">
        <v>680</v>
      </c>
      <c r="F767" s="3" t="n">
        <v>12000</v>
      </c>
      <c r="G767" s="3"/>
      <c r="H767" s="3"/>
      <c r="I767" s="4" t="str">
        <f aca="false">IF(AND($A767&lt;&gt;"",$A767=Подбор!$C$4),MAX(I$1:I766)+1,"")</f>
        <v/>
      </c>
    </row>
    <row r="768" customFormat="false" ht="15" hidden="false" customHeight="false" outlineLevel="0" collapsed="false">
      <c r="A768" s="3" t="s">
        <v>834</v>
      </c>
      <c r="B768" s="3" t="s">
        <v>57</v>
      </c>
      <c r="C768" s="3" t="s">
        <v>11</v>
      </c>
      <c r="D768" s="3" t="s">
        <v>12</v>
      </c>
      <c r="E768" s="3" t="s">
        <v>563</v>
      </c>
      <c r="F768" s="3" t="n">
        <v>10000</v>
      </c>
      <c r="G768" s="3"/>
      <c r="H768" s="3"/>
      <c r="I768" s="4" t="str">
        <f aca="false">IF(AND($A768&lt;&gt;"",$A768=Подбор!$C$4),MAX(I$1:I767)+1,"")</f>
        <v/>
      </c>
    </row>
    <row r="769" customFormat="false" ht="15" hidden="false" customHeight="false" outlineLevel="0" collapsed="false">
      <c r="A769" s="3" t="s">
        <v>835</v>
      </c>
      <c r="B769" s="3" t="s">
        <v>57</v>
      </c>
      <c r="C769" s="3" t="s">
        <v>11</v>
      </c>
      <c r="D769" s="3" t="s">
        <v>12</v>
      </c>
      <c r="E769" s="3" t="s">
        <v>563</v>
      </c>
      <c r="F769" s="3" t="n">
        <v>10000</v>
      </c>
      <c r="G769" s="3"/>
      <c r="H769" s="3"/>
      <c r="I769" s="4" t="str">
        <f aca="false">IF(AND($A769&lt;&gt;"",$A769=Подбор!$C$4),MAX(I$1:I768)+1,"")</f>
        <v/>
      </c>
    </row>
    <row r="770" customFormat="false" ht="15" hidden="false" customHeight="false" outlineLevel="0" collapsed="false">
      <c r="A770" s="3" t="s">
        <v>836</v>
      </c>
      <c r="B770" s="3" t="s">
        <v>57</v>
      </c>
      <c r="C770" s="3" t="s">
        <v>11</v>
      </c>
      <c r="D770" s="3" t="s">
        <v>12</v>
      </c>
      <c r="E770" s="3" t="s">
        <v>97</v>
      </c>
      <c r="F770" s="3" t="n">
        <v>1600</v>
      </c>
      <c r="G770" s="3"/>
      <c r="H770" s="3"/>
      <c r="I770" s="4" t="str">
        <f aca="false">IF(AND($A770&lt;&gt;"",$A770=Подбор!$C$4),MAX(I$1:I769)+1,"")</f>
        <v/>
      </c>
    </row>
    <row r="771" customFormat="false" ht="15" hidden="false" customHeight="false" outlineLevel="0" collapsed="false">
      <c r="A771" s="3" t="s">
        <v>837</v>
      </c>
      <c r="B771" s="3" t="s">
        <v>57</v>
      </c>
      <c r="C771" s="3" t="s">
        <v>11</v>
      </c>
      <c r="D771" s="3" t="s">
        <v>12</v>
      </c>
      <c r="E771" s="3" t="s">
        <v>754</v>
      </c>
      <c r="F771" s="3" t="n">
        <v>2000</v>
      </c>
      <c r="G771" s="3"/>
      <c r="H771" s="3"/>
      <c r="I771" s="4" t="str">
        <f aca="false">IF(AND($A771&lt;&gt;"",$A771=Подбор!$C$4),MAX(I$1:I770)+1,"")</f>
        <v/>
      </c>
    </row>
    <row r="772" customFormat="false" ht="15" hidden="false" customHeight="false" outlineLevel="0" collapsed="false">
      <c r="A772" s="3" t="s">
        <v>838</v>
      </c>
      <c r="B772" s="3" t="s">
        <v>57</v>
      </c>
      <c r="C772" s="3" t="s">
        <v>11</v>
      </c>
      <c r="D772" s="3" t="s">
        <v>12</v>
      </c>
      <c r="E772" s="3" t="s">
        <v>839</v>
      </c>
      <c r="F772" s="3" t="n">
        <v>1500</v>
      </c>
      <c r="G772" s="3"/>
      <c r="H772" s="3"/>
      <c r="I772" s="4" t="str">
        <f aca="false">IF(AND($A772&lt;&gt;"",$A772=Подбор!$C$4),MAX(I$1:I771)+1,"")</f>
        <v/>
      </c>
    </row>
    <row r="773" customFormat="false" ht="15" hidden="false" customHeight="false" outlineLevel="0" collapsed="false">
      <c r="A773" s="3" t="s">
        <v>840</v>
      </c>
      <c r="B773" s="3" t="s">
        <v>57</v>
      </c>
      <c r="C773" s="3" t="s">
        <v>11</v>
      </c>
      <c r="D773" s="3" t="s">
        <v>12</v>
      </c>
      <c r="E773" s="3" t="s">
        <v>841</v>
      </c>
      <c r="F773" s="3" t="n">
        <v>5000</v>
      </c>
      <c r="G773" s="3"/>
      <c r="H773" s="3"/>
      <c r="I773" s="4" t="str">
        <f aca="false">IF(AND($A773&lt;&gt;"",$A773=Подбор!$C$4),MAX(I$1:I772)+1,"")</f>
        <v/>
      </c>
    </row>
    <row r="774" customFormat="false" ht="15" hidden="false" customHeight="false" outlineLevel="0" collapsed="false">
      <c r="A774" s="3" t="s">
        <v>842</v>
      </c>
      <c r="B774" s="3" t="s">
        <v>57</v>
      </c>
      <c r="C774" s="3" t="s">
        <v>11</v>
      </c>
      <c r="D774" s="3" t="s">
        <v>12</v>
      </c>
      <c r="E774" s="3" t="s">
        <v>184</v>
      </c>
      <c r="F774" s="3" t="n">
        <v>13500</v>
      </c>
      <c r="G774" s="3"/>
      <c r="H774" s="3"/>
      <c r="I774" s="4" t="str">
        <f aca="false">IF(AND($A774&lt;&gt;"",$A774=Подбор!$C$4),MAX(I$1:I773)+1,"")</f>
        <v/>
      </c>
    </row>
    <row r="775" customFormat="false" ht="15" hidden="false" customHeight="false" outlineLevel="0" collapsed="false">
      <c r="A775" s="3" t="s">
        <v>843</v>
      </c>
      <c r="B775" s="3" t="s">
        <v>57</v>
      </c>
      <c r="C775" s="3" t="s">
        <v>11</v>
      </c>
      <c r="D775" s="3" t="s">
        <v>12</v>
      </c>
      <c r="E775" s="3" t="s">
        <v>177</v>
      </c>
      <c r="F775" s="3" t="n">
        <v>2500</v>
      </c>
      <c r="G775" s="3"/>
      <c r="H775" s="3"/>
      <c r="I775" s="4" t="str">
        <f aca="false">IF(AND($A775&lt;&gt;"",$A775=Подбор!$C$4),MAX(I$1:I774)+1,"")</f>
        <v/>
      </c>
    </row>
    <row r="776" customFormat="false" ht="15" hidden="false" customHeight="false" outlineLevel="0" collapsed="false">
      <c r="A776" s="3" t="s">
        <v>844</v>
      </c>
      <c r="B776" s="3" t="s">
        <v>57</v>
      </c>
      <c r="C776" s="3" t="s">
        <v>11</v>
      </c>
      <c r="D776" s="3" t="s">
        <v>12</v>
      </c>
      <c r="E776" s="3" t="s">
        <v>136</v>
      </c>
      <c r="F776" s="3" t="n">
        <v>20000</v>
      </c>
      <c r="G776" s="3"/>
      <c r="H776" s="3"/>
      <c r="I776" s="4" t="str">
        <f aca="false">IF(AND($A776&lt;&gt;"",$A776=Подбор!$C$4),MAX(I$1:I775)+1,"")</f>
        <v/>
      </c>
    </row>
    <row r="777" customFormat="false" ht="15" hidden="false" customHeight="false" outlineLevel="0" collapsed="false">
      <c r="A777" s="3" t="s">
        <v>845</v>
      </c>
      <c r="B777" s="3" t="s">
        <v>57</v>
      </c>
      <c r="C777" s="3" t="s">
        <v>11</v>
      </c>
      <c r="D777" s="3" t="s">
        <v>12</v>
      </c>
      <c r="E777" s="3" t="s">
        <v>136</v>
      </c>
      <c r="F777" s="3" t="n">
        <v>20000</v>
      </c>
      <c r="G777" s="3"/>
      <c r="H777" s="3"/>
      <c r="I777" s="4" t="str">
        <f aca="false">IF(AND($A777&lt;&gt;"",$A777=Подбор!$C$4),MAX(I$1:I776)+1,"")</f>
        <v/>
      </c>
    </row>
    <row r="778" customFormat="false" ht="15" hidden="false" customHeight="false" outlineLevel="0" collapsed="false">
      <c r="A778" s="3" t="s">
        <v>846</v>
      </c>
      <c r="B778" s="3" t="s">
        <v>57</v>
      </c>
      <c r="C778" s="3" t="s">
        <v>11</v>
      </c>
      <c r="D778" s="3" t="s">
        <v>12</v>
      </c>
      <c r="E778" s="3" t="s">
        <v>97</v>
      </c>
      <c r="F778" s="3" t="n">
        <v>1600</v>
      </c>
      <c r="G778" s="3"/>
      <c r="H778" s="3"/>
      <c r="I778" s="4" t="str">
        <f aca="false">IF(AND($A778&lt;&gt;"",$A778=Подбор!$C$4),MAX(I$1:I777)+1,"")</f>
        <v/>
      </c>
    </row>
    <row r="779" customFormat="false" ht="15" hidden="false" customHeight="false" outlineLevel="0" collapsed="false">
      <c r="A779" s="3" t="s">
        <v>847</v>
      </c>
      <c r="B779" s="3" t="s">
        <v>57</v>
      </c>
      <c r="C779" s="3" t="s">
        <v>11</v>
      </c>
      <c r="D779" s="3" t="s">
        <v>12</v>
      </c>
      <c r="E779" s="3" t="s">
        <v>127</v>
      </c>
      <c r="F779" s="3" t="n">
        <v>6500</v>
      </c>
      <c r="G779" s="3"/>
      <c r="H779" s="3"/>
      <c r="I779" s="4" t="str">
        <f aca="false">IF(AND($A779&lt;&gt;"",$A779=Подбор!$C$4),MAX(I$1:I778)+1,"")</f>
        <v/>
      </c>
    </row>
    <row r="780" customFormat="false" ht="15" hidden="false" customHeight="false" outlineLevel="0" collapsed="false">
      <c r="A780" s="3" t="s">
        <v>848</v>
      </c>
      <c r="B780" s="3" t="s">
        <v>57</v>
      </c>
      <c r="C780" s="3" t="s">
        <v>11</v>
      </c>
      <c r="D780" s="3" t="s">
        <v>12</v>
      </c>
      <c r="E780" s="3" t="s">
        <v>127</v>
      </c>
      <c r="F780" s="3" t="n">
        <v>6500</v>
      </c>
      <c r="G780" s="3"/>
      <c r="H780" s="3"/>
      <c r="I780" s="4" t="str">
        <f aca="false">IF(AND($A780&lt;&gt;"",$A780=Подбор!$C$4),MAX(I$1:I779)+1,"")</f>
        <v/>
      </c>
    </row>
    <row r="781" customFormat="false" ht="15" hidden="false" customHeight="false" outlineLevel="0" collapsed="false">
      <c r="A781" s="3" t="s">
        <v>849</v>
      </c>
      <c r="B781" s="3" t="s">
        <v>57</v>
      </c>
      <c r="C781" s="3" t="s">
        <v>11</v>
      </c>
      <c r="D781" s="3" t="s">
        <v>12</v>
      </c>
      <c r="E781" s="3" t="s">
        <v>219</v>
      </c>
      <c r="F781" s="3" t="n">
        <v>25000</v>
      </c>
      <c r="G781" s="3"/>
      <c r="H781" s="3"/>
      <c r="I781" s="4" t="str">
        <f aca="false">IF(AND($A781&lt;&gt;"",$A781=Подбор!$C$4),MAX(I$1:I780)+1,"")</f>
        <v/>
      </c>
    </row>
    <row r="782" customFormat="false" ht="15" hidden="false" customHeight="false" outlineLevel="0" collapsed="false">
      <c r="A782" s="3" t="s">
        <v>850</v>
      </c>
      <c r="B782" s="3" t="s">
        <v>57</v>
      </c>
      <c r="C782" s="3" t="s">
        <v>11</v>
      </c>
      <c r="D782" s="3" t="s">
        <v>12</v>
      </c>
      <c r="E782" s="3" t="s">
        <v>219</v>
      </c>
      <c r="F782" s="3" t="n">
        <v>25000</v>
      </c>
      <c r="G782" s="3"/>
      <c r="H782" s="3"/>
      <c r="I782" s="4" t="str">
        <f aca="false">IF(AND($A782&lt;&gt;"",$A782=Подбор!$C$4),MAX(I$1:I781)+1,"")</f>
        <v/>
      </c>
    </row>
    <row r="783" customFormat="false" ht="15" hidden="false" customHeight="false" outlineLevel="0" collapsed="false">
      <c r="A783" s="3" t="s">
        <v>851</v>
      </c>
      <c r="B783" s="3" t="s">
        <v>57</v>
      </c>
      <c r="C783" s="3" t="s">
        <v>11</v>
      </c>
      <c r="D783" s="3" t="s">
        <v>12</v>
      </c>
      <c r="E783" s="3" t="s">
        <v>219</v>
      </c>
      <c r="F783" s="3" t="n">
        <v>25000</v>
      </c>
      <c r="G783" s="3"/>
      <c r="H783" s="3"/>
      <c r="I783" s="4" t="str">
        <f aca="false">IF(AND($A783&lt;&gt;"",$A783=Подбор!$C$4),MAX(I$1:I782)+1,"")</f>
        <v/>
      </c>
    </row>
    <row r="784" customFormat="false" ht="15" hidden="false" customHeight="false" outlineLevel="0" collapsed="false">
      <c r="A784" s="3" t="s">
        <v>852</v>
      </c>
      <c r="B784" s="3" t="s">
        <v>57</v>
      </c>
      <c r="C784" s="3" t="s">
        <v>11</v>
      </c>
      <c r="D784" s="3" t="s">
        <v>12</v>
      </c>
      <c r="E784" s="3" t="s">
        <v>219</v>
      </c>
      <c r="F784" s="3" t="n">
        <v>25000</v>
      </c>
      <c r="G784" s="3"/>
      <c r="H784" s="3"/>
      <c r="I784" s="4" t="str">
        <f aca="false">IF(AND($A784&lt;&gt;"",$A784=Подбор!$C$4),MAX(I$1:I783)+1,"")</f>
        <v/>
      </c>
    </row>
    <row r="785" customFormat="false" ht="15" hidden="false" customHeight="false" outlineLevel="0" collapsed="false">
      <c r="A785" s="3" t="s">
        <v>853</v>
      </c>
      <c r="B785" s="3" t="s">
        <v>57</v>
      </c>
      <c r="C785" s="3" t="s">
        <v>11</v>
      </c>
      <c r="D785" s="3" t="s">
        <v>12</v>
      </c>
      <c r="E785" s="3" t="s">
        <v>854</v>
      </c>
      <c r="F785" s="3" t="n">
        <v>10000</v>
      </c>
      <c r="G785" s="3"/>
      <c r="H785" s="3"/>
      <c r="I785" s="4" t="str">
        <f aca="false">IF(AND($A785&lt;&gt;"",$A785=Подбор!$C$4),MAX(I$1:I784)+1,"")</f>
        <v/>
      </c>
    </row>
    <row r="786" customFormat="false" ht="15" hidden="false" customHeight="false" outlineLevel="0" collapsed="false">
      <c r="A786" s="3" t="s">
        <v>855</v>
      </c>
      <c r="B786" s="3" t="s">
        <v>57</v>
      </c>
      <c r="C786" s="3" t="s">
        <v>11</v>
      </c>
      <c r="D786" s="3" t="s">
        <v>12</v>
      </c>
      <c r="E786" s="3" t="s">
        <v>219</v>
      </c>
      <c r="F786" s="3" t="n">
        <v>25000</v>
      </c>
      <c r="G786" s="3"/>
      <c r="H786" s="3"/>
      <c r="I786" s="4" t="str">
        <f aca="false">IF(AND($A786&lt;&gt;"",$A786=Подбор!$C$4),MAX(I$1:I785)+1,"")</f>
        <v/>
      </c>
    </row>
    <row r="787" customFormat="false" ht="15" hidden="false" customHeight="false" outlineLevel="0" collapsed="false">
      <c r="A787" s="3" t="s">
        <v>856</v>
      </c>
      <c r="B787" s="3" t="s">
        <v>57</v>
      </c>
      <c r="C787" s="3" t="s">
        <v>11</v>
      </c>
      <c r="D787" s="3" t="s">
        <v>12</v>
      </c>
      <c r="E787" s="3" t="s">
        <v>594</v>
      </c>
      <c r="F787" s="3" t="n">
        <v>25000</v>
      </c>
      <c r="G787" s="3"/>
      <c r="H787" s="3"/>
      <c r="I787" s="4" t="str">
        <f aca="false">IF(AND($A787&lt;&gt;"",$A787=Подбор!$C$4),MAX(I$1:I786)+1,"")</f>
        <v/>
      </c>
    </row>
    <row r="788" customFormat="false" ht="15" hidden="false" customHeight="false" outlineLevel="0" collapsed="false">
      <c r="A788" s="3" t="s">
        <v>857</v>
      </c>
      <c r="B788" s="3" t="s">
        <v>57</v>
      </c>
      <c r="C788" s="3" t="s">
        <v>11</v>
      </c>
      <c r="D788" s="3" t="s">
        <v>12</v>
      </c>
      <c r="E788" s="3" t="s">
        <v>841</v>
      </c>
      <c r="F788" s="3" t="n">
        <v>5000</v>
      </c>
      <c r="G788" s="3"/>
      <c r="H788" s="3"/>
      <c r="I788" s="4" t="str">
        <f aca="false">IF(AND($A788&lt;&gt;"",$A788=Подбор!$C$4),MAX(I$1:I787)+1,"")</f>
        <v/>
      </c>
    </row>
    <row r="789" customFormat="false" ht="15" hidden="false" customHeight="false" outlineLevel="0" collapsed="false">
      <c r="A789" s="3" t="s">
        <v>858</v>
      </c>
      <c r="B789" s="3" t="s">
        <v>57</v>
      </c>
      <c r="C789" s="3" t="s">
        <v>11</v>
      </c>
      <c r="D789" s="3" t="s">
        <v>12</v>
      </c>
      <c r="E789" s="3" t="s">
        <v>603</v>
      </c>
      <c r="F789" s="3" t="n">
        <v>6000</v>
      </c>
      <c r="G789" s="3"/>
      <c r="H789" s="3"/>
      <c r="I789" s="4" t="str">
        <f aca="false">IF(AND($A789&lt;&gt;"",$A789=Подбор!$C$4),MAX(I$1:I788)+1,"")</f>
        <v/>
      </c>
    </row>
    <row r="790" customFormat="false" ht="15" hidden="false" customHeight="false" outlineLevel="0" collapsed="false">
      <c r="A790" s="3" t="s">
        <v>859</v>
      </c>
      <c r="B790" s="3" t="s">
        <v>57</v>
      </c>
      <c r="C790" s="3" t="s">
        <v>11</v>
      </c>
      <c r="D790" s="3" t="s">
        <v>12</v>
      </c>
      <c r="E790" s="3" t="s">
        <v>860</v>
      </c>
      <c r="F790" s="3" t="n">
        <v>6500</v>
      </c>
      <c r="G790" s="3"/>
      <c r="H790" s="3"/>
      <c r="I790" s="4" t="str">
        <f aca="false">IF(AND($A790&lt;&gt;"",$A790=Подбор!$C$4),MAX(I$1:I789)+1,"")</f>
        <v/>
      </c>
    </row>
    <row r="791" customFormat="false" ht="15" hidden="false" customHeight="false" outlineLevel="0" collapsed="false">
      <c r="A791" s="3" t="s">
        <v>861</v>
      </c>
      <c r="B791" s="3" t="s">
        <v>34</v>
      </c>
      <c r="C791" s="3" t="s">
        <v>11</v>
      </c>
      <c r="D791" s="3" t="s">
        <v>12</v>
      </c>
      <c r="E791" s="3" t="s">
        <v>587</v>
      </c>
      <c r="F791" s="3" t="n">
        <v>2000</v>
      </c>
      <c r="G791" s="3"/>
      <c r="H791" s="3"/>
      <c r="I791" s="4" t="str">
        <f aca="false">IF(AND($A791&lt;&gt;"",$A791=Подбор!$C$4),MAX(I$1:I790)+1,"")</f>
        <v/>
      </c>
    </row>
    <row r="792" customFormat="false" ht="15" hidden="false" customHeight="false" outlineLevel="0" collapsed="false">
      <c r="A792" s="3" t="s">
        <v>861</v>
      </c>
      <c r="B792" s="3" t="s">
        <v>34</v>
      </c>
      <c r="C792" s="3" t="s">
        <v>11</v>
      </c>
      <c r="D792" s="3" t="s">
        <v>21</v>
      </c>
      <c r="E792" s="3" t="s">
        <v>588</v>
      </c>
      <c r="F792" s="3" t="n">
        <v>2000</v>
      </c>
      <c r="G792" s="3"/>
      <c r="H792" s="3"/>
      <c r="I792" s="4" t="str">
        <f aca="false">IF(AND($A792&lt;&gt;"",$A792=Подбор!$C$4),MAX(I$1:I791)+1,"")</f>
        <v/>
      </c>
    </row>
    <row r="793" customFormat="false" ht="15" hidden="false" customHeight="false" outlineLevel="0" collapsed="false">
      <c r="A793" s="3" t="s">
        <v>861</v>
      </c>
      <c r="B793" s="3" t="s">
        <v>34</v>
      </c>
      <c r="C793" s="3" t="s">
        <v>11</v>
      </c>
      <c r="D793" s="3" t="s">
        <v>23</v>
      </c>
      <c r="E793" s="3" t="s">
        <v>589</v>
      </c>
      <c r="F793" s="3" t="n">
        <v>2000</v>
      </c>
      <c r="G793" s="3"/>
      <c r="H793" s="3"/>
      <c r="I793" s="4" t="str">
        <f aca="false">IF(AND($A793&lt;&gt;"",$A793=Подбор!$C$4),MAX(I$1:I792)+1,"")</f>
        <v/>
      </c>
    </row>
    <row r="794" customFormat="false" ht="15" hidden="false" customHeight="false" outlineLevel="0" collapsed="false">
      <c r="A794" s="3" t="s">
        <v>861</v>
      </c>
      <c r="B794" s="3" t="s">
        <v>34</v>
      </c>
      <c r="C794" s="3" t="s">
        <v>11</v>
      </c>
      <c r="D794" s="3" t="s">
        <v>25</v>
      </c>
      <c r="E794" s="3" t="s">
        <v>590</v>
      </c>
      <c r="F794" s="3" t="n">
        <v>2000</v>
      </c>
      <c r="G794" s="3"/>
      <c r="H794" s="3"/>
      <c r="I794" s="4" t="str">
        <f aca="false">IF(AND($A794&lt;&gt;"",$A794=Подбор!$C$4),MAX(I$1:I793)+1,"")</f>
        <v/>
      </c>
    </row>
    <row r="795" customFormat="false" ht="15" hidden="false" customHeight="false" outlineLevel="0" collapsed="false">
      <c r="A795" s="3" t="s">
        <v>862</v>
      </c>
      <c r="B795" s="3" t="s">
        <v>84</v>
      </c>
      <c r="C795" s="3" t="s">
        <v>11</v>
      </c>
      <c r="D795" s="3" t="s">
        <v>12</v>
      </c>
      <c r="E795" s="3" t="s">
        <v>863</v>
      </c>
      <c r="F795" s="3" t="n">
        <v>2500</v>
      </c>
      <c r="G795" s="3"/>
      <c r="H795" s="3"/>
      <c r="I795" s="4" t="str">
        <f aca="false">IF(AND($A795&lt;&gt;"",$A795=Подбор!$C$4),MAX(I$1:I794)+1,"")</f>
        <v/>
      </c>
    </row>
    <row r="796" customFormat="false" ht="15" hidden="false" customHeight="false" outlineLevel="0" collapsed="false">
      <c r="A796" s="3" t="s">
        <v>864</v>
      </c>
      <c r="B796" s="3" t="s">
        <v>34</v>
      </c>
      <c r="C796" s="3" t="s">
        <v>11</v>
      </c>
      <c r="D796" s="3" t="s">
        <v>12</v>
      </c>
      <c r="E796" s="3" t="s">
        <v>865</v>
      </c>
      <c r="F796" s="3" t="n">
        <v>6000</v>
      </c>
      <c r="G796" s="3"/>
      <c r="H796" s="3"/>
      <c r="I796" s="4" t="str">
        <f aca="false">IF(AND($A796&lt;&gt;"",$A796=Подбор!$C$4),MAX(I$1:I795)+1,"")</f>
        <v/>
      </c>
    </row>
    <row r="797" customFormat="false" ht="15" hidden="false" customHeight="false" outlineLevel="0" collapsed="false">
      <c r="A797" s="3" t="s">
        <v>864</v>
      </c>
      <c r="B797" s="3" t="s">
        <v>34</v>
      </c>
      <c r="C797" s="3" t="s">
        <v>11</v>
      </c>
      <c r="D797" s="3" t="s">
        <v>21</v>
      </c>
      <c r="E797" s="3" t="s">
        <v>866</v>
      </c>
      <c r="F797" s="3" t="n">
        <v>6000</v>
      </c>
      <c r="G797" s="3"/>
      <c r="H797" s="3"/>
      <c r="I797" s="4" t="str">
        <f aca="false">IF(AND($A797&lt;&gt;"",$A797=Подбор!$C$4),MAX(I$1:I796)+1,"")</f>
        <v/>
      </c>
    </row>
    <row r="798" customFormat="false" ht="15" hidden="false" customHeight="false" outlineLevel="0" collapsed="false">
      <c r="A798" s="3" t="s">
        <v>864</v>
      </c>
      <c r="B798" s="3" t="s">
        <v>34</v>
      </c>
      <c r="C798" s="3" t="s">
        <v>11</v>
      </c>
      <c r="D798" s="3" t="s">
        <v>23</v>
      </c>
      <c r="E798" s="3" t="s">
        <v>867</v>
      </c>
      <c r="F798" s="3" t="n">
        <v>6000</v>
      </c>
      <c r="G798" s="3"/>
      <c r="H798" s="3"/>
      <c r="I798" s="4" t="str">
        <f aca="false">IF(AND($A798&lt;&gt;"",$A798=Подбор!$C$4),MAX(I$1:I797)+1,"")</f>
        <v/>
      </c>
    </row>
    <row r="799" customFormat="false" ht="15" hidden="false" customHeight="false" outlineLevel="0" collapsed="false">
      <c r="A799" s="3" t="s">
        <v>864</v>
      </c>
      <c r="B799" s="3" t="s">
        <v>34</v>
      </c>
      <c r="C799" s="3" t="s">
        <v>11</v>
      </c>
      <c r="D799" s="3" t="s">
        <v>25</v>
      </c>
      <c r="E799" s="3" t="s">
        <v>868</v>
      </c>
      <c r="F799" s="3" t="n">
        <v>6000</v>
      </c>
      <c r="G799" s="3"/>
      <c r="H799" s="3"/>
      <c r="I799" s="4" t="str">
        <f aca="false">IF(AND($A799&lt;&gt;"",$A799=Подбор!$C$4),MAX(I$1:I798)+1,"")</f>
        <v/>
      </c>
    </row>
    <row r="800" customFormat="false" ht="15" hidden="false" customHeight="false" outlineLevel="0" collapsed="false">
      <c r="A800" s="3" t="s">
        <v>869</v>
      </c>
      <c r="B800" s="3" t="s">
        <v>34</v>
      </c>
      <c r="C800" s="3" t="s">
        <v>11</v>
      </c>
      <c r="D800" s="3" t="s">
        <v>12</v>
      </c>
      <c r="E800" s="3" t="s">
        <v>870</v>
      </c>
      <c r="F800" s="3" t="n">
        <v>30000</v>
      </c>
      <c r="G800" s="3"/>
      <c r="H800" s="3"/>
      <c r="I800" s="4" t="str">
        <f aca="false">IF(AND($A800&lt;&gt;"",$A800=Подбор!$C$4),MAX(I$1:I799)+1,"")</f>
        <v/>
      </c>
    </row>
    <row r="801" customFormat="false" ht="15" hidden="false" customHeight="false" outlineLevel="0" collapsed="false">
      <c r="A801" s="3" t="s">
        <v>869</v>
      </c>
      <c r="B801" s="3" t="s">
        <v>34</v>
      </c>
      <c r="C801" s="3" t="s">
        <v>14</v>
      </c>
      <c r="D801" s="3" t="s">
        <v>15</v>
      </c>
      <c r="E801" s="3" t="s">
        <v>871</v>
      </c>
      <c r="F801" s="3"/>
      <c r="G801" s="3"/>
      <c r="H801" s="3"/>
      <c r="I801" s="4" t="str">
        <f aca="false">IF(AND($A801&lt;&gt;"",$A801=Подбор!$C$4),MAX(I$1:I800)+1,"")</f>
        <v/>
      </c>
    </row>
    <row r="802" customFormat="false" ht="15" hidden="false" customHeight="false" outlineLevel="0" collapsed="false">
      <c r="A802" s="3" t="s">
        <v>872</v>
      </c>
      <c r="B802" s="3" t="s">
        <v>110</v>
      </c>
      <c r="C802" s="3" t="s">
        <v>11</v>
      </c>
      <c r="D802" s="3" t="s">
        <v>12</v>
      </c>
      <c r="E802" s="3" t="s">
        <v>873</v>
      </c>
      <c r="F802" s="3" t="n">
        <v>2000</v>
      </c>
      <c r="G802" s="3"/>
      <c r="H802" s="3"/>
      <c r="I802" s="4" t="str">
        <f aca="false">IF(AND($A802&lt;&gt;"",$A802=Подбор!$C$4),MAX(I$1:I801)+1,"")</f>
        <v/>
      </c>
    </row>
    <row r="803" customFormat="false" ht="15" hidden="false" customHeight="false" outlineLevel="0" collapsed="false">
      <c r="A803" s="3" t="s">
        <v>874</v>
      </c>
      <c r="B803" s="3" t="s">
        <v>34</v>
      </c>
      <c r="C803" s="3" t="s">
        <v>11</v>
      </c>
      <c r="D803" s="3" t="s">
        <v>12</v>
      </c>
      <c r="E803" s="3" t="s">
        <v>35</v>
      </c>
      <c r="F803" s="3" t="n">
        <v>6000</v>
      </c>
      <c r="G803" s="3"/>
      <c r="H803" s="3"/>
      <c r="I803" s="4" t="str">
        <f aca="false">IF(AND($A803&lt;&gt;"",$A803=Подбор!$C$4),MAX(I$1:I802)+1,"")</f>
        <v/>
      </c>
    </row>
    <row r="804" customFormat="false" ht="15" hidden="false" customHeight="false" outlineLevel="0" collapsed="false">
      <c r="A804" s="3" t="s">
        <v>874</v>
      </c>
      <c r="B804" s="3" t="s">
        <v>34</v>
      </c>
      <c r="C804" s="3" t="s">
        <v>36</v>
      </c>
      <c r="D804" s="3" t="s">
        <v>15</v>
      </c>
      <c r="E804" s="3" t="s">
        <v>37</v>
      </c>
      <c r="F804" s="3" t="n">
        <v>30000</v>
      </c>
      <c r="G804" s="3"/>
      <c r="H804" s="3"/>
      <c r="I804" s="4" t="str">
        <f aca="false">IF(AND($A804&lt;&gt;"",$A804=Подбор!$C$4),MAX(I$1:I803)+1,"")</f>
        <v/>
      </c>
    </row>
    <row r="805" customFormat="false" ht="15" hidden="false" customHeight="false" outlineLevel="0" collapsed="false">
      <c r="A805" s="3" t="s">
        <v>875</v>
      </c>
      <c r="B805" s="3" t="s">
        <v>34</v>
      </c>
      <c r="C805" s="3" t="s">
        <v>11</v>
      </c>
      <c r="D805" s="3" t="s">
        <v>12</v>
      </c>
      <c r="E805" s="3" t="s">
        <v>876</v>
      </c>
      <c r="F805" s="3" t="n">
        <v>2000</v>
      </c>
      <c r="G805" s="3"/>
      <c r="H805" s="3"/>
      <c r="I805" s="4" t="str">
        <f aca="false">IF(AND($A805&lt;&gt;"",$A805=Подбор!$C$4),MAX(I$1:I804)+1,"")</f>
        <v/>
      </c>
    </row>
    <row r="806" customFormat="false" ht="15" hidden="false" customHeight="false" outlineLevel="0" collapsed="false">
      <c r="A806" s="3" t="s">
        <v>875</v>
      </c>
      <c r="B806" s="3" t="s">
        <v>34</v>
      </c>
      <c r="C806" s="3" t="s">
        <v>11</v>
      </c>
      <c r="D806" s="3" t="s">
        <v>21</v>
      </c>
      <c r="E806" s="3" t="s">
        <v>877</v>
      </c>
      <c r="F806" s="3" t="n">
        <v>2000</v>
      </c>
      <c r="G806" s="3"/>
      <c r="H806" s="3"/>
      <c r="I806" s="4" t="str">
        <f aca="false">IF(AND($A806&lt;&gt;"",$A806=Подбор!$C$4),MAX(I$1:I805)+1,"")</f>
        <v/>
      </c>
    </row>
    <row r="807" customFormat="false" ht="15" hidden="false" customHeight="false" outlineLevel="0" collapsed="false">
      <c r="A807" s="3" t="s">
        <v>875</v>
      </c>
      <c r="B807" s="3" t="s">
        <v>34</v>
      </c>
      <c r="C807" s="3" t="s">
        <v>11</v>
      </c>
      <c r="D807" s="3" t="s">
        <v>23</v>
      </c>
      <c r="E807" s="3" t="s">
        <v>878</v>
      </c>
      <c r="F807" s="3" t="n">
        <v>2000</v>
      </c>
      <c r="G807" s="3"/>
      <c r="H807" s="3"/>
      <c r="I807" s="4" t="str">
        <f aca="false">IF(AND($A807&lt;&gt;"",$A807=Подбор!$C$4),MAX(I$1:I806)+1,"")</f>
        <v/>
      </c>
    </row>
    <row r="808" customFormat="false" ht="15" hidden="false" customHeight="false" outlineLevel="0" collapsed="false">
      <c r="A808" s="3" t="s">
        <v>875</v>
      </c>
      <c r="B808" s="3" t="s">
        <v>34</v>
      </c>
      <c r="C808" s="3" t="s">
        <v>11</v>
      </c>
      <c r="D808" s="3" t="s">
        <v>25</v>
      </c>
      <c r="E808" s="3" t="s">
        <v>879</v>
      </c>
      <c r="F808" s="3" t="n">
        <v>2000</v>
      </c>
      <c r="G808" s="3"/>
      <c r="H808" s="3"/>
      <c r="I808" s="4" t="str">
        <f aca="false">IF(AND($A808&lt;&gt;"",$A808=Подбор!$C$4),MAX(I$1:I807)+1,"")</f>
        <v/>
      </c>
    </row>
    <row r="809" customFormat="false" ht="15" hidden="false" customHeight="false" outlineLevel="0" collapsed="false">
      <c r="A809" s="3" t="s">
        <v>880</v>
      </c>
      <c r="B809" s="3" t="s">
        <v>84</v>
      </c>
      <c r="C809" s="3" t="s">
        <v>11</v>
      </c>
      <c r="D809" s="3" t="s">
        <v>12</v>
      </c>
      <c r="E809" s="3" t="s">
        <v>234</v>
      </c>
      <c r="F809" s="3" t="n">
        <v>2000</v>
      </c>
      <c r="G809" s="3"/>
      <c r="H809" s="3"/>
      <c r="I809" s="4" t="str">
        <f aca="false">IF(AND($A809&lt;&gt;"",$A809=Подбор!$C$4),MAX(I$1:I808)+1,"")</f>
        <v/>
      </c>
    </row>
    <row r="810" customFormat="false" ht="15" hidden="false" customHeight="false" outlineLevel="0" collapsed="false">
      <c r="A810" s="3" t="s">
        <v>881</v>
      </c>
      <c r="B810" s="3" t="s">
        <v>498</v>
      </c>
      <c r="C810" s="3" t="s">
        <v>11</v>
      </c>
      <c r="D810" s="3" t="s">
        <v>12</v>
      </c>
      <c r="E810" s="3" t="s">
        <v>882</v>
      </c>
      <c r="F810" s="3" t="n">
        <v>3000</v>
      </c>
      <c r="G810" s="3"/>
      <c r="H810" s="3"/>
      <c r="I810" s="4" t="str">
        <f aca="false">IF(AND($A810&lt;&gt;"",$A810=Подбор!$C$4),MAX(I$1:I809)+1,"")</f>
        <v/>
      </c>
    </row>
    <row r="811" customFormat="false" ht="15" hidden="false" customHeight="false" outlineLevel="0" collapsed="false">
      <c r="A811" s="3" t="s">
        <v>881</v>
      </c>
      <c r="B811" s="3" t="s">
        <v>498</v>
      </c>
      <c r="C811" s="3" t="s">
        <v>14</v>
      </c>
      <c r="D811" s="3" t="s">
        <v>15</v>
      </c>
      <c r="E811" s="3" t="s">
        <v>883</v>
      </c>
      <c r="F811" s="3"/>
      <c r="G811" s="3"/>
      <c r="H811" s="3"/>
      <c r="I811" s="4" t="str">
        <f aca="false">IF(AND($A811&lt;&gt;"",$A811=Подбор!$C$4),MAX(I$1:I810)+1,"")</f>
        <v/>
      </c>
    </row>
    <row r="812" customFormat="false" ht="15" hidden="false" customHeight="false" outlineLevel="0" collapsed="false">
      <c r="A812" s="3" t="s">
        <v>884</v>
      </c>
      <c r="B812" s="3" t="s">
        <v>885</v>
      </c>
      <c r="C812" s="3" t="s">
        <v>15</v>
      </c>
      <c r="D812" s="3" t="s">
        <v>15</v>
      </c>
      <c r="E812" s="3" t="s">
        <v>15</v>
      </c>
      <c r="F812" s="3"/>
      <c r="G812" s="3"/>
      <c r="H812" s="3"/>
      <c r="I812" s="4" t="str">
        <f aca="false">IF(AND($A812&lt;&gt;"",$A812=Подбор!$C$4),MAX(I$1:I811)+1,"")</f>
        <v/>
      </c>
    </row>
    <row r="813" customFormat="false" ht="15" hidden="false" customHeight="false" outlineLevel="0" collapsed="false">
      <c r="A813" s="3" t="s">
        <v>886</v>
      </c>
      <c r="B813" s="3" t="s">
        <v>40</v>
      </c>
      <c r="C813" s="3" t="s">
        <v>11</v>
      </c>
      <c r="D813" s="3" t="s">
        <v>12</v>
      </c>
      <c r="E813" s="3" t="s">
        <v>15</v>
      </c>
      <c r="F813" s="3" t="n">
        <v>6000</v>
      </c>
      <c r="G813" s="3"/>
      <c r="H813" s="3"/>
      <c r="I813" s="4" t="str">
        <f aca="false">IF(AND($A813&lt;&gt;"",$A813=Подбор!$C$4),MAX(I$1:I812)+1,"")</f>
        <v/>
      </c>
    </row>
    <row r="814" customFormat="false" ht="15" hidden="false" customHeight="false" outlineLevel="0" collapsed="false">
      <c r="A814" s="3" t="s">
        <v>887</v>
      </c>
      <c r="B814" s="3" t="s">
        <v>84</v>
      </c>
      <c r="C814" s="3" t="s">
        <v>11</v>
      </c>
      <c r="D814" s="3" t="s">
        <v>12</v>
      </c>
      <c r="E814" s="3" t="s">
        <v>888</v>
      </c>
      <c r="F814" s="3" t="n">
        <v>8400</v>
      </c>
      <c r="G814" s="3"/>
      <c r="H814" s="3"/>
      <c r="I814" s="4" t="str">
        <f aca="false">IF(AND($A814&lt;&gt;"",$A814=Подбор!$C$4),MAX(I$1:I813)+1,"")</f>
        <v/>
      </c>
    </row>
    <row r="815" customFormat="false" ht="15" hidden="false" customHeight="false" outlineLevel="0" collapsed="false">
      <c r="A815" s="3" t="s">
        <v>889</v>
      </c>
      <c r="B815" s="3" t="s">
        <v>84</v>
      </c>
      <c r="C815" s="3" t="s">
        <v>11</v>
      </c>
      <c r="D815" s="3" t="s">
        <v>12</v>
      </c>
      <c r="E815" s="3" t="s">
        <v>888</v>
      </c>
      <c r="F815" s="3" t="n">
        <v>8400</v>
      </c>
      <c r="G815" s="3"/>
      <c r="H815" s="3"/>
      <c r="I815" s="4" t="str">
        <f aca="false">IF(AND($A815&lt;&gt;"",$A815=Подбор!$C$4),MAX(I$1:I814)+1,"")</f>
        <v/>
      </c>
    </row>
    <row r="816" customFormat="false" ht="15" hidden="false" customHeight="false" outlineLevel="0" collapsed="false">
      <c r="A816" s="3" t="s">
        <v>890</v>
      </c>
      <c r="B816" s="3" t="s">
        <v>10</v>
      </c>
      <c r="C816" s="3" t="s">
        <v>11</v>
      </c>
      <c r="D816" s="3" t="s">
        <v>12</v>
      </c>
      <c r="E816" s="3" t="s">
        <v>891</v>
      </c>
      <c r="F816" s="3" t="n">
        <v>6000</v>
      </c>
      <c r="G816" s="3"/>
      <c r="H816" s="3"/>
      <c r="I816" s="4" t="str">
        <f aca="false">IF(AND($A816&lt;&gt;"",$A816=Подбор!$C$4),MAX(I$1:I815)+1,"")</f>
        <v/>
      </c>
    </row>
    <row r="817" customFormat="false" ht="15" hidden="false" customHeight="false" outlineLevel="0" collapsed="false">
      <c r="A817" s="3" t="s">
        <v>890</v>
      </c>
      <c r="B817" s="3" t="s">
        <v>10</v>
      </c>
      <c r="C817" s="3" t="s">
        <v>11</v>
      </c>
      <c r="D817" s="3" t="s">
        <v>21</v>
      </c>
      <c r="E817" s="3" t="s">
        <v>892</v>
      </c>
      <c r="F817" s="3" t="n">
        <v>6000</v>
      </c>
      <c r="G817" s="3"/>
      <c r="H817" s="3"/>
      <c r="I817" s="4" t="str">
        <f aca="false">IF(AND($A817&lt;&gt;"",$A817=Подбор!$C$4),MAX(I$1:I816)+1,"")</f>
        <v/>
      </c>
    </row>
    <row r="818" customFormat="false" ht="15" hidden="false" customHeight="false" outlineLevel="0" collapsed="false">
      <c r="A818" s="3" t="s">
        <v>890</v>
      </c>
      <c r="B818" s="3" t="s">
        <v>10</v>
      </c>
      <c r="C818" s="3" t="s">
        <v>11</v>
      </c>
      <c r="D818" s="3" t="s">
        <v>23</v>
      </c>
      <c r="E818" s="3" t="s">
        <v>893</v>
      </c>
      <c r="F818" s="3" t="n">
        <v>6000</v>
      </c>
      <c r="G818" s="3"/>
      <c r="H818" s="3"/>
      <c r="I818" s="4" t="str">
        <f aca="false">IF(AND($A818&lt;&gt;"",$A818=Подбор!$C$4),MAX(I$1:I817)+1,"")</f>
        <v/>
      </c>
    </row>
    <row r="819" customFormat="false" ht="15" hidden="false" customHeight="false" outlineLevel="0" collapsed="false">
      <c r="A819" s="3" t="s">
        <v>890</v>
      </c>
      <c r="B819" s="3" t="s">
        <v>10</v>
      </c>
      <c r="C819" s="3" t="s">
        <v>11</v>
      </c>
      <c r="D819" s="3" t="s">
        <v>25</v>
      </c>
      <c r="E819" s="3" t="s">
        <v>894</v>
      </c>
      <c r="F819" s="3" t="n">
        <v>6000</v>
      </c>
      <c r="G819" s="3"/>
      <c r="H819" s="3"/>
      <c r="I819" s="4" t="str">
        <f aca="false">IF(AND($A819&lt;&gt;"",$A819=Подбор!$C$4),MAX(I$1:I818)+1,"")</f>
        <v/>
      </c>
    </row>
    <row r="820" customFormat="false" ht="15" hidden="false" customHeight="false" outlineLevel="0" collapsed="false">
      <c r="A820" s="3" t="s">
        <v>895</v>
      </c>
      <c r="B820" s="3" t="s">
        <v>84</v>
      </c>
      <c r="C820" s="3" t="s">
        <v>11</v>
      </c>
      <c r="D820" s="3" t="s">
        <v>12</v>
      </c>
      <c r="E820" s="3" t="s">
        <v>246</v>
      </c>
      <c r="F820" s="3" t="n">
        <v>2100</v>
      </c>
      <c r="G820" s="3"/>
      <c r="H820" s="3"/>
      <c r="I820" s="4" t="str">
        <f aca="false">IF(AND($A820&lt;&gt;"",$A820=Подбор!$C$4),MAX(I$1:I819)+1,"")</f>
        <v/>
      </c>
    </row>
    <row r="821" customFormat="false" ht="15" hidden="false" customHeight="false" outlineLevel="0" collapsed="false">
      <c r="A821" s="3" t="s">
        <v>896</v>
      </c>
      <c r="B821" s="3" t="s">
        <v>472</v>
      </c>
      <c r="C821" s="3" t="s">
        <v>11</v>
      </c>
      <c r="D821" s="3" t="s">
        <v>12</v>
      </c>
      <c r="E821" s="3" t="n">
        <v>841853</v>
      </c>
      <c r="F821" s="3" t="n">
        <v>15000</v>
      </c>
      <c r="G821" s="3"/>
      <c r="H821" s="3"/>
      <c r="I821" s="4" t="str">
        <f aca="false">IF(AND($A821&lt;&gt;"",$A821=Подбор!$C$4),MAX(I$1:I820)+1,"")</f>
        <v/>
      </c>
    </row>
    <row r="822" customFormat="false" ht="15" hidden="false" customHeight="false" outlineLevel="0" collapsed="false">
      <c r="A822" s="3" t="s">
        <v>897</v>
      </c>
      <c r="B822" s="3" t="s">
        <v>472</v>
      </c>
      <c r="C822" s="3" t="s">
        <v>11</v>
      </c>
      <c r="D822" s="3" t="s">
        <v>12</v>
      </c>
      <c r="E822" s="3" t="n">
        <v>842009</v>
      </c>
      <c r="F822" s="3" t="n">
        <v>12000</v>
      </c>
      <c r="G822" s="3"/>
      <c r="H822" s="3"/>
      <c r="I822" s="4" t="str">
        <f aca="false">IF(AND($A822&lt;&gt;"",$A822=Подбор!$C$4),MAX(I$1:I821)+1,"")</f>
        <v/>
      </c>
    </row>
    <row r="823" customFormat="false" ht="15" hidden="false" customHeight="false" outlineLevel="0" collapsed="false">
      <c r="A823" s="3" t="s">
        <v>898</v>
      </c>
      <c r="B823" s="3" t="s">
        <v>498</v>
      </c>
      <c r="C823" s="3" t="s">
        <v>11</v>
      </c>
      <c r="D823" s="3" t="s">
        <v>12</v>
      </c>
      <c r="E823" s="3" t="s">
        <v>899</v>
      </c>
      <c r="F823" s="3" t="n">
        <v>1200</v>
      </c>
      <c r="G823" s="3"/>
      <c r="H823" s="3"/>
      <c r="I823" s="4" t="str">
        <f aca="false">IF(AND($A823&lt;&gt;"",$A823=Подбор!$C$4),MAX(I$1:I822)+1,"")</f>
        <v/>
      </c>
    </row>
    <row r="824" customFormat="false" ht="15" hidden="false" customHeight="false" outlineLevel="0" collapsed="false">
      <c r="A824" s="3" t="s">
        <v>900</v>
      </c>
      <c r="B824" s="3" t="s">
        <v>498</v>
      </c>
      <c r="C824" s="3" t="s">
        <v>11</v>
      </c>
      <c r="D824" s="3" t="s">
        <v>12</v>
      </c>
      <c r="E824" s="3" t="s">
        <v>899</v>
      </c>
      <c r="F824" s="3" t="n">
        <v>1200</v>
      </c>
      <c r="G824" s="3"/>
      <c r="H824" s="3"/>
      <c r="I824" s="4" t="str">
        <f aca="false">IF(AND($A824&lt;&gt;"",$A824=Подбор!$C$4),MAX(I$1:I823)+1,"")</f>
        <v/>
      </c>
    </row>
    <row r="825" customFormat="false" ht="15" hidden="false" customHeight="false" outlineLevel="0" collapsed="false">
      <c r="A825" s="3" t="s">
        <v>900</v>
      </c>
      <c r="B825" s="3" t="s">
        <v>498</v>
      </c>
      <c r="C825" s="3" t="s">
        <v>14</v>
      </c>
      <c r="D825" s="3" t="s">
        <v>15</v>
      </c>
      <c r="E825" s="3" t="s">
        <v>901</v>
      </c>
      <c r="F825" s="3"/>
      <c r="G825" s="3"/>
      <c r="H825" s="3"/>
      <c r="I825" s="4" t="str">
        <f aca="false">IF(AND($A825&lt;&gt;"",$A825=Подбор!$C$4),MAX(I$1:I824)+1,"")</f>
        <v/>
      </c>
    </row>
    <row r="826" customFormat="false" ht="15" hidden="false" customHeight="false" outlineLevel="0" collapsed="false">
      <c r="A826" s="3" t="s">
        <v>902</v>
      </c>
      <c r="B826" s="3" t="s">
        <v>498</v>
      </c>
      <c r="C826" s="3" t="s">
        <v>11</v>
      </c>
      <c r="D826" s="3" t="s">
        <v>12</v>
      </c>
      <c r="E826" s="3" t="s">
        <v>903</v>
      </c>
      <c r="F826" s="3" t="n">
        <v>3000</v>
      </c>
      <c r="G826" s="3"/>
      <c r="H826" s="3"/>
      <c r="I826" s="4" t="str">
        <f aca="false">IF(AND($A826&lt;&gt;"",$A826=Подбор!$C$4),MAX(I$1:I825)+1,"")</f>
        <v/>
      </c>
    </row>
    <row r="827" customFormat="false" ht="15" hidden="false" customHeight="false" outlineLevel="0" collapsed="false">
      <c r="A827" s="3" t="s">
        <v>902</v>
      </c>
      <c r="B827" s="3" t="s">
        <v>498</v>
      </c>
      <c r="C827" s="3" t="s">
        <v>14</v>
      </c>
      <c r="D827" s="3" t="s">
        <v>15</v>
      </c>
      <c r="E827" s="3" t="s">
        <v>904</v>
      </c>
      <c r="F827" s="3"/>
      <c r="G827" s="3"/>
      <c r="H827" s="3"/>
      <c r="I827" s="4" t="str">
        <f aca="false">IF(AND($A827&lt;&gt;"",$A827=Подбор!$C$4),MAX(I$1:I826)+1,"")</f>
        <v/>
      </c>
    </row>
    <row r="828" customFormat="false" ht="15" hidden="false" customHeight="false" outlineLevel="0" collapsed="false">
      <c r="A828" s="3" t="s">
        <v>905</v>
      </c>
      <c r="B828" s="3" t="s">
        <v>498</v>
      </c>
      <c r="C828" s="3" t="s">
        <v>11</v>
      </c>
      <c r="D828" s="3" t="s">
        <v>12</v>
      </c>
      <c r="E828" s="3" t="s">
        <v>906</v>
      </c>
      <c r="F828" s="3" t="n">
        <v>12000</v>
      </c>
      <c r="G828" s="3"/>
      <c r="H828" s="3"/>
      <c r="I828" s="4" t="str">
        <f aca="false">IF(AND($A828&lt;&gt;"",$A828=Подбор!$C$4),MAX(I$1:I827)+1,"")</f>
        <v/>
      </c>
    </row>
    <row r="829" customFormat="false" ht="15" hidden="false" customHeight="false" outlineLevel="0" collapsed="false">
      <c r="A829" s="3" t="s">
        <v>905</v>
      </c>
      <c r="B829" s="3" t="s">
        <v>498</v>
      </c>
      <c r="C829" s="3" t="s">
        <v>14</v>
      </c>
      <c r="D829" s="3" t="s">
        <v>15</v>
      </c>
      <c r="E829" s="3" t="s">
        <v>904</v>
      </c>
      <c r="F829" s="3"/>
      <c r="G829" s="3"/>
      <c r="H829" s="3"/>
      <c r="I829" s="4" t="str">
        <f aca="false">IF(AND($A829&lt;&gt;"",$A829=Подбор!$C$4),MAX(I$1:I828)+1,"")</f>
        <v/>
      </c>
    </row>
    <row r="830" customFormat="false" ht="15" hidden="false" customHeight="false" outlineLevel="0" collapsed="false">
      <c r="A830" s="3" t="s">
        <v>907</v>
      </c>
      <c r="B830" s="3" t="s">
        <v>498</v>
      </c>
      <c r="C830" s="3" t="s">
        <v>11</v>
      </c>
      <c r="D830" s="3" t="s">
        <v>12</v>
      </c>
      <c r="E830" s="3" t="s">
        <v>908</v>
      </c>
      <c r="F830" s="3" t="n">
        <v>3000</v>
      </c>
      <c r="G830" s="3"/>
      <c r="H830" s="3"/>
      <c r="I830" s="4" t="str">
        <f aca="false">IF(AND($A830&lt;&gt;"",$A830=Подбор!$C$4),MAX(I$1:I829)+1,"")</f>
        <v/>
      </c>
    </row>
    <row r="831" customFormat="false" ht="15" hidden="false" customHeight="false" outlineLevel="0" collapsed="false">
      <c r="A831" s="3" t="s">
        <v>907</v>
      </c>
      <c r="B831" s="3" t="s">
        <v>498</v>
      </c>
      <c r="C831" s="3" t="s">
        <v>14</v>
      </c>
      <c r="D831" s="3" t="s">
        <v>15</v>
      </c>
      <c r="E831" s="3" t="s">
        <v>904</v>
      </c>
      <c r="F831" s="3"/>
      <c r="G831" s="3"/>
      <c r="H831" s="3"/>
      <c r="I831" s="4" t="str">
        <f aca="false">IF(AND($A831&lt;&gt;"",$A831=Подбор!$C$4),MAX(I$1:I830)+1,"")</f>
        <v/>
      </c>
    </row>
    <row r="832" customFormat="false" ht="15" hidden="false" customHeight="false" outlineLevel="0" collapsed="false">
      <c r="A832" s="3" t="s">
        <v>909</v>
      </c>
      <c r="B832" s="3" t="s">
        <v>498</v>
      </c>
      <c r="C832" s="3" t="s">
        <v>11</v>
      </c>
      <c r="D832" s="3" t="s">
        <v>12</v>
      </c>
      <c r="E832" s="3" t="s">
        <v>910</v>
      </c>
      <c r="F832" s="3" t="n">
        <v>20000</v>
      </c>
      <c r="G832" s="3"/>
      <c r="H832" s="3"/>
      <c r="I832" s="4" t="str">
        <f aca="false">IF(AND($A832&lt;&gt;"",$A832=Подбор!$C$4),MAX(I$1:I831)+1,"")</f>
        <v/>
      </c>
    </row>
    <row r="833" customFormat="false" ht="15" hidden="false" customHeight="false" outlineLevel="0" collapsed="false">
      <c r="A833" s="3" t="s">
        <v>909</v>
      </c>
      <c r="B833" s="3" t="s">
        <v>498</v>
      </c>
      <c r="C833" s="3" t="s">
        <v>14</v>
      </c>
      <c r="D833" s="3" t="s">
        <v>15</v>
      </c>
      <c r="E833" s="3" t="s">
        <v>904</v>
      </c>
      <c r="F833" s="3"/>
      <c r="G833" s="3"/>
      <c r="H833" s="3"/>
      <c r="I833" s="4" t="str">
        <f aca="false">IF(AND($A833&lt;&gt;"",$A833=Подбор!$C$4),MAX(I$1:I832)+1,"")</f>
        <v/>
      </c>
    </row>
    <row r="834" customFormat="false" ht="15" hidden="false" customHeight="false" outlineLevel="0" collapsed="false">
      <c r="A834" s="3" t="s">
        <v>911</v>
      </c>
      <c r="B834" s="3" t="s">
        <v>498</v>
      </c>
      <c r="C834" s="3" t="s">
        <v>11</v>
      </c>
      <c r="D834" s="3" t="s">
        <v>12</v>
      </c>
      <c r="E834" s="3" t="s">
        <v>912</v>
      </c>
      <c r="F834" s="3" t="n">
        <v>1000</v>
      </c>
      <c r="G834" s="3"/>
      <c r="H834" s="3"/>
      <c r="I834" s="4" t="str">
        <f aca="false">IF(AND($A834&lt;&gt;"",$A834=Подбор!$C$4),MAX(I$1:I833)+1,"")</f>
        <v/>
      </c>
    </row>
    <row r="835" customFormat="false" ht="15" hidden="false" customHeight="false" outlineLevel="0" collapsed="false">
      <c r="A835" s="3" t="s">
        <v>913</v>
      </c>
      <c r="B835" s="3" t="s">
        <v>498</v>
      </c>
      <c r="C835" s="3" t="s">
        <v>11</v>
      </c>
      <c r="D835" s="3" t="s">
        <v>12</v>
      </c>
      <c r="E835" s="3" t="s">
        <v>914</v>
      </c>
      <c r="F835" s="3" t="n">
        <v>2500</v>
      </c>
      <c r="G835" s="3"/>
      <c r="H835" s="3"/>
      <c r="I835" s="4" t="str">
        <f aca="false">IF(AND($A835&lt;&gt;"",$A835=Подбор!$C$4),MAX(I$1:I834)+1,"")</f>
        <v/>
      </c>
    </row>
    <row r="836" customFormat="false" ht="15" hidden="false" customHeight="false" outlineLevel="0" collapsed="false">
      <c r="A836" s="3" t="s">
        <v>913</v>
      </c>
      <c r="B836" s="3" t="s">
        <v>498</v>
      </c>
      <c r="C836" s="3" t="s">
        <v>11</v>
      </c>
      <c r="D836" s="3" t="s">
        <v>21</v>
      </c>
      <c r="E836" s="3" t="s">
        <v>915</v>
      </c>
      <c r="F836" s="3" t="n">
        <v>1300</v>
      </c>
      <c r="G836" s="3"/>
      <c r="H836" s="3"/>
      <c r="I836" s="4" t="str">
        <f aca="false">IF(AND($A836&lt;&gt;"",$A836=Подбор!$C$4),MAX(I$1:I835)+1,"")</f>
        <v/>
      </c>
    </row>
    <row r="837" customFormat="false" ht="15" hidden="false" customHeight="false" outlineLevel="0" collapsed="false">
      <c r="A837" s="3" t="s">
        <v>913</v>
      </c>
      <c r="B837" s="3" t="s">
        <v>498</v>
      </c>
      <c r="C837" s="3" t="s">
        <v>11</v>
      </c>
      <c r="D837" s="3" t="s">
        <v>23</v>
      </c>
      <c r="E837" s="3" t="s">
        <v>916</v>
      </c>
      <c r="F837" s="3" t="n">
        <v>1300</v>
      </c>
      <c r="G837" s="3"/>
      <c r="H837" s="3"/>
      <c r="I837" s="4" t="str">
        <f aca="false">IF(AND($A837&lt;&gt;"",$A837=Подбор!$C$4),MAX(I$1:I836)+1,"")</f>
        <v/>
      </c>
    </row>
    <row r="838" customFormat="false" ht="15" hidden="false" customHeight="false" outlineLevel="0" collapsed="false">
      <c r="A838" s="3" t="s">
        <v>913</v>
      </c>
      <c r="B838" s="3" t="s">
        <v>498</v>
      </c>
      <c r="C838" s="3" t="s">
        <v>11</v>
      </c>
      <c r="D838" s="3" t="s">
        <v>25</v>
      </c>
      <c r="E838" s="3" t="s">
        <v>917</v>
      </c>
      <c r="F838" s="3" t="n">
        <v>1300</v>
      </c>
      <c r="G838" s="3"/>
      <c r="H838" s="3"/>
      <c r="I838" s="4" t="str">
        <f aca="false">IF(AND($A838&lt;&gt;"",$A838=Подбор!$C$4),MAX(I$1:I837)+1,"")</f>
        <v/>
      </c>
    </row>
    <row r="839" customFormat="false" ht="15" hidden="false" customHeight="false" outlineLevel="0" collapsed="false">
      <c r="A839" s="3" t="s">
        <v>918</v>
      </c>
      <c r="B839" s="3" t="s">
        <v>84</v>
      </c>
      <c r="C839" s="3" t="s">
        <v>11</v>
      </c>
      <c r="D839" s="3" t="s">
        <v>12</v>
      </c>
      <c r="E839" s="3" t="s">
        <v>234</v>
      </c>
      <c r="F839" s="3" t="n">
        <v>2000</v>
      </c>
      <c r="G839" s="3"/>
      <c r="H839" s="3"/>
      <c r="I839" s="4" t="str">
        <f aca="false">IF(AND($A839&lt;&gt;"",$A839=Подбор!$C$4),MAX(I$1:I838)+1,"")</f>
        <v/>
      </c>
    </row>
    <row r="840" customFormat="false" ht="15" hidden="false" customHeight="false" outlineLevel="0" collapsed="false">
      <c r="A840" s="3" t="s">
        <v>919</v>
      </c>
      <c r="B840" s="3" t="s">
        <v>84</v>
      </c>
      <c r="C840" s="3" t="s">
        <v>11</v>
      </c>
      <c r="D840" s="3" t="s">
        <v>12</v>
      </c>
      <c r="E840" s="3" t="s">
        <v>234</v>
      </c>
      <c r="F840" s="3" t="n">
        <v>2000</v>
      </c>
      <c r="G840" s="3"/>
      <c r="H840" s="3"/>
      <c r="I840" s="4" t="str">
        <f aca="false">IF(AND($A840&lt;&gt;"",$A840=Подбор!$C$4),MAX(I$1:I839)+1,"")</f>
        <v/>
      </c>
    </row>
    <row r="841" customFormat="false" ht="15" hidden="false" customHeight="false" outlineLevel="0" collapsed="false">
      <c r="A841" s="3" t="s">
        <v>920</v>
      </c>
      <c r="B841" s="3" t="s">
        <v>84</v>
      </c>
      <c r="C841" s="3" t="s">
        <v>11</v>
      </c>
      <c r="D841" s="3" t="s">
        <v>12</v>
      </c>
      <c r="E841" s="3" t="s">
        <v>234</v>
      </c>
      <c r="F841" s="3" t="n">
        <v>2000</v>
      </c>
      <c r="G841" s="3"/>
      <c r="H841" s="3"/>
      <c r="I841" s="4" t="str">
        <f aca="false">IF(AND($A841&lt;&gt;"",$A841=Подбор!$C$4),MAX(I$1:I840)+1,"")</f>
        <v/>
      </c>
    </row>
    <row r="842" customFormat="false" ht="15" hidden="false" customHeight="false" outlineLevel="0" collapsed="false">
      <c r="A842" s="3" t="s">
        <v>921</v>
      </c>
      <c r="B842" s="3" t="s">
        <v>84</v>
      </c>
      <c r="C842" s="3" t="s">
        <v>11</v>
      </c>
      <c r="D842" s="3" t="s">
        <v>12</v>
      </c>
      <c r="E842" s="3" t="s">
        <v>234</v>
      </c>
      <c r="F842" s="3" t="n">
        <v>2000</v>
      </c>
      <c r="G842" s="3"/>
      <c r="H842" s="3"/>
      <c r="I842" s="4" t="str">
        <f aca="false">IF(AND($A842&lt;&gt;"",$A842=Подбор!$C$4),MAX(I$1:I841)+1,"")</f>
        <v/>
      </c>
    </row>
    <row r="843" customFormat="false" ht="15" hidden="false" customHeight="false" outlineLevel="0" collapsed="false">
      <c r="A843" s="3" t="s">
        <v>922</v>
      </c>
      <c r="B843" s="3" t="s">
        <v>68</v>
      </c>
      <c r="C843" s="3" t="s">
        <v>11</v>
      </c>
      <c r="D843" s="3" t="s">
        <v>12</v>
      </c>
      <c r="E843" s="3" t="s">
        <v>923</v>
      </c>
      <c r="F843" s="3" t="n">
        <v>7200</v>
      </c>
      <c r="G843" s="3"/>
      <c r="H843" s="3"/>
      <c r="I843" s="4" t="str">
        <f aca="false">IF(AND($A843&lt;&gt;"",$A843=Подбор!$C$4),MAX(I$1:I842)+1,"")</f>
        <v/>
      </c>
    </row>
    <row r="844" customFormat="false" ht="15" hidden="false" customHeight="false" outlineLevel="0" collapsed="false">
      <c r="A844" s="3" t="s">
        <v>924</v>
      </c>
      <c r="B844" s="3" t="s">
        <v>68</v>
      </c>
      <c r="C844" s="3" t="s">
        <v>11</v>
      </c>
      <c r="D844" s="3" t="s">
        <v>12</v>
      </c>
      <c r="E844" s="3" t="s">
        <v>923</v>
      </c>
      <c r="F844" s="3" t="n">
        <v>7200</v>
      </c>
      <c r="G844" s="3"/>
      <c r="H844" s="3"/>
      <c r="I844" s="4" t="str">
        <f aca="false">IF(AND($A844&lt;&gt;"",$A844=Подбор!$C$4),MAX(I$1:I843)+1,"")</f>
        <v/>
      </c>
    </row>
    <row r="845" customFormat="false" ht="15" hidden="false" customHeight="false" outlineLevel="0" collapsed="false">
      <c r="A845" s="3" t="s">
        <v>925</v>
      </c>
      <c r="B845" s="3" t="s">
        <v>84</v>
      </c>
      <c r="C845" s="3" t="s">
        <v>11</v>
      </c>
      <c r="D845" s="3" t="s">
        <v>12</v>
      </c>
      <c r="E845" s="3" t="s">
        <v>926</v>
      </c>
      <c r="F845" s="3" t="n">
        <v>1500</v>
      </c>
      <c r="G845" s="3"/>
      <c r="H845" s="3"/>
      <c r="I845" s="4" t="str">
        <f aca="false">IF(AND($A845&lt;&gt;"",$A845=Подбор!$C$4),MAX(I$1:I844)+1,"")</f>
        <v/>
      </c>
    </row>
    <row r="846" customFormat="false" ht="15" hidden="false" customHeight="false" outlineLevel="0" collapsed="false">
      <c r="A846" s="3" t="s">
        <v>927</v>
      </c>
      <c r="B846" s="3" t="s">
        <v>84</v>
      </c>
      <c r="C846" s="3" t="s">
        <v>11</v>
      </c>
      <c r="D846" s="3" t="s">
        <v>12</v>
      </c>
      <c r="E846" s="3" t="s">
        <v>926</v>
      </c>
      <c r="F846" s="3" t="n">
        <v>1500</v>
      </c>
      <c r="G846" s="3"/>
      <c r="H846" s="3"/>
      <c r="I846" s="4" t="str">
        <f aca="false">IF(AND($A846&lt;&gt;"",$A846=Подбор!$C$4),MAX(I$1:I845)+1,"")</f>
        <v/>
      </c>
    </row>
    <row r="847" customFormat="false" ht="15" hidden="false" customHeight="false" outlineLevel="0" collapsed="false">
      <c r="A847" s="3" t="s">
        <v>928</v>
      </c>
      <c r="B847" s="3" t="s">
        <v>57</v>
      </c>
      <c r="C847" s="3" t="s">
        <v>11</v>
      </c>
      <c r="D847" s="3" t="s">
        <v>12</v>
      </c>
      <c r="E847" s="3" t="s">
        <v>670</v>
      </c>
      <c r="F847" s="3" t="n">
        <v>2100</v>
      </c>
      <c r="G847" s="3"/>
      <c r="H847" s="3"/>
      <c r="I847" s="4" t="str">
        <f aca="false">IF(AND($A847&lt;&gt;"",$A847=Подбор!$C$4),MAX(I$1:I846)+1,"")</f>
        <v/>
      </c>
    </row>
    <row r="848" customFormat="false" ht="15" hidden="false" customHeight="false" outlineLevel="0" collapsed="false">
      <c r="A848" s="3" t="s">
        <v>929</v>
      </c>
      <c r="B848" s="3" t="s">
        <v>84</v>
      </c>
      <c r="C848" s="3" t="s">
        <v>11</v>
      </c>
      <c r="D848" s="3" t="s">
        <v>12</v>
      </c>
      <c r="E848" s="3" t="s">
        <v>930</v>
      </c>
      <c r="F848" s="3" t="n">
        <v>5000</v>
      </c>
      <c r="G848" s="3"/>
      <c r="H848" s="3"/>
      <c r="I848" s="4" t="str">
        <f aca="false">IF(AND($A848&lt;&gt;"",$A848=Подбор!$C$4),MAX(I$1:I847)+1,"")</f>
        <v/>
      </c>
    </row>
    <row r="849" customFormat="false" ht="15" hidden="false" customHeight="false" outlineLevel="0" collapsed="false">
      <c r="A849" s="3" t="s">
        <v>931</v>
      </c>
      <c r="B849" s="3" t="s">
        <v>932</v>
      </c>
      <c r="C849" s="3" t="s">
        <v>15</v>
      </c>
      <c r="D849" s="3" t="s">
        <v>15</v>
      </c>
      <c r="E849" s="3" t="s">
        <v>15</v>
      </c>
      <c r="F849" s="3"/>
      <c r="G849" s="3"/>
      <c r="H849" s="3"/>
      <c r="I849" s="4" t="str">
        <f aca="false">IF(AND($A849&lt;&gt;"",$A849=Подбор!$C$4),MAX(I$1:I848)+1,"")</f>
        <v/>
      </c>
    </row>
    <row r="850" customFormat="false" ht="15" hidden="false" customHeight="false" outlineLevel="0" collapsed="false">
      <c r="A850" s="3" t="s">
        <v>933</v>
      </c>
      <c r="B850" s="3" t="s">
        <v>84</v>
      </c>
      <c r="C850" s="3" t="s">
        <v>11</v>
      </c>
      <c r="D850" s="3" t="s">
        <v>12</v>
      </c>
      <c r="E850" s="3" t="s">
        <v>934</v>
      </c>
      <c r="F850" s="3" t="n">
        <v>30000</v>
      </c>
      <c r="G850" s="3"/>
      <c r="H850" s="3"/>
      <c r="I850" s="4" t="str">
        <f aca="false">IF(AND($A850&lt;&gt;"",$A850=Подбор!$C$4),MAX(I$1:I849)+1,"")</f>
        <v/>
      </c>
    </row>
    <row r="851" customFormat="false" ht="15" hidden="false" customHeight="false" outlineLevel="0" collapsed="false">
      <c r="A851" s="3" t="s">
        <v>935</v>
      </c>
      <c r="B851" s="3" t="s">
        <v>57</v>
      </c>
      <c r="C851" s="3" t="s">
        <v>11</v>
      </c>
      <c r="D851" s="3" t="s">
        <v>12</v>
      </c>
      <c r="E851" s="3" t="s">
        <v>828</v>
      </c>
      <c r="F851" s="3" t="n">
        <v>2500</v>
      </c>
      <c r="G851" s="3"/>
      <c r="H851" s="3"/>
      <c r="I851" s="4" t="str">
        <f aca="false">IF(AND($A851&lt;&gt;"",$A851=Подбор!$C$4),MAX(I$1:I850)+1,"")</f>
        <v/>
      </c>
    </row>
    <row r="852" customFormat="false" ht="15" hidden="false" customHeight="false" outlineLevel="0" collapsed="false">
      <c r="A852" s="3" t="s">
        <v>936</v>
      </c>
      <c r="B852" s="3" t="s">
        <v>57</v>
      </c>
      <c r="C852" s="3" t="s">
        <v>11</v>
      </c>
      <c r="D852" s="3" t="s">
        <v>12</v>
      </c>
      <c r="E852" s="3" t="s">
        <v>937</v>
      </c>
      <c r="F852" s="3" t="n">
        <v>6000</v>
      </c>
      <c r="G852" s="3"/>
      <c r="H852" s="3"/>
      <c r="I852" s="4" t="str">
        <f aca="false">IF(AND($A852&lt;&gt;"",$A852=Подбор!$C$4),MAX(I$1:I851)+1,"")</f>
        <v/>
      </c>
    </row>
    <row r="853" customFormat="false" ht="15" hidden="false" customHeight="false" outlineLevel="0" collapsed="false">
      <c r="A853" s="3" t="s">
        <v>938</v>
      </c>
      <c r="B853" s="3" t="s">
        <v>57</v>
      </c>
      <c r="C853" s="3" t="s">
        <v>11</v>
      </c>
      <c r="D853" s="3" t="s">
        <v>12</v>
      </c>
      <c r="E853" s="3" t="s">
        <v>937</v>
      </c>
      <c r="F853" s="3" t="n">
        <v>6000</v>
      </c>
      <c r="G853" s="3"/>
      <c r="H853" s="3"/>
      <c r="I853" s="4" t="str">
        <f aca="false">IF(AND($A853&lt;&gt;"",$A853=Подбор!$C$4),MAX(I$1:I852)+1,"")</f>
        <v/>
      </c>
    </row>
    <row r="854" customFormat="false" ht="15" hidden="false" customHeight="false" outlineLevel="0" collapsed="false">
      <c r="A854" s="3" t="s">
        <v>939</v>
      </c>
      <c r="B854" s="3" t="s">
        <v>498</v>
      </c>
      <c r="C854" s="3" t="s">
        <v>11</v>
      </c>
      <c r="D854" s="3" t="s">
        <v>12</v>
      </c>
      <c r="E854" s="3" t="s">
        <v>882</v>
      </c>
      <c r="F854" s="3" t="n">
        <v>3000</v>
      </c>
      <c r="G854" s="3"/>
      <c r="H854" s="3"/>
      <c r="I854" s="4" t="str">
        <f aca="false">IF(AND($A854&lt;&gt;"",$A854=Подбор!$C$4),MAX(I$1:I853)+1,"")</f>
        <v/>
      </c>
    </row>
    <row r="855" customFormat="false" ht="15" hidden="false" customHeight="false" outlineLevel="0" collapsed="false">
      <c r="A855" s="3" t="s">
        <v>939</v>
      </c>
      <c r="B855" s="3" t="s">
        <v>498</v>
      </c>
      <c r="C855" s="3" t="s">
        <v>14</v>
      </c>
      <c r="D855" s="3" t="s">
        <v>15</v>
      </c>
      <c r="E855" s="3" t="s">
        <v>883</v>
      </c>
      <c r="F855" s="3"/>
      <c r="G855" s="3"/>
      <c r="H855" s="3"/>
      <c r="I855" s="4" t="str">
        <f aca="false">IF(AND($A855&lt;&gt;"",$A855=Подбор!$C$4),MAX(I$1:I854)+1,"")</f>
        <v/>
      </c>
    </row>
    <row r="856" customFormat="false" ht="15" hidden="false" customHeight="false" outlineLevel="0" collapsed="false">
      <c r="A856" s="3" t="s">
        <v>940</v>
      </c>
      <c r="B856" s="3" t="s">
        <v>472</v>
      </c>
      <c r="C856" s="3" t="s">
        <v>11</v>
      </c>
      <c r="D856" s="3" t="s">
        <v>12</v>
      </c>
      <c r="E856" s="3" t="n">
        <v>842034</v>
      </c>
      <c r="F856" s="3" t="n">
        <v>23000</v>
      </c>
      <c r="G856" s="3"/>
      <c r="H856" s="3"/>
      <c r="I856" s="4" t="str">
        <f aca="false">IF(AND($A856&lt;&gt;"",$A856=Подбор!$C$4),MAX(I$1:I855)+1,"")</f>
        <v/>
      </c>
    </row>
    <row r="857" customFormat="false" ht="15" hidden="false" customHeight="false" outlineLevel="0" collapsed="false">
      <c r="A857" s="3" t="s">
        <v>941</v>
      </c>
      <c r="B857" s="3" t="s">
        <v>84</v>
      </c>
      <c r="C857" s="3" t="s">
        <v>11</v>
      </c>
      <c r="D857" s="3" t="s">
        <v>12</v>
      </c>
      <c r="E857" s="3" t="s">
        <v>942</v>
      </c>
      <c r="F857" s="3" t="n">
        <v>2100</v>
      </c>
      <c r="G857" s="3"/>
      <c r="H857" s="3"/>
      <c r="I857" s="4" t="str">
        <f aca="false">IF(AND($A857&lt;&gt;"",$A857=Подбор!$C$4),MAX(I$1:I856)+1,"")</f>
        <v/>
      </c>
    </row>
    <row r="858" customFormat="false" ht="15" hidden="false" customHeight="false" outlineLevel="0" collapsed="false">
      <c r="A858" s="3" t="s">
        <v>943</v>
      </c>
      <c r="B858" s="3" t="s">
        <v>84</v>
      </c>
      <c r="C858" s="3" t="s">
        <v>11</v>
      </c>
      <c r="D858" s="3" t="s">
        <v>12</v>
      </c>
      <c r="E858" s="3" t="s">
        <v>234</v>
      </c>
      <c r="F858" s="3" t="n">
        <v>2000</v>
      </c>
      <c r="G858" s="3"/>
      <c r="H858" s="3"/>
      <c r="I858" s="4" t="str">
        <f aca="false">IF(AND($A858&lt;&gt;"",$A858=Подбор!$C$4),MAX(I$1:I857)+1,"")</f>
        <v/>
      </c>
    </row>
    <row r="859" customFormat="false" ht="15" hidden="false" customHeight="false" outlineLevel="0" collapsed="false">
      <c r="A859" s="3" t="s">
        <v>944</v>
      </c>
      <c r="B859" s="3" t="s">
        <v>84</v>
      </c>
      <c r="C859" s="3" t="s">
        <v>11</v>
      </c>
      <c r="D859" s="3" t="s">
        <v>12</v>
      </c>
      <c r="E859" s="3" t="s">
        <v>945</v>
      </c>
      <c r="F859" s="3" t="n">
        <v>36000</v>
      </c>
      <c r="G859" s="3"/>
      <c r="H859" s="3"/>
      <c r="I859" s="4" t="str">
        <f aca="false">IF(AND($A859&lt;&gt;"",$A859=Подбор!$C$4),MAX(I$1:I858)+1,"")</f>
        <v/>
      </c>
    </row>
    <row r="860" customFormat="false" ht="15" hidden="false" customHeight="false" outlineLevel="0" collapsed="false">
      <c r="A860" s="3" t="s">
        <v>946</v>
      </c>
      <c r="B860" s="3" t="s">
        <v>84</v>
      </c>
      <c r="C860" s="3" t="s">
        <v>11</v>
      </c>
      <c r="D860" s="3" t="s">
        <v>12</v>
      </c>
      <c r="E860" s="3" t="s">
        <v>947</v>
      </c>
      <c r="F860" s="3" t="n">
        <v>36000</v>
      </c>
      <c r="G860" s="3"/>
      <c r="H860" s="3"/>
      <c r="I860" s="4" t="str">
        <f aca="false">IF(AND($A860&lt;&gt;"",$A860=Подбор!$C$4),MAX(I$1:I859)+1,"")</f>
        <v/>
      </c>
    </row>
    <row r="861" customFormat="false" ht="15" hidden="false" customHeight="false" outlineLevel="0" collapsed="false">
      <c r="A861" s="3" t="s">
        <v>948</v>
      </c>
      <c r="B861" s="3" t="s">
        <v>10</v>
      </c>
      <c r="C861" s="3" t="s">
        <v>11</v>
      </c>
      <c r="D861" s="3" t="s">
        <v>12</v>
      </c>
      <c r="E861" s="3" t="s">
        <v>891</v>
      </c>
      <c r="F861" s="3" t="n">
        <v>6000</v>
      </c>
      <c r="G861" s="3"/>
      <c r="H861" s="3"/>
      <c r="I861" s="4" t="str">
        <f aca="false">IF(AND($A861&lt;&gt;"",$A861=Подбор!$C$4),MAX(I$1:I860)+1,"")</f>
        <v/>
      </c>
    </row>
    <row r="862" customFormat="false" ht="15" hidden="false" customHeight="false" outlineLevel="0" collapsed="false">
      <c r="A862" s="3" t="s">
        <v>949</v>
      </c>
      <c r="B862" s="3" t="s">
        <v>84</v>
      </c>
      <c r="C862" s="3" t="s">
        <v>11</v>
      </c>
      <c r="D862" s="3" t="s">
        <v>12</v>
      </c>
      <c r="E862" s="3" t="s">
        <v>572</v>
      </c>
      <c r="F862" s="3" t="n">
        <v>30000</v>
      </c>
      <c r="G862" s="3"/>
      <c r="H862" s="3"/>
      <c r="I862" s="4" t="str">
        <f aca="false">IF(AND($A862&lt;&gt;"",$A862=Подбор!$C$4),MAX(I$1:I861)+1,"")</f>
        <v/>
      </c>
    </row>
    <row r="863" customFormat="false" ht="15" hidden="false" customHeight="false" outlineLevel="0" collapsed="false">
      <c r="A863" s="3" t="s">
        <v>950</v>
      </c>
      <c r="B863" s="3" t="s">
        <v>84</v>
      </c>
      <c r="C863" s="3" t="s">
        <v>11</v>
      </c>
      <c r="D863" s="3" t="s">
        <v>12</v>
      </c>
      <c r="E863" s="3" t="s">
        <v>572</v>
      </c>
      <c r="F863" s="3" t="n">
        <v>30000</v>
      </c>
      <c r="G863" s="3"/>
      <c r="H863" s="3"/>
      <c r="I863" s="4" t="str">
        <f aca="false">IF(AND($A863&lt;&gt;"",$A863=Подбор!$C$4),MAX(I$1:I862)+1,"")</f>
        <v/>
      </c>
    </row>
    <row r="864" customFormat="false" ht="15" hidden="false" customHeight="false" outlineLevel="0" collapsed="false">
      <c r="A864" s="3" t="s">
        <v>951</v>
      </c>
      <c r="B864" s="3" t="s">
        <v>84</v>
      </c>
      <c r="C864" s="3" t="s">
        <v>11</v>
      </c>
      <c r="D864" s="3" t="s">
        <v>12</v>
      </c>
      <c r="E864" s="3" t="s">
        <v>572</v>
      </c>
      <c r="F864" s="3" t="n">
        <v>30000</v>
      </c>
      <c r="G864" s="3"/>
      <c r="H864" s="3"/>
      <c r="I864" s="4" t="str">
        <f aca="false">IF(AND($A864&lt;&gt;"",$A864=Подбор!$C$4),MAX(I$1:I863)+1,"")</f>
        <v/>
      </c>
    </row>
    <row r="865" customFormat="false" ht="15" hidden="false" customHeight="false" outlineLevel="0" collapsed="false">
      <c r="A865" s="3" t="s">
        <v>952</v>
      </c>
      <c r="B865" s="3" t="s">
        <v>68</v>
      </c>
      <c r="C865" s="3" t="s">
        <v>11</v>
      </c>
      <c r="D865" s="3" t="s">
        <v>12</v>
      </c>
      <c r="E865" s="3" t="s">
        <v>953</v>
      </c>
      <c r="F865" s="3" t="n">
        <v>12000</v>
      </c>
      <c r="G865" s="3"/>
      <c r="H865" s="3"/>
      <c r="I865" s="4" t="str">
        <f aca="false">IF(AND($A865&lt;&gt;"",$A865=Подбор!$C$4),MAX(I$1:I864)+1,"")</f>
        <v/>
      </c>
    </row>
    <row r="866" customFormat="false" ht="15" hidden="false" customHeight="false" outlineLevel="0" collapsed="false">
      <c r="A866" s="3" t="s">
        <v>952</v>
      </c>
      <c r="B866" s="3" t="s">
        <v>68</v>
      </c>
      <c r="C866" s="3" t="s">
        <v>11</v>
      </c>
      <c r="D866" s="3" t="s">
        <v>21</v>
      </c>
      <c r="E866" s="3" t="s">
        <v>954</v>
      </c>
      <c r="F866" s="3" t="n">
        <v>10000</v>
      </c>
      <c r="G866" s="3"/>
      <c r="H866" s="3"/>
      <c r="I866" s="4" t="str">
        <f aca="false">IF(AND($A866&lt;&gt;"",$A866=Подбор!$C$4),MAX(I$1:I865)+1,"")</f>
        <v/>
      </c>
    </row>
    <row r="867" customFormat="false" ht="15" hidden="false" customHeight="false" outlineLevel="0" collapsed="false">
      <c r="A867" s="3" t="s">
        <v>952</v>
      </c>
      <c r="B867" s="3" t="s">
        <v>68</v>
      </c>
      <c r="C867" s="3" t="s">
        <v>11</v>
      </c>
      <c r="D867" s="3" t="s">
        <v>23</v>
      </c>
      <c r="E867" s="3" t="s">
        <v>955</v>
      </c>
      <c r="F867" s="3" t="n">
        <v>10000</v>
      </c>
      <c r="G867" s="3"/>
      <c r="H867" s="3"/>
      <c r="I867" s="4" t="str">
        <f aca="false">IF(AND($A867&lt;&gt;"",$A867=Подбор!$C$4),MAX(I$1:I866)+1,"")</f>
        <v/>
      </c>
    </row>
    <row r="868" customFormat="false" ht="15" hidden="false" customHeight="false" outlineLevel="0" collapsed="false">
      <c r="A868" s="3" t="s">
        <v>952</v>
      </c>
      <c r="B868" s="3" t="s">
        <v>68</v>
      </c>
      <c r="C868" s="3" t="s">
        <v>11</v>
      </c>
      <c r="D868" s="3" t="s">
        <v>25</v>
      </c>
      <c r="E868" s="3" t="s">
        <v>956</v>
      </c>
      <c r="F868" s="3" t="n">
        <v>10000</v>
      </c>
      <c r="G868" s="3"/>
      <c r="H868" s="3"/>
      <c r="I868" s="4" t="str">
        <f aca="false">IF(AND($A868&lt;&gt;"",$A868=Подбор!$C$4),MAX(I$1:I867)+1,"")</f>
        <v/>
      </c>
    </row>
    <row r="869" customFormat="false" ht="15" hidden="false" customHeight="false" outlineLevel="0" collapsed="false">
      <c r="A869" s="3" t="s">
        <v>957</v>
      </c>
      <c r="B869" s="3" t="s">
        <v>84</v>
      </c>
      <c r="C869" s="3" t="s">
        <v>11</v>
      </c>
      <c r="D869" s="3" t="s">
        <v>12</v>
      </c>
      <c r="E869" s="3" t="s">
        <v>246</v>
      </c>
      <c r="F869" s="3" t="n">
        <v>2100</v>
      </c>
      <c r="G869" s="3"/>
      <c r="H869" s="3"/>
      <c r="I869" s="4" t="str">
        <f aca="false">IF(AND($A869&lt;&gt;"",$A869=Подбор!$C$4),MAX(I$1:I868)+1,"")</f>
        <v/>
      </c>
    </row>
    <row r="870" customFormat="false" ht="15" hidden="false" customHeight="false" outlineLevel="0" collapsed="false">
      <c r="A870" s="3" t="s">
        <v>958</v>
      </c>
      <c r="B870" s="3" t="s">
        <v>84</v>
      </c>
      <c r="C870" s="3" t="s">
        <v>11</v>
      </c>
      <c r="D870" s="3" t="s">
        <v>12</v>
      </c>
      <c r="E870" s="3" t="s">
        <v>246</v>
      </c>
      <c r="F870" s="3" t="n">
        <v>2100</v>
      </c>
      <c r="G870" s="3"/>
      <c r="H870" s="3"/>
      <c r="I870" s="4" t="str">
        <f aca="false">IF(AND($A870&lt;&gt;"",$A870=Подбор!$C$4),MAX(I$1:I869)+1,"")</f>
        <v/>
      </c>
    </row>
    <row r="871" customFormat="false" ht="15" hidden="false" customHeight="false" outlineLevel="0" collapsed="false">
      <c r="A871" s="3" t="s">
        <v>959</v>
      </c>
      <c r="B871" s="3" t="s">
        <v>84</v>
      </c>
      <c r="C871" s="3" t="s">
        <v>11</v>
      </c>
      <c r="D871" s="3" t="s">
        <v>12</v>
      </c>
      <c r="E871" s="3" t="s">
        <v>246</v>
      </c>
      <c r="F871" s="3" t="n">
        <v>2100</v>
      </c>
      <c r="G871" s="3"/>
      <c r="H871" s="3"/>
      <c r="I871" s="4" t="str">
        <f aca="false">IF(AND($A871&lt;&gt;"",$A871=Подбор!$C$4),MAX(I$1:I870)+1,"")</f>
        <v/>
      </c>
    </row>
    <row r="872" customFormat="false" ht="15" hidden="false" customHeight="false" outlineLevel="0" collapsed="false">
      <c r="A872" s="3" t="s">
        <v>960</v>
      </c>
      <c r="B872" s="3" t="s">
        <v>84</v>
      </c>
      <c r="C872" s="3" t="s">
        <v>11</v>
      </c>
      <c r="D872" s="3" t="s">
        <v>12</v>
      </c>
      <c r="E872" s="3" t="s">
        <v>246</v>
      </c>
      <c r="F872" s="3" t="n">
        <v>2100</v>
      </c>
      <c r="G872" s="3"/>
      <c r="H872" s="3"/>
      <c r="I872" s="4" t="str">
        <f aca="false">IF(AND($A872&lt;&gt;"",$A872=Подбор!$C$4),MAX(I$1:I871)+1,"")</f>
        <v/>
      </c>
    </row>
    <row r="873" customFormat="false" ht="15" hidden="false" customHeight="false" outlineLevel="0" collapsed="false">
      <c r="A873" s="3" t="s">
        <v>961</v>
      </c>
      <c r="B873" s="3" t="s">
        <v>84</v>
      </c>
      <c r="C873" s="3" t="s">
        <v>11</v>
      </c>
      <c r="D873" s="3" t="s">
        <v>12</v>
      </c>
      <c r="E873" s="3" t="s">
        <v>942</v>
      </c>
      <c r="F873" s="3" t="n">
        <v>2100</v>
      </c>
      <c r="G873" s="3"/>
      <c r="H873" s="3"/>
      <c r="I873" s="4" t="str">
        <f aca="false">IF(AND($A873&lt;&gt;"",$A873=Подбор!$C$4),MAX(I$1:I872)+1,"")</f>
        <v/>
      </c>
    </row>
    <row r="874" customFormat="false" ht="15" hidden="false" customHeight="false" outlineLevel="0" collapsed="false">
      <c r="A874" s="3" t="s">
        <v>962</v>
      </c>
      <c r="B874" s="3" t="s">
        <v>84</v>
      </c>
      <c r="C874" s="3" t="s">
        <v>567</v>
      </c>
      <c r="D874" s="3" t="s">
        <v>12</v>
      </c>
      <c r="E874" s="3" t="s">
        <v>963</v>
      </c>
      <c r="F874" s="3" t="n">
        <v>400</v>
      </c>
      <c r="G874" s="3"/>
      <c r="H874" s="3"/>
      <c r="I874" s="4" t="str">
        <f aca="false">IF(AND($A874&lt;&gt;"",$A874=Подбор!$C$4),MAX(I$1:I873)+1,"")</f>
        <v/>
      </c>
    </row>
    <row r="875" customFormat="false" ht="15" hidden="false" customHeight="false" outlineLevel="0" collapsed="false">
      <c r="A875" s="3" t="s">
        <v>964</v>
      </c>
      <c r="B875" s="3" t="s">
        <v>84</v>
      </c>
      <c r="C875" s="3" t="s">
        <v>11</v>
      </c>
      <c r="D875" s="3" t="s">
        <v>12</v>
      </c>
      <c r="E875" s="3" t="s">
        <v>965</v>
      </c>
      <c r="F875" s="3" t="n">
        <v>6000</v>
      </c>
      <c r="G875" s="3"/>
      <c r="H875" s="3"/>
      <c r="I875" s="4" t="str">
        <f aca="false">IF(AND($A875&lt;&gt;"",$A875=Подбор!$C$4),MAX(I$1:I874)+1,"")</f>
        <v/>
      </c>
    </row>
    <row r="876" customFormat="false" ht="15" hidden="false" customHeight="false" outlineLevel="0" collapsed="false">
      <c r="A876" s="3" t="s">
        <v>966</v>
      </c>
      <c r="B876" s="3" t="s">
        <v>57</v>
      </c>
      <c r="C876" s="3" t="s">
        <v>11</v>
      </c>
      <c r="D876" s="3" t="s">
        <v>12</v>
      </c>
      <c r="E876" s="3" t="s">
        <v>967</v>
      </c>
      <c r="F876" s="3" t="n">
        <v>11000</v>
      </c>
      <c r="G876" s="3"/>
      <c r="H876" s="3"/>
      <c r="I876" s="4" t="str">
        <f aca="false">IF(AND($A876&lt;&gt;"",$A876=Подбор!$C$4),MAX(I$1:I875)+1,"")</f>
        <v/>
      </c>
    </row>
    <row r="877" customFormat="false" ht="15" hidden="false" customHeight="false" outlineLevel="0" collapsed="false">
      <c r="A877" s="3" t="s">
        <v>968</v>
      </c>
      <c r="B877" s="3" t="s">
        <v>57</v>
      </c>
      <c r="C877" s="3" t="s">
        <v>11</v>
      </c>
      <c r="D877" s="3" t="s">
        <v>12</v>
      </c>
      <c r="E877" s="3" t="s">
        <v>967</v>
      </c>
      <c r="F877" s="3" t="n">
        <v>11000</v>
      </c>
      <c r="G877" s="3"/>
      <c r="H877" s="3"/>
      <c r="I877" s="4" t="str">
        <f aca="false">IF(AND($A877&lt;&gt;"",$A877=Подбор!$C$4),MAX(I$1:I876)+1,"")</f>
        <v/>
      </c>
    </row>
    <row r="878" customFormat="false" ht="15" hidden="false" customHeight="false" outlineLevel="0" collapsed="false">
      <c r="A878" s="3" t="s">
        <v>969</v>
      </c>
      <c r="B878" s="3" t="s">
        <v>57</v>
      </c>
      <c r="C878" s="3" t="s">
        <v>11</v>
      </c>
      <c r="D878" s="3" t="s">
        <v>12</v>
      </c>
      <c r="E878" s="3" t="s">
        <v>970</v>
      </c>
      <c r="F878" s="3" t="n">
        <v>12000</v>
      </c>
      <c r="G878" s="3"/>
      <c r="H878" s="3"/>
      <c r="I878" s="4" t="str">
        <f aca="false">IF(AND($A878&lt;&gt;"",$A878=Подбор!$C$4),MAX(I$1:I877)+1,"")</f>
        <v/>
      </c>
    </row>
    <row r="879" customFormat="false" ht="15" hidden="false" customHeight="false" outlineLevel="0" collapsed="false">
      <c r="A879" s="3" t="s">
        <v>971</v>
      </c>
      <c r="B879" s="3" t="s">
        <v>84</v>
      </c>
      <c r="C879" s="3" t="s">
        <v>11</v>
      </c>
      <c r="D879" s="3" t="s">
        <v>12</v>
      </c>
      <c r="E879" s="3" t="s">
        <v>945</v>
      </c>
      <c r="F879" s="3" t="n">
        <v>36000</v>
      </c>
      <c r="G879" s="3"/>
      <c r="H879" s="3"/>
      <c r="I879" s="4" t="str">
        <f aca="false">IF(AND($A879&lt;&gt;"",$A879=Подбор!$C$4),MAX(I$1:I878)+1,"")</f>
        <v/>
      </c>
    </row>
    <row r="880" customFormat="false" ht="15" hidden="false" customHeight="false" outlineLevel="0" collapsed="false">
      <c r="A880" s="3" t="s">
        <v>972</v>
      </c>
      <c r="B880" s="3" t="s">
        <v>57</v>
      </c>
      <c r="C880" s="3" t="s">
        <v>11</v>
      </c>
      <c r="D880" s="3" t="s">
        <v>12</v>
      </c>
      <c r="E880" s="3" t="s">
        <v>973</v>
      </c>
      <c r="F880" s="3" t="n">
        <v>25000</v>
      </c>
      <c r="G880" s="3"/>
      <c r="H880" s="3"/>
      <c r="I880" s="4" t="str">
        <f aca="false">IF(AND($A880&lt;&gt;"",$A880=Подбор!$C$4),MAX(I$1:I879)+1,"")</f>
        <v/>
      </c>
    </row>
    <row r="881" customFormat="false" ht="15" hidden="false" customHeight="false" outlineLevel="0" collapsed="false">
      <c r="A881" s="3" t="s">
        <v>974</v>
      </c>
      <c r="B881" s="3" t="s">
        <v>57</v>
      </c>
      <c r="C881" s="3" t="s">
        <v>11</v>
      </c>
      <c r="D881" s="3" t="s">
        <v>12</v>
      </c>
      <c r="E881" s="3" t="s">
        <v>973</v>
      </c>
      <c r="F881" s="3" t="n">
        <v>25000</v>
      </c>
      <c r="G881" s="3"/>
      <c r="H881" s="3"/>
      <c r="I881" s="4" t="str">
        <f aca="false">IF(AND($A881&lt;&gt;"",$A881=Подбор!$C$4),MAX(I$1:I880)+1,"")</f>
        <v/>
      </c>
    </row>
    <row r="882" customFormat="false" ht="15" hidden="false" customHeight="false" outlineLevel="0" collapsed="false">
      <c r="A882" s="3" t="s">
        <v>975</v>
      </c>
      <c r="B882" s="3" t="s">
        <v>57</v>
      </c>
      <c r="C882" s="3" t="s">
        <v>11</v>
      </c>
      <c r="D882" s="3" t="s">
        <v>12</v>
      </c>
      <c r="E882" s="3" t="s">
        <v>973</v>
      </c>
      <c r="F882" s="3" t="n">
        <v>25000</v>
      </c>
      <c r="G882" s="3"/>
      <c r="H882" s="3"/>
      <c r="I882" s="4" t="str">
        <f aca="false">IF(AND($A882&lt;&gt;"",$A882=Подбор!$C$4),MAX(I$1:I881)+1,"")</f>
        <v/>
      </c>
    </row>
    <row r="883" customFormat="false" ht="15" hidden="false" customHeight="false" outlineLevel="0" collapsed="false">
      <c r="A883" s="3" t="s">
        <v>976</v>
      </c>
      <c r="B883" s="3" t="s">
        <v>57</v>
      </c>
      <c r="C883" s="3" t="s">
        <v>11</v>
      </c>
      <c r="D883" s="3" t="s">
        <v>12</v>
      </c>
      <c r="E883" s="3" t="s">
        <v>977</v>
      </c>
      <c r="F883" s="3" t="n">
        <v>20000</v>
      </c>
      <c r="G883" s="3"/>
      <c r="H883" s="3"/>
      <c r="I883" s="4" t="str">
        <f aca="false">IF(AND($A883&lt;&gt;"",$A883=Подбор!$C$4),MAX(I$1:I882)+1,"")</f>
        <v/>
      </c>
    </row>
    <row r="884" customFormat="false" ht="15" hidden="false" customHeight="false" outlineLevel="0" collapsed="false">
      <c r="A884" s="3" t="s">
        <v>978</v>
      </c>
      <c r="B884" s="3" t="s">
        <v>57</v>
      </c>
      <c r="C884" s="3" t="s">
        <v>11</v>
      </c>
      <c r="D884" s="3" t="s">
        <v>12</v>
      </c>
      <c r="E884" s="3" t="s">
        <v>979</v>
      </c>
      <c r="F884" s="3" t="n">
        <v>30000</v>
      </c>
      <c r="G884" s="3"/>
      <c r="H884" s="3"/>
      <c r="I884" s="4" t="str">
        <f aca="false">IF(AND($A884&lt;&gt;"",$A884=Подбор!$C$4),MAX(I$1:I883)+1,"")</f>
        <v/>
      </c>
    </row>
    <row r="885" customFormat="false" ht="15" hidden="false" customHeight="false" outlineLevel="0" collapsed="false">
      <c r="A885" s="3" t="s">
        <v>980</v>
      </c>
      <c r="B885" s="3" t="s">
        <v>57</v>
      </c>
      <c r="C885" s="3" t="s">
        <v>11</v>
      </c>
      <c r="D885" s="3" t="s">
        <v>12</v>
      </c>
      <c r="E885" s="3" t="s">
        <v>979</v>
      </c>
      <c r="F885" s="3" t="n">
        <v>30000</v>
      </c>
      <c r="G885" s="3"/>
      <c r="H885" s="3"/>
      <c r="I885" s="4" t="str">
        <f aca="false">IF(AND($A885&lt;&gt;"",$A885=Подбор!$C$4),MAX(I$1:I884)+1,"")</f>
        <v/>
      </c>
    </row>
    <row r="886" customFormat="false" ht="15" hidden="false" customHeight="false" outlineLevel="0" collapsed="false">
      <c r="A886" s="3" t="s">
        <v>981</v>
      </c>
      <c r="B886" s="3" t="s">
        <v>57</v>
      </c>
      <c r="C886" s="3" t="s">
        <v>11</v>
      </c>
      <c r="D886" s="3" t="s">
        <v>12</v>
      </c>
      <c r="E886" s="3" t="s">
        <v>982</v>
      </c>
      <c r="F886" s="3" t="n">
        <v>8500</v>
      </c>
      <c r="G886" s="3"/>
      <c r="H886" s="3"/>
      <c r="I886" s="4" t="str">
        <f aca="false">IF(AND($A886&lt;&gt;"",$A886=Подбор!$C$4),MAX(I$1:I885)+1,"")</f>
        <v/>
      </c>
    </row>
    <row r="887" customFormat="false" ht="15" hidden="false" customHeight="false" outlineLevel="0" collapsed="false">
      <c r="A887" s="3" t="s">
        <v>983</v>
      </c>
      <c r="B887" s="3" t="s">
        <v>57</v>
      </c>
      <c r="C887" s="3" t="s">
        <v>11</v>
      </c>
      <c r="D887" s="3" t="s">
        <v>12</v>
      </c>
      <c r="E887" s="3" t="s">
        <v>617</v>
      </c>
      <c r="F887" s="3" t="n">
        <v>6000</v>
      </c>
      <c r="G887" s="3"/>
      <c r="H887" s="3"/>
      <c r="I887" s="4" t="str">
        <f aca="false">IF(AND($A887&lt;&gt;"",$A887=Подбор!$C$4),MAX(I$1:I886)+1,"")</f>
        <v/>
      </c>
    </row>
    <row r="888" customFormat="false" ht="15" hidden="false" customHeight="false" outlineLevel="0" collapsed="false">
      <c r="A888" s="3" t="s">
        <v>984</v>
      </c>
      <c r="B888" s="3" t="s">
        <v>57</v>
      </c>
      <c r="C888" s="3" t="s">
        <v>11</v>
      </c>
      <c r="D888" s="3" t="s">
        <v>12</v>
      </c>
      <c r="E888" s="3" t="s">
        <v>617</v>
      </c>
      <c r="F888" s="3" t="n">
        <v>6000</v>
      </c>
      <c r="G888" s="3"/>
      <c r="H888" s="3"/>
      <c r="I888" s="4" t="str">
        <f aca="false">IF(AND($A888&lt;&gt;"",$A888=Подбор!$C$4),MAX(I$1:I887)+1,"")</f>
        <v/>
      </c>
    </row>
    <row r="889" customFormat="false" ht="15" hidden="false" customHeight="false" outlineLevel="0" collapsed="false">
      <c r="A889" s="3" t="s">
        <v>985</v>
      </c>
      <c r="B889" s="3" t="s">
        <v>57</v>
      </c>
      <c r="C889" s="3" t="s">
        <v>11</v>
      </c>
      <c r="D889" s="3" t="s">
        <v>12</v>
      </c>
      <c r="E889" s="3" t="s">
        <v>986</v>
      </c>
      <c r="F889" s="3" t="n">
        <v>12500</v>
      </c>
      <c r="G889" s="3"/>
      <c r="H889" s="3"/>
      <c r="I889" s="4" t="str">
        <f aca="false">IF(AND($A889&lt;&gt;"",$A889=Подбор!$C$4),MAX(I$1:I888)+1,"")</f>
        <v/>
      </c>
    </row>
    <row r="890" customFormat="false" ht="15" hidden="false" customHeight="false" outlineLevel="0" collapsed="false">
      <c r="A890" s="3" t="s">
        <v>987</v>
      </c>
      <c r="B890" s="3" t="s">
        <v>57</v>
      </c>
      <c r="C890" s="3" t="s">
        <v>11</v>
      </c>
      <c r="D890" s="3" t="s">
        <v>12</v>
      </c>
      <c r="E890" s="3" t="s">
        <v>988</v>
      </c>
      <c r="F890" s="3" t="n">
        <v>5500</v>
      </c>
      <c r="G890" s="3"/>
      <c r="H890" s="3"/>
      <c r="I890" s="4" t="str">
        <f aca="false">IF(AND($A890&lt;&gt;"",$A890=Подбор!$C$4),MAX(I$1:I889)+1,"")</f>
        <v/>
      </c>
    </row>
    <row r="891" customFormat="false" ht="15" hidden="false" customHeight="false" outlineLevel="0" collapsed="false">
      <c r="A891" s="3" t="s">
        <v>989</v>
      </c>
      <c r="B891" s="3" t="s">
        <v>57</v>
      </c>
      <c r="C891" s="3" t="s">
        <v>11</v>
      </c>
      <c r="D891" s="3" t="s">
        <v>12</v>
      </c>
      <c r="E891" s="3" t="s">
        <v>617</v>
      </c>
      <c r="F891" s="3" t="n">
        <v>6000</v>
      </c>
      <c r="G891" s="3"/>
      <c r="H891" s="3"/>
      <c r="I891" s="4" t="str">
        <f aca="false">IF(AND($A891&lt;&gt;"",$A891=Подбор!$C$4),MAX(I$1:I890)+1,"")</f>
        <v/>
      </c>
    </row>
    <row r="892" customFormat="false" ht="15" hidden="false" customHeight="false" outlineLevel="0" collapsed="false">
      <c r="A892" s="3" t="s">
        <v>990</v>
      </c>
      <c r="B892" s="3" t="s">
        <v>57</v>
      </c>
      <c r="C892" s="3" t="s">
        <v>11</v>
      </c>
      <c r="D892" s="3" t="s">
        <v>12</v>
      </c>
      <c r="E892" s="3" t="s">
        <v>988</v>
      </c>
      <c r="F892" s="3" t="n">
        <v>5500</v>
      </c>
      <c r="G892" s="3"/>
      <c r="H892" s="3"/>
      <c r="I892" s="4" t="str">
        <f aca="false">IF(AND($A892&lt;&gt;"",$A892=Подбор!$C$4),MAX(I$1:I891)+1,"")</f>
        <v/>
      </c>
    </row>
    <row r="893" customFormat="false" ht="15" hidden="false" customHeight="false" outlineLevel="0" collapsed="false">
      <c r="A893" s="3" t="s">
        <v>991</v>
      </c>
      <c r="B893" s="3" t="s">
        <v>57</v>
      </c>
      <c r="C893" s="3" t="s">
        <v>11</v>
      </c>
      <c r="D893" s="3" t="s">
        <v>12</v>
      </c>
      <c r="E893" s="3" t="s">
        <v>992</v>
      </c>
      <c r="F893" s="3" t="n">
        <v>12000</v>
      </c>
      <c r="G893" s="3"/>
      <c r="H893" s="3"/>
      <c r="I893" s="4" t="str">
        <f aca="false">IF(AND($A893&lt;&gt;"",$A893=Подбор!$C$4),MAX(I$1:I892)+1,"")</f>
        <v/>
      </c>
    </row>
    <row r="894" customFormat="false" ht="15" hidden="false" customHeight="false" outlineLevel="0" collapsed="false">
      <c r="A894" s="3" t="s">
        <v>993</v>
      </c>
      <c r="B894" s="3" t="s">
        <v>57</v>
      </c>
      <c r="C894" s="3" t="s">
        <v>11</v>
      </c>
      <c r="D894" s="3" t="s">
        <v>12</v>
      </c>
      <c r="E894" s="3" t="s">
        <v>979</v>
      </c>
      <c r="F894" s="3" t="n">
        <v>30000</v>
      </c>
      <c r="G894" s="3"/>
      <c r="H894" s="3"/>
      <c r="I894" s="4" t="str">
        <f aca="false">IF(AND($A894&lt;&gt;"",$A894=Подбор!$C$4),MAX(I$1:I893)+1,"")</f>
        <v/>
      </c>
    </row>
    <row r="895" customFormat="false" ht="15" hidden="false" customHeight="false" outlineLevel="0" collapsed="false">
      <c r="A895" s="3" t="s">
        <v>994</v>
      </c>
      <c r="B895" s="3" t="s">
        <v>57</v>
      </c>
      <c r="C895" s="3" t="s">
        <v>11</v>
      </c>
      <c r="D895" s="3" t="s">
        <v>12</v>
      </c>
      <c r="E895" s="3" t="s">
        <v>979</v>
      </c>
      <c r="F895" s="3" t="n">
        <v>30000</v>
      </c>
      <c r="G895" s="3"/>
      <c r="H895" s="3"/>
      <c r="I895" s="4" t="str">
        <f aca="false">IF(AND($A895&lt;&gt;"",$A895=Подбор!$C$4),MAX(I$1:I894)+1,"")</f>
        <v/>
      </c>
    </row>
    <row r="896" customFormat="false" ht="15" hidden="false" customHeight="false" outlineLevel="0" collapsed="false">
      <c r="A896" s="3" t="s">
        <v>995</v>
      </c>
      <c r="B896" s="3" t="s">
        <v>57</v>
      </c>
      <c r="C896" s="3" t="s">
        <v>11</v>
      </c>
      <c r="D896" s="3" t="s">
        <v>12</v>
      </c>
      <c r="E896" s="3" t="s">
        <v>982</v>
      </c>
      <c r="F896" s="3" t="n">
        <v>8500</v>
      </c>
      <c r="G896" s="3"/>
      <c r="H896" s="3"/>
      <c r="I896" s="4" t="str">
        <f aca="false">IF(AND($A896&lt;&gt;"",$A896=Подбор!$C$4),MAX(I$1:I895)+1,"")</f>
        <v/>
      </c>
    </row>
    <row r="897" customFormat="false" ht="15" hidden="false" customHeight="false" outlineLevel="0" collapsed="false">
      <c r="A897" s="3" t="s">
        <v>996</v>
      </c>
      <c r="B897" s="3" t="s">
        <v>57</v>
      </c>
      <c r="C897" s="3" t="s">
        <v>11</v>
      </c>
      <c r="D897" s="3" t="s">
        <v>12</v>
      </c>
      <c r="E897" s="3" t="s">
        <v>982</v>
      </c>
      <c r="F897" s="3" t="n">
        <v>8500</v>
      </c>
      <c r="G897" s="3"/>
      <c r="H897" s="3"/>
      <c r="I897" s="4" t="str">
        <f aca="false">IF(AND($A897&lt;&gt;"",$A897=Подбор!$C$4),MAX(I$1:I896)+1,"")</f>
        <v/>
      </c>
    </row>
    <row r="898" customFormat="false" ht="15" hidden="false" customHeight="false" outlineLevel="0" collapsed="false">
      <c r="A898" s="3" t="s">
        <v>997</v>
      </c>
      <c r="B898" s="3" t="s">
        <v>57</v>
      </c>
      <c r="C898" s="3" t="s">
        <v>11</v>
      </c>
      <c r="D898" s="3" t="s">
        <v>12</v>
      </c>
      <c r="E898" s="3" t="s">
        <v>982</v>
      </c>
      <c r="F898" s="3" t="n">
        <v>8500</v>
      </c>
      <c r="G898" s="3"/>
      <c r="H898" s="3"/>
      <c r="I898" s="4" t="str">
        <f aca="false">IF(AND($A898&lt;&gt;"",$A898=Подбор!$C$4),MAX(I$1:I897)+1,"")</f>
        <v/>
      </c>
    </row>
    <row r="899" customFormat="false" ht="15" hidden="false" customHeight="false" outlineLevel="0" collapsed="false">
      <c r="A899" s="3" t="s">
        <v>998</v>
      </c>
      <c r="B899" s="3" t="s">
        <v>57</v>
      </c>
      <c r="C899" s="3" t="s">
        <v>11</v>
      </c>
      <c r="D899" s="3" t="s">
        <v>12</v>
      </c>
      <c r="E899" s="3" t="s">
        <v>982</v>
      </c>
      <c r="F899" s="3" t="n">
        <v>8500</v>
      </c>
      <c r="G899" s="3"/>
      <c r="H899" s="3"/>
      <c r="I899" s="4" t="str">
        <f aca="false">IF(AND($A899&lt;&gt;"",$A899=Подбор!$C$4),MAX(I$1:I898)+1,"")</f>
        <v/>
      </c>
    </row>
    <row r="900" customFormat="false" ht="15" hidden="false" customHeight="false" outlineLevel="0" collapsed="false">
      <c r="A900" s="3" t="s">
        <v>999</v>
      </c>
      <c r="B900" s="3" t="s">
        <v>57</v>
      </c>
      <c r="C900" s="3" t="s">
        <v>11</v>
      </c>
      <c r="D900" s="3" t="s">
        <v>12</v>
      </c>
      <c r="E900" s="3" t="s">
        <v>982</v>
      </c>
      <c r="F900" s="3" t="n">
        <v>8500</v>
      </c>
      <c r="G900" s="3"/>
      <c r="H900" s="3"/>
      <c r="I900" s="4" t="str">
        <f aca="false">IF(AND($A900&lt;&gt;"",$A900=Подбор!$C$4),MAX(I$1:I899)+1,"")</f>
        <v/>
      </c>
    </row>
    <row r="901" customFormat="false" ht="15" hidden="false" customHeight="false" outlineLevel="0" collapsed="false">
      <c r="A901" s="3" t="s">
        <v>1000</v>
      </c>
      <c r="B901" s="3" t="s">
        <v>57</v>
      </c>
      <c r="C901" s="3" t="s">
        <v>11</v>
      </c>
      <c r="D901" s="3" t="s">
        <v>12</v>
      </c>
      <c r="E901" s="3" t="s">
        <v>129</v>
      </c>
      <c r="F901" s="3" t="n">
        <v>13000</v>
      </c>
      <c r="G901" s="3"/>
      <c r="H901" s="3"/>
      <c r="I901" s="4" t="str">
        <f aca="false">IF(AND($A901&lt;&gt;"",$A901=Подбор!$C$4),MAX(I$1:I900)+1,"")</f>
        <v/>
      </c>
    </row>
    <row r="902" customFormat="false" ht="15" hidden="false" customHeight="false" outlineLevel="0" collapsed="false">
      <c r="A902" s="3" t="s">
        <v>1001</v>
      </c>
      <c r="B902" s="3" t="s">
        <v>57</v>
      </c>
      <c r="C902" s="3" t="s">
        <v>11</v>
      </c>
      <c r="D902" s="3" t="s">
        <v>12</v>
      </c>
      <c r="E902" s="3" t="s">
        <v>129</v>
      </c>
      <c r="F902" s="3" t="n">
        <v>13000</v>
      </c>
      <c r="G902" s="3"/>
      <c r="H902" s="3"/>
      <c r="I902" s="4" t="str">
        <f aca="false">IF(AND($A902&lt;&gt;"",$A902=Подбор!$C$4),MAX(I$1:I901)+1,"")</f>
        <v/>
      </c>
    </row>
    <row r="903" customFormat="false" ht="15" hidden="false" customHeight="false" outlineLevel="0" collapsed="false">
      <c r="A903" s="3" t="s">
        <v>1002</v>
      </c>
      <c r="B903" s="3" t="s">
        <v>57</v>
      </c>
      <c r="C903" s="3" t="s">
        <v>11</v>
      </c>
      <c r="D903" s="3" t="s">
        <v>12</v>
      </c>
      <c r="E903" s="3" t="s">
        <v>129</v>
      </c>
      <c r="F903" s="3" t="n">
        <v>13000</v>
      </c>
      <c r="G903" s="3"/>
      <c r="H903" s="3"/>
      <c r="I903" s="4" t="str">
        <f aca="false">IF(AND($A903&lt;&gt;"",$A903=Подбор!$C$4),MAX(I$1:I902)+1,"")</f>
        <v/>
      </c>
    </row>
    <row r="904" customFormat="false" ht="15" hidden="false" customHeight="false" outlineLevel="0" collapsed="false">
      <c r="A904" s="3" t="s">
        <v>1003</v>
      </c>
      <c r="B904" s="3" t="s">
        <v>57</v>
      </c>
      <c r="C904" s="3" t="s">
        <v>11</v>
      </c>
      <c r="D904" s="3" t="s">
        <v>12</v>
      </c>
      <c r="E904" s="3" t="s">
        <v>1004</v>
      </c>
      <c r="F904" s="3" t="n">
        <v>9000</v>
      </c>
      <c r="G904" s="3"/>
      <c r="H904" s="3"/>
      <c r="I904" s="4" t="str">
        <f aca="false">IF(AND($A904&lt;&gt;"",$A904=Подбор!$C$4),MAX(I$1:I903)+1,"")</f>
        <v/>
      </c>
    </row>
    <row r="905" customFormat="false" ht="15" hidden="false" customHeight="false" outlineLevel="0" collapsed="false">
      <c r="A905" s="3" t="s">
        <v>1005</v>
      </c>
      <c r="B905" s="3" t="s">
        <v>57</v>
      </c>
      <c r="C905" s="3" t="s">
        <v>11</v>
      </c>
      <c r="D905" s="3" t="s">
        <v>12</v>
      </c>
      <c r="E905" s="3" t="s">
        <v>1004</v>
      </c>
      <c r="F905" s="3" t="n">
        <v>9000</v>
      </c>
      <c r="G905" s="3"/>
      <c r="H905" s="3"/>
      <c r="I905" s="4" t="str">
        <f aca="false">IF(AND($A905&lt;&gt;"",$A905=Подбор!$C$4),MAX(I$1:I904)+1,"")</f>
        <v/>
      </c>
    </row>
    <row r="906" customFormat="false" ht="15" hidden="false" customHeight="false" outlineLevel="0" collapsed="false">
      <c r="A906" s="3" t="s">
        <v>1006</v>
      </c>
      <c r="B906" s="3" t="s">
        <v>57</v>
      </c>
      <c r="C906" s="3" t="s">
        <v>11</v>
      </c>
      <c r="D906" s="3" t="s">
        <v>12</v>
      </c>
      <c r="E906" s="3" t="s">
        <v>979</v>
      </c>
      <c r="F906" s="3" t="n">
        <v>30000</v>
      </c>
      <c r="G906" s="3"/>
      <c r="H906" s="3"/>
      <c r="I906" s="4" t="str">
        <f aca="false">IF(AND($A906&lt;&gt;"",$A906=Подбор!$C$4),MAX(I$1:I905)+1,"")</f>
        <v/>
      </c>
    </row>
    <row r="907" customFormat="false" ht="15" hidden="false" customHeight="false" outlineLevel="0" collapsed="false">
      <c r="A907" s="3" t="s">
        <v>1007</v>
      </c>
      <c r="B907" s="3" t="s">
        <v>57</v>
      </c>
      <c r="C907" s="3" t="s">
        <v>11</v>
      </c>
      <c r="D907" s="3" t="s">
        <v>12</v>
      </c>
      <c r="E907" s="3" t="s">
        <v>129</v>
      </c>
      <c r="F907" s="3" t="n">
        <v>13000</v>
      </c>
      <c r="G907" s="3"/>
      <c r="H907" s="3"/>
      <c r="I907" s="4" t="str">
        <f aca="false">IF(AND($A907&lt;&gt;"",$A907=Подбор!$C$4),MAX(I$1:I906)+1,"")</f>
        <v/>
      </c>
    </row>
    <row r="908" customFormat="false" ht="15" hidden="false" customHeight="false" outlineLevel="0" collapsed="false">
      <c r="A908" s="3" t="s">
        <v>1008</v>
      </c>
      <c r="B908" s="3" t="s">
        <v>57</v>
      </c>
      <c r="C908" s="3" t="s">
        <v>11</v>
      </c>
      <c r="D908" s="3" t="s">
        <v>12</v>
      </c>
      <c r="E908" s="3" t="s">
        <v>1009</v>
      </c>
      <c r="F908" s="3" t="n">
        <v>7500</v>
      </c>
      <c r="G908" s="3"/>
      <c r="H908" s="3"/>
      <c r="I908" s="4" t="str">
        <f aca="false">IF(AND($A908&lt;&gt;"",$A908=Подбор!$C$4),MAX(I$1:I907)+1,"")</f>
        <v/>
      </c>
    </row>
    <row r="909" customFormat="false" ht="15" hidden="false" customHeight="false" outlineLevel="0" collapsed="false">
      <c r="A909" s="3" t="s">
        <v>1010</v>
      </c>
      <c r="B909" s="3" t="s">
        <v>57</v>
      </c>
      <c r="C909" s="3" t="s">
        <v>11</v>
      </c>
      <c r="D909" s="3" t="s">
        <v>12</v>
      </c>
      <c r="E909" s="3" t="s">
        <v>1011</v>
      </c>
      <c r="F909" s="3" t="n">
        <v>15000</v>
      </c>
      <c r="G909" s="3"/>
      <c r="H909" s="3"/>
      <c r="I909" s="4" t="str">
        <f aca="false">IF(AND($A909&lt;&gt;"",$A909=Подбор!$C$4),MAX(I$1:I908)+1,"")</f>
        <v/>
      </c>
    </row>
    <row r="910" customFormat="false" ht="15" hidden="false" customHeight="false" outlineLevel="0" collapsed="false">
      <c r="A910" s="3" t="s">
        <v>1012</v>
      </c>
      <c r="B910" s="3" t="s">
        <v>932</v>
      </c>
      <c r="C910" s="3" t="s">
        <v>1013</v>
      </c>
      <c r="D910" s="3" t="s">
        <v>15</v>
      </c>
      <c r="E910" s="3" t="s">
        <v>1014</v>
      </c>
      <c r="F910" s="3" t="n">
        <v>7500000</v>
      </c>
      <c r="G910" s="3"/>
      <c r="H910" s="3"/>
      <c r="I910" s="4" t="str">
        <f aca="false">IF(AND($A910&lt;&gt;"",$A910=Подбор!$C$4),MAX(I$1:I909)+1,"")</f>
        <v/>
      </c>
    </row>
    <row r="911" customFormat="false" ht="15" hidden="false" customHeight="false" outlineLevel="0" collapsed="false">
      <c r="A911" s="3" t="s">
        <v>1015</v>
      </c>
      <c r="B911" s="3" t="s">
        <v>932</v>
      </c>
      <c r="C911" s="3" t="s">
        <v>1013</v>
      </c>
      <c r="D911" s="3" t="s">
        <v>15</v>
      </c>
      <c r="E911" s="3" t="s">
        <v>1016</v>
      </c>
      <c r="F911" s="3" t="n">
        <v>7500000</v>
      </c>
      <c r="G911" s="3"/>
      <c r="H911" s="3"/>
      <c r="I911" s="4" t="str">
        <f aca="false">IF(AND($A911&lt;&gt;"",$A911=Подбор!$C$4),MAX(I$1:I910)+1,"")</f>
        <v/>
      </c>
    </row>
    <row r="912" customFormat="false" ht="15" hidden="false" customHeight="false" outlineLevel="0" collapsed="false">
      <c r="A912" s="3" t="s">
        <v>1017</v>
      </c>
      <c r="B912" s="3" t="s">
        <v>457</v>
      </c>
      <c r="C912" s="3" t="s">
        <v>11</v>
      </c>
      <c r="D912" s="3" t="s">
        <v>12</v>
      </c>
      <c r="E912" s="3" t="s">
        <v>1018</v>
      </c>
      <c r="F912" s="3" t="n">
        <v>2600</v>
      </c>
      <c r="G912" s="3"/>
      <c r="H912" s="3"/>
      <c r="I912" s="4" t="str">
        <f aca="false">IF(AND($A912&lt;&gt;"",$A912=Подбор!$C$4),MAX(I$1:I911)+1,"")</f>
        <v/>
      </c>
    </row>
    <row r="913" customFormat="false" ht="15" hidden="false" customHeight="false" outlineLevel="0" collapsed="false">
      <c r="A913" s="3" t="s">
        <v>1017</v>
      </c>
      <c r="B913" s="3" t="s">
        <v>457</v>
      </c>
      <c r="C913" s="3" t="s">
        <v>14</v>
      </c>
      <c r="D913" s="3" t="s">
        <v>15</v>
      </c>
      <c r="E913" s="3" t="s">
        <v>1019</v>
      </c>
      <c r="F913" s="3"/>
      <c r="G913" s="3"/>
      <c r="H913" s="3"/>
      <c r="I913" s="4" t="str">
        <f aca="false">IF(AND($A913&lt;&gt;"",$A913=Подбор!$C$4),MAX(I$1:I912)+1,"")</f>
        <v/>
      </c>
    </row>
    <row r="914" customFormat="false" ht="15" hidden="false" customHeight="false" outlineLevel="0" collapsed="false">
      <c r="A914" s="3" t="s">
        <v>1020</v>
      </c>
      <c r="B914" s="3" t="s">
        <v>84</v>
      </c>
      <c r="C914" s="3" t="s">
        <v>11</v>
      </c>
      <c r="D914" s="3" t="s">
        <v>12</v>
      </c>
      <c r="E914" s="3" t="s">
        <v>250</v>
      </c>
      <c r="F914" s="3" t="n">
        <v>30000</v>
      </c>
      <c r="G914" s="3"/>
      <c r="H914" s="3"/>
      <c r="I914" s="4" t="str">
        <f aca="false">IF(AND($A914&lt;&gt;"",$A914=Подбор!$C$4),MAX(I$1:I913)+1,"")</f>
        <v/>
      </c>
    </row>
    <row r="915" customFormat="false" ht="15" hidden="false" customHeight="false" outlineLevel="0" collapsed="false">
      <c r="A915" s="3" t="s">
        <v>1021</v>
      </c>
      <c r="B915" s="3" t="s">
        <v>84</v>
      </c>
      <c r="C915" s="3" t="s">
        <v>567</v>
      </c>
      <c r="D915" s="3" t="s">
        <v>12</v>
      </c>
      <c r="E915" s="3" t="s">
        <v>1022</v>
      </c>
      <c r="F915" s="3" t="n">
        <v>180</v>
      </c>
      <c r="G915" s="3"/>
      <c r="H915" s="3"/>
      <c r="I915" s="4" t="str">
        <f aca="false">IF(AND($A915&lt;&gt;"",$A915=Подбор!$C$4),MAX(I$1:I914)+1,"")</f>
        <v/>
      </c>
    </row>
    <row r="916" customFormat="false" ht="15" hidden="false" customHeight="false" outlineLevel="0" collapsed="false">
      <c r="A916" s="3" t="s">
        <v>1023</v>
      </c>
      <c r="B916" s="3" t="s">
        <v>84</v>
      </c>
      <c r="C916" s="3" t="s">
        <v>567</v>
      </c>
      <c r="D916" s="3" t="s">
        <v>12</v>
      </c>
      <c r="E916" s="3" t="s">
        <v>1024</v>
      </c>
      <c r="F916" s="3" t="n">
        <v>6000</v>
      </c>
      <c r="G916" s="3"/>
      <c r="H916" s="3"/>
      <c r="I916" s="4" t="str">
        <f aca="false">IF(AND($A916&lt;&gt;"",$A916=Подбор!$C$4),MAX(I$1:I915)+1,"")</f>
        <v/>
      </c>
    </row>
    <row r="917" customFormat="false" ht="15" hidden="false" customHeight="false" outlineLevel="0" collapsed="false">
      <c r="A917" s="3" t="s">
        <v>1025</v>
      </c>
      <c r="B917" s="3" t="s">
        <v>84</v>
      </c>
      <c r="C917" s="3" t="s">
        <v>567</v>
      </c>
      <c r="D917" s="3" t="s">
        <v>12</v>
      </c>
      <c r="E917" s="3" t="s">
        <v>1024</v>
      </c>
      <c r="F917" s="3" t="n">
        <v>6000</v>
      </c>
      <c r="G917" s="3"/>
      <c r="H917" s="3"/>
      <c r="I917" s="4" t="str">
        <f aca="false">IF(AND($A917&lt;&gt;"",$A917=Подбор!$C$4),MAX(I$1:I916)+1,"")</f>
        <v/>
      </c>
    </row>
    <row r="918" customFormat="false" ht="15" hidden="false" customHeight="false" outlineLevel="0" collapsed="false">
      <c r="A918" s="3" t="s">
        <v>1026</v>
      </c>
      <c r="B918" s="3" t="s">
        <v>10</v>
      </c>
      <c r="C918" s="3" t="s">
        <v>11</v>
      </c>
      <c r="D918" s="3" t="s">
        <v>12</v>
      </c>
      <c r="E918" s="3" t="s">
        <v>75</v>
      </c>
      <c r="F918" s="3" t="n">
        <v>35000</v>
      </c>
      <c r="G918" s="3"/>
      <c r="H918" s="3"/>
      <c r="I918" s="4" t="str">
        <f aca="false">IF(AND($A918&lt;&gt;"",$A918=Подбор!$C$4),MAX(I$1:I917)+1,"")</f>
        <v/>
      </c>
    </row>
    <row r="919" customFormat="false" ht="15" hidden="false" customHeight="false" outlineLevel="0" collapsed="false">
      <c r="A919" s="3" t="s">
        <v>1027</v>
      </c>
      <c r="B919" s="3" t="s">
        <v>84</v>
      </c>
      <c r="C919" s="3" t="s">
        <v>11</v>
      </c>
      <c r="D919" s="3" t="s">
        <v>12</v>
      </c>
      <c r="E919" s="3" t="s">
        <v>234</v>
      </c>
      <c r="F919" s="3" t="n">
        <v>2000</v>
      </c>
      <c r="G919" s="3"/>
      <c r="H919" s="3"/>
      <c r="I919" s="4" t="str">
        <f aca="false">IF(AND($A919&lt;&gt;"",$A919=Подбор!$C$4),MAX(I$1:I918)+1,"")</f>
        <v/>
      </c>
    </row>
    <row r="920" customFormat="false" ht="15" hidden="false" customHeight="false" outlineLevel="0" collapsed="false">
      <c r="A920" s="3" t="s">
        <v>1028</v>
      </c>
      <c r="B920" s="3" t="s">
        <v>84</v>
      </c>
      <c r="C920" s="3" t="s">
        <v>11</v>
      </c>
      <c r="D920" s="3" t="s">
        <v>12</v>
      </c>
      <c r="E920" s="3" t="s">
        <v>234</v>
      </c>
      <c r="F920" s="3" t="n">
        <v>2000</v>
      </c>
      <c r="G920" s="3"/>
      <c r="H920" s="3"/>
      <c r="I920" s="4" t="str">
        <f aca="false">IF(AND($A920&lt;&gt;"",$A920=Подбор!$C$4),MAX(I$1:I919)+1,"")</f>
        <v/>
      </c>
    </row>
    <row r="921" customFormat="false" ht="15" hidden="false" customHeight="false" outlineLevel="0" collapsed="false">
      <c r="A921" s="3" t="s">
        <v>1029</v>
      </c>
      <c r="B921" s="3" t="s">
        <v>68</v>
      </c>
      <c r="C921" s="3" t="s">
        <v>11</v>
      </c>
      <c r="D921" s="3" t="s">
        <v>12</v>
      </c>
      <c r="E921" s="3" t="s">
        <v>1030</v>
      </c>
      <c r="F921" s="3" t="n">
        <v>15000</v>
      </c>
      <c r="G921" s="3"/>
      <c r="H921" s="3"/>
      <c r="I921" s="4" t="str">
        <f aca="false">IF(AND($A921&lt;&gt;"",$A921=Подбор!$C$4),MAX(I$1:I920)+1,"")</f>
        <v/>
      </c>
    </row>
    <row r="922" customFormat="false" ht="15" hidden="false" customHeight="false" outlineLevel="0" collapsed="false">
      <c r="A922" s="3" t="s">
        <v>1031</v>
      </c>
      <c r="B922" s="3" t="s">
        <v>68</v>
      </c>
      <c r="C922" s="3" t="s">
        <v>11</v>
      </c>
      <c r="D922" s="3" t="s">
        <v>12</v>
      </c>
      <c r="E922" s="3" t="s">
        <v>212</v>
      </c>
      <c r="F922" s="3" t="n">
        <v>3000</v>
      </c>
      <c r="G922" s="3"/>
      <c r="H922" s="3"/>
      <c r="I922" s="4" t="str">
        <f aca="false">IF(AND($A922&lt;&gt;"",$A922=Подбор!$C$4),MAX(I$1:I921)+1,"")</f>
        <v/>
      </c>
    </row>
    <row r="923" customFormat="false" ht="15" hidden="false" customHeight="false" outlineLevel="0" collapsed="false">
      <c r="A923" s="3" t="s">
        <v>1032</v>
      </c>
      <c r="B923" s="3" t="s">
        <v>68</v>
      </c>
      <c r="C923" s="3" t="s">
        <v>11</v>
      </c>
      <c r="D923" s="3" t="s">
        <v>12</v>
      </c>
      <c r="E923" s="3" t="s">
        <v>1033</v>
      </c>
      <c r="F923" s="3" t="n">
        <v>7200</v>
      </c>
      <c r="G923" s="3"/>
      <c r="H923" s="3"/>
      <c r="I923" s="4" t="str">
        <f aca="false">IF(AND($A923&lt;&gt;"",$A923=Подбор!$C$4),MAX(I$1:I922)+1,"")</f>
        <v/>
      </c>
    </row>
    <row r="924" customFormat="false" ht="15" hidden="false" customHeight="false" outlineLevel="0" collapsed="false">
      <c r="A924" s="3" t="s">
        <v>1034</v>
      </c>
      <c r="B924" s="3" t="s">
        <v>472</v>
      </c>
      <c r="C924" s="3" t="s">
        <v>11</v>
      </c>
      <c r="D924" s="3" t="s">
        <v>12</v>
      </c>
      <c r="E924" s="3" t="n">
        <v>842015</v>
      </c>
      <c r="F924" s="3" t="n">
        <v>12000</v>
      </c>
      <c r="G924" s="3"/>
      <c r="H924" s="3"/>
      <c r="I924" s="4" t="str">
        <f aca="false">IF(AND($A924&lt;&gt;"",$A924=Подбор!$C$4),MAX(I$1:I923)+1,"")</f>
        <v/>
      </c>
    </row>
    <row r="925" customFormat="false" ht="15" hidden="false" customHeight="false" outlineLevel="0" collapsed="false">
      <c r="A925" s="3" t="s">
        <v>1035</v>
      </c>
      <c r="B925" s="3" t="s">
        <v>68</v>
      </c>
      <c r="C925" s="3" t="s">
        <v>11</v>
      </c>
      <c r="D925" s="3" t="s">
        <v>12</v>
      </c>
      <c r="E925" s="3" t="s">
        <v>212</v>
      </c>
      <c r="F925" s="3" t="n">
        <v>3000</v>
      </c>
      <c r="G925" s="3"/>
      <c r="H925" s="3"/>
      <c r="I925" s="4" t="str">
        <f aca="false">IF(AND($A925&lt;&gt;"",$A925=Подбор!$C$4),MAX(I$1:I924)+1,"")</f>
        <v/>
      </c>
    </row>
    <row r="926" customFormat="false" ht="15" hidden="false" customHeight="false" outlineLevel="0" collapsed="false">
      <c r="A926" s="3" t="s">
        <v>1036</v>
      </c>
      <c r="B926" s="3" t="s">
        <v>68</v>
      </c>
      <c r="C926" s="3" t="s">
        <v>11</v>
      </c>
      <c r="D926" s="3" t="s">
        <v>12</v>
      </c>
      <c r="E926" s="3" t="s">
        <v>1037</v>
      </c>
      <c r="F926" s="3" t="n">
        <v>35000</v>
      </c>
      <c r="G926" s="3"/>
      <c r="H926" s="3"/>
      <c r="I926" s="4" t="str">
        <f aca="false">IF(AND($A926&lt;&gt;"",$A926=Подбор!$C$4),MAX(I$1:I925)+1,"")</f>
        <v/>
      </c>
    </row>
    <row r="927" customFormat="false" ht="15" hidden="false" customHeight="false" outlineLevel="0" collapsed="false">
      <c r="A927" s="3" t="s">
        <v>1038</v>
      </c>
      <c r="B927" s="3" t="s">
        <v>10</v>
      </c>
      <c r="C927" s="3" t="s">
        <v>11</v>
      </c>
      <c r="D927" s="3" t="s">
        <v>12</v>
      </c>
      <c r="E927" s="3" t="s">
        <v>1039</v>
      </c>
      <c r="F927" s="3" t="n">
        <v>3000</v>
      </c>
      <c r="G927" s="3"/>
      <c r="H927" s="3"/>
      <c r="I927" s="4" t="str">
        <f aca="false">IF(AND($A927&lt;&gt;"",$A927=Подбор!$C$4),MAX(I$1:I926)+1,"")</f>
        <v/>
      </c>
    </row>
    <row r="928" customFormat="false" ht="15" hidden="false" customHeight="false" outlineLevel="0" collapsed="false">
      <c r="A928" s="3" t="s">
        <v>1038</v>
      </c>
      <c r="B928" s="3" t="s">
        <v>10</v>
      </c>
      <c r="C928" s="3" t="s">
        <v>11</v>
      </c>
      <c r="D928" s="3" t="s">
        <v>21</v>
      </c>
      <c r="E928" s="3" t="s">
        <v>1040</v>
      </c>
      <c r="F928" s="3" t="n">
        <v>2000</v>
      </c>
      <c r="G928" s="3"/>
      <c r="H928" s="3"/>
      <c r="I928" s="4" t="str">
        <f aca="false">IF(AND($A928&lt;&gt;"",$A928=Подбор!$C$4),MAX(I$1:I927)+1,"")</f>
        <v/>
      </c>
    </row>
    <row r="929" customFormat="false" ht="15" hidden="false" customHeight="false" outlineLevel="0" collapsed="false">
      <c r="A929" s="3" t="s">
        <v>1038</v>
      </c>
      <c r="B929" s="3" t="s">
        <v>10</v>
      </c>
      <c r="C929" s="3" t="s">
        <v>11</v>
      </c>
      <c r="D929" s="3" t="s">
        <v>23</v>
      </c>
      <c r="E929" s="3" t="s">
        <v>1041</v>
      </c>
      <c r="F929" s="3" t="n">
        <v>2000</v>
      </c>
      <c r="G929" s="3"/>
      <c r="H929" s="3"/>
      <c r="I929" s="4" t="str">
        <f aca="false">IF(AND($A929&lt;&gt;"",$A929=Подбор!$C$4),MAX(I$1:I928)+1,"")</f>
        <v/>
      </c>
    </row>
    <row r="930" customFormat="false" ht="15" hidden="false" customHeight="false" outlineLevel="0" collapsed="false">
      <c r="A930" s="3" t="s">
        <v>1038</v>
      </c>
      <c r="B930" s="3" t="s">
        <v>10</v>
      </c>
      <c r="C930" s="3" t="s">
        <v>11</v>
      </c>
      <c r="D930" s="3" t="s">
        <v>25</v>
      </c>
      <c r="E930" s="3" t="s">
        <v>1042</v>
      </c>
      <c r="F930" s="3" t="n">
        <v>2000</v>
      </c>
      <c r="G930" s="3"/>
      <c r="H930" s="3"/>
      <c r="I930" s="4" t="str">
        <f aca="false">IF(AND($A930&lt;&gt;"",$A930=Подбор!$C$4),MAX(I$1:I929)+1,"")</f>
        <v/>
      </c>
    </row>
    <row r="931" customFormat="false" ht="15" hidden="false" customHeight="false" outlineLevel="0" collapsed="false">
      <c r="A931" s="3" t="s">
        <v>1043</v>
      </c>
      <c r="B931" s="3" t="s">
        <v>68</v>
      </c>
      <c r="C931" s="3" t="s">
        <v>11</v>
      </c>
      <c r="D931" s="3" t="s">
        <v>12</v>
      </c>
      <c r="E931" s="3" t="s">
        <v>1044</v>
      </c>
      <c r="F931" s="3" t="n">
        <v>15000</v>
      </c>
      <c r="G931" s="3"/>
      <c r="H931" s="3"/>
      <c r="I931" s="4" t="str">
        <f aca="false">IF(AND($A931&lt;&gt;"",$A931=Подбор!$C$4),MAX(I$1:I930)+1,"")</f>
        <v/>
      </c>
    </row>
    <row r="932" customFormat="false" ht="15" hidden="false" customHeight="false" outlineLevel="0" collapsed="false">
      <c r="A932" s="3" t="s">
        <v>1045</v>
      </c>
      <c r="B932" s="3" t="s">
        <v>68</v>
      </c>
      <c r="C932" s="3" t="s">
        <v>11</v>
      </c>
      <c r="D932" s="3" t="s">
        <v>12</v>
      </c>
      <c r="E932" s="3" t="s">
        <v>165</v>
      </c>
      <c r="F932" s="3" t="n">
        <v>25000</v>
      </c>
      <c r="G932" s="3"/>
      <c r="H932" s="3"/>
      <c r="I932" s="4" t="str">
        <f aca="false">IF(AND($A932&lt;&gt;"",$A932=Подбор!$C$4),MAX(I$1:I931)+1,"")</f>
        <v/>
      </c>
    </row>
    <row r="933" customFormat="false" ht="15" hidden="false" customHeight="false" outlineLevel="0" collapsed="false">
      <c r="A933" s="3" t="s">
        <v>1045</v>
      </c>
      <c r="B933" s="3" t="s">
        <v>68</v>
      </c>
      <c r="C933" s="3" t="s">
        <v>14</v>
      </c>
      <c r="D933" s="3" t="s">
        <v>15</v>
      </c>
      <c r="E933" s="3" t="s">
        <v>166</v>
      </c>
      <c r="F933" s="3"/>
      <c r="G933" s="3"/>
      <c r="H933" s="3"/>
      <c r="I933" s="4" t="str">
        <f aca="false">IF(AND($A933&lt;&gt;"",$A933=Подбор!$C$4),MAX(I$1:I932)+1,"")</f>
        <v/>
      </c>
    </row>
    <row r="934" customFormat="false" ht="15" hidden="false" customHeight="false" outlineLevel="0" collapsed="false">
      <c r="A934" s="3" t="s">
        <v>1045</v>
      </c>
      <c r="B934" s="3" t="s">
        <v>68</v>
      </c>
      <c r="C934" s="3" t="s">
        <v>28</v>
      </c>
      <c r="D934" s="3" t="s">
        <v>15</v>
      </c>
      <c r="E934" s="3" t="s">
        <v>167</v>
      </c>
      <c r="F934" s="3"/>
      <c r="G934" s="3"/>
      <c r="H934" s="3"/>
      <c r="I934" s="4" t="str">
        <f aca="false">IF(AND($A934&lt;&gt;"",$A934=Подбор!$C$4),MAX(I$1:I933)+1,"")</f>
        <v/>
      </c>
    </row>
    <row r="935" customFormat="false" ht="15" hidden="false" customHeight="false" outlineLevel="0" collapsed="false">
      <c r="A935" s="3" t="s">
        <v>1046</v>
      </c>
      <c r="B935" s="3" t="s">
        <v>68</v>
      </c>
      <c r="C935" s="3" t="s">
        <v>11</v>
      </c>
      <c r="D935" s="3" t="s">
        <v>12</v>
      </c>
      <c r="E935" s="3" t="s">
        <v>1047</v>
      </c>
      <c r="F935" s="3" t="n">
        <v>4000</v>
      </c>
      <c r="G935" s="3"/>
      <c r="H935" s="3"/>
      <c r="I935" s="4" t="str">
        <f aca="false">IF(AND($A935&lt;&gt;"",$A935=Подбор!$C$4),MAX(I$1:I934)+1,"")</f>
        <v/>
      </c>
    </row>
    <row r="936" customFormat="false" ht="15" hidden="false" customHeight="false" outlineLevel="0" collapsed="false">
      <c r="A936" s="3" t="s">
        <v>1048</v>
      </c>
      <c r="B936" s="3" t="s">
        <v>68</v>
      </c>
      <c r="C936" s="3" t="s">
        <v>11</v>
      </c>
      <c r="D936" s="3" t="s">
        <v>12</v>
      </c>
      <c r="E936" s="3" t="s">
        <v>1049</v>
      </c>
      <c r="F936" s="3" t="n">
        <v>25000</v>
      </c>
      <c r="G936" s="3"/>
      <c r="H936" s="3"/>
      <c r="I936" s="4" t="str">
        <f aca="false">IF(AND($A936&lt;&gt;"",$A936=Подбор!$C$4),MAX(I$1:I935)+1,"")</f>
        <v/>
      </c>
    </row>
    <row r="937" customFormat="false" ht="15" hidden="false" customHeight="false" outlineLevel="0" collapsed="false">
      <c r="A937" s="3" t="s">
        <v>1048</v>
      </c>
      <c r="B937" s="3" t="s">
        <v>68</v>
      </c>
      <c r="C937" s="3" t="s">
        <v>11</v>
      </c>
      <c r="D937" s="3" t="s">
        <v>21</v>
      </c>
      <c r="E937" s="3" t="s">
        <v>1050</v>
      </c>
      <c r="F937" s="3" t="n">
        <v>15000</v>
      </c>
      <c r="G937" s="3"/>
      <c r="H937" s="3"/>
      <c r="I937" s="4" t="str">
        <f aca="false">IF(AND($A937&lt;&gt;"",$A937=Подбор!$C$4),MAX(I$1:I936)+1,"")</f>
        <v/>
      </c>
    </row>
    <row r="938" customFormat="false" ht="15" hidden="false" customHeight="false" outlineLevel="0" collapsed="false">
      <c r="A938" s="3" t="s">
        <v>1048</v>
      </c>
      <c r="B938" s="3" t="s">
        <v>68</v>
      </c>
      <c r="C938" s="3" t="s">
        <v>11</v>
      </c>
      <c r="D938" s="3" t="s">
        <v>23</v>
      </c>
      <c r="E938" s="3" t="s">
        <v>1051</v>
      </c>
      <c r="F938" s="3" t="n">
        <v>15000</v>
      </c>
      <c r="G938" s="3"/>
      <c r="H938" s="3"/>
      <c r="I938" s="4" t="str">
        <f aca="false">IF(AND($A938&lt;&gt;"",$A938=Подбор!$C$4),MAX(I$1:I937)+1,"")</f>
        <v/>
      </c>
    </row>
    <row r="939" customFormat="false" ht="15" hidden="false" customHeight="false" outlineLevel="0" collapsed="false">
      <c r="A939" s="3" t="s">
        <v>1048</v>
      </c>
      <c r="B939" s="3" t="s">
        <v>68</v>
      </c>
      <c r="C939" s="3" t="s">
        <v>11</v>
      </c>
      <c r="D939" s="3" t="s">
        <v>25</v>
      </c>
      <c r="E939" s="3" t="s">
        <v>1052</v>
      </c>
      <c r="F939" s="3" t="n">
        <v>15000</v>
      </c>
      <c r="G939" s="3"/>
      <c r="H939" s="3"/>
      <c r="I939" s="4" t="str">
        <f aca="false">IF(AND($A939&lt;&gt;"",$A939=Подбор!$C$4),MAX(I$1:I938)+1,"")</f>
        <v/>
      </c>
    </row>
    <row r="940" customFormat="false" ht="15" hidden="false" customHeight="false" outlineLevel="0" collapsed="false">
      <c r="A940" s="3" t="s">
        <v>1053</v>
      </c>
      <c r="B940" s="3" t="s">
        <v>68</v>
      </c>
      <c r="C940" s="3" t="s">
        <v>11</v>
      </c>
      <c r="D940" s="3" t="s">
        <v>12</v>
      </c>
      <c r="E940" s="3" t="s">
        <v>1054</v>
      </c>
      <c r="F940" s="3" t="n">
        <v>12000</v>
      </c>
      <c r="G940" s="3"/>
      <c r="H940" s="3"/>
      <c r="I940" s="4" t="str">
        <f aca="false">IF(AND($A940&lt;&gt;"",$A940=Подбор!$C$4),MAX(I$1:I939)+1,"")</f>
        <v/>
      </c>
    </row>
    <row r="941" customFormat="false" ht="15" hidden="false" customHeight="false" outlineLevel="0" collapsed="false">
      <c r="A941" s="3" t="s">
        <v>1055</v>
      </c>
      <c r="B941" s="3" t="s">
        <v>68</v>
      </c>
      <c r="C941" s="3" t="s">
        <v>11</v>
      </c>
      <c r="D941" s="3" t="s">
        <v>12</v>
      </c>
      <c r="E941" s="3" t="s">
        <v>1056</v>
      </c>
      <c r="F941" s="3" t="n">
        <v>15000</v>
      </c>
      <c r="G941" s="3"/>
      <c r="H941" s="3"/>
      <c r="I941" s="4" t="str">
        <f aca="false">IF(AND($A941&lt;&gt;"",$A941=Подбор!$C$4),MAX(I$1:I940)+1,"")</f>
        <v/>
      </c>
    </row>
    <row r="942" customFormat="false" ht="15" hidden="false" customHeight="false" outlineLevel="0" collapsed="false">
      <c r="A942" s="3" t="s">
        <v>1057</v>
      </c>
      <c r="B942" s="3" t="s">
        <v>68</v>
      </c>
      <c r="C942" s="3" t="s">
        <v>11</v>
      </c>
      <c r="D942" s="3" t="s">
        <v>12</v>
      </c>
      <c r="E942" s="3" t="s">
        <v>1058</v>
      </c>
      <c r="F942" s="3" t="n">
        <v>20000</v>
      </c>
      <c r="G942" s="3"/>
      <c r="H942" s="3"/>
      <c r="I942" s="4" t="str">
        <f aca="false">IF(AND($A942&lt;&gt;"",$A942=Подбор!$C$4),MAX(I$1:I941)+1,"")</f>
        <v/>
      </c>
    </row>
    <row r="943" customFormat="false" ht="15" hidden="false" customHeight="false" outlineLevel="0" collapsed="false">
      <c r="A943" s="3" t="s">
        <v>1059</v>
      </c>
      <c r="B943" s="3" t="s">
        <v>68</v>
      </c>
      <c r="C943" s="3" t="s">
        <v>11</v>
      </c>
      <c r="D943" s="3" t="s">
        <v>12</v>
      </c>
      <c r="E943" s="3" t="s">
        <v>1054</v>
      </c>
      <c r="F943" s="3" t="n">
        <v>12000</v>
      </c>
      <c r="G943" s="3"/>
      <c r="H943" s="3"/>
      <c r="I943" s="4" t="str">
        <f aca="false">IF(AND($A943&lt;&gt;"",$A943=Подбор!$C$4),MAX(I$1:I942)+1,"")</f>
        <v/>
      </c>
    </row>
    <row r="944" customFormat="false" ht="15" hidden="false" customHeight="false" outlineLevel="0" collapsed="false">
      <c r="A944" s="3" t="s">
        <v>1060</v>
      </c>
      <c r="B944" s="3" t="s">
        <v>68</v>
      </c>
      <c r="C944" s="3" t="s">
        <v>11</v>
      </c>
      <c r="D944" s="3" t="s">
        <v>12</v>
      </c>
      <c r="E944" s="3" t="s">
        <v>1061</v>
      </c>
      <c r="F944" s="3" t="n">
        <v>15000</v>
      </c>
      <c r="G944" s="3"/>
      <c r="H944" s="3"/>
      <c r="I944" s="4" t="str">
        <f aca="false">IF(AND($A944&lt;&gt;"",$A944=Подбор!$C$4),MAX(I$1:I943)+1,"")</f>
        <v/>
      </c>
    </row>
    <row r="945" customFormat="false" ht="15" hidden="false" customHeight="false" outlineLevel="0" collapsed="false">
      <c r="A945" s="3" t="s">
        <v>1062</v>
      </c>
      <c r="B945" s="3" t="s">
        <v>68</v>
      </c>
      <c r="C945" s="3" t="s">
        <v>11</v>
      </c>
      <c r="D945" s="3" t="s">
        <v>12</v>
      </c>
      <c r="E945" s="3" t="s">
        <v>1063</v>
      </c>
      <c r="F945" s="3" t="n">
        <v>3000</v>
      </c>
      <c r="G945" s="3"/>
      <c r="H945" s="3"/>
      <c r="I945" s="4" t="str">
        <f aca="false">IF(AND($A945&lt;&gt;"",$A945=Подбор!$C$4),MAX(I$1:I944)+1,"")</f>
        <v/>
      </c>
    </row>
    <row r="946" customFormat="false" ht="15" hidden="false" customHeight="false" outlineLevel="0" collapsed="false">
      <c r="A946" s="3" t="s">
        <v>1064</v>
      </c>
      <c r="B946" s="3" t="s">
        <v>68</v>
      </c>
      <c r="C946" s="3" t="s">
        <v>11</v>
      </c>
      <c r="D946" s="3" t="s">
        <v>12</v>
      </c>
      <c r="E946" s="3" t="s">
        <v>1065</v>
      </c>
      <c r="F946" s="3" t="n">
        <v>7200</v>
      </c>
      <c r="G946" s="3"/>
      <c r="H946" s="3"/>
      <c r="I946" s="4" t="str">
        <f aca="false">IF(AND($A946&lt;&gt;"",$A946=Подбор!$C$4),MAX(I$1:I945)+1,"")</f>
        <v/>
      </c>
    </row>
    <row r="947" customFormat="false" ht="15" hidden="false" customHeight="false" outlineLevel="0" collapsed="false">
      <c r="A947" s="3" t="s">
        <v>1066</v>
      </c>
      <c r="B947" s="3" t="s">
        <v>68</v>
      </c>
      <c r="C947" s="3" t="s">
        <v>11</v>
      </c>
      <c r="D947" s="3" t="s">
        <v>12</v>
      </c>
      <c r="E947" s="3" t="s">
        <v>1063</v>
      </c>
      <c r="F947" s="3" t="n">
        <v>3000</v>
      </c>
      <c r="G947" s="3"/>
      <c r="H947" s="3"/>
      <c r="I947" s="4" t="str">
        <f aca="false">IF(AND($A947&lt;&gt;"",$A947=Подбор!$C$4),MAX(I$1:I946)+1,"")</f>
        <v/>
      </c>
    </row>
    <row r="948" customFormat="false" ht="15" hidden="false" customHeight="false" outlineLevel="0" collapsed="false">
      <c r="A948" s="3" t="s">
        <v>1067</v>
      </c>
      <c r="B948" s="3" t="s">
        <v>68</v>
      </c>
      <c r="C948" s="3" t="s">
        <v>11</v>
      </c>
      <c r="D948" s="3" t="s">
        <v>12</v>
      </c>
      <c r="E948" s="3" t="s">
        <v>1065</v>
      </c>
      <c r="F948" s="3" t="n">
        <v>7200</v>
      </c>
      <c r="G948" s="3"/>
      <c r="H948" s="3"/>
      <c r="I948" s="4" t="str">
        <f aca="false">IF(AND($A948&lt;&gt;"",$A948=Подбор!$C$4),MAX(I$1:I947)+1,"")</f>
        <v/>
      </c>
    </row>
    <row r="949" customFormat="false" ht="15" hidden="false" customHeight="false" outlineLevel="0" collapsed="false">
      <c r="A949" s="3" t="s">
        <v>1068</v>
      </c>
      <c r="B949" s="3" t="s">
        <v>68</v>
      </c>
      <c r="C949" s="3" t="s">
        <v>11</v>
      </c>
      <c r="D949" s="3" t="s">
        <v>12</v>
      </c>
      <c r="E949" s="3" t="s">
        <v>1065</v>
      </c>
      <c r="F949" s="3" t="n">
        <v>7200</v>
      </c>
      <c r="G949" s="3"/>
      <c r="H949" s="3"/>
      <c r="I949" s="4" t="str">
        <f aca="false">IF(AND($A949&lt;&gt;"",$A949=Подбор!$C$4),MAX(I$1:I948)+1,"")</f>
        <v/>
      </c>
    </row>
    <row r="950" customFormat="false" ht="15" hidden="false" customHeight="false" outlineLevel="0" collapsed="false">
      <c r="A950" s="3" t="s">
        <v>1069</v>
      </c>
      <c r="B950" s="3" t="s">
        <v>68</v>
      </c>
      <c r="C950" s="3" t="s">
        <v>11</v>
      </c>
      <c r="D950" s="3" t="s">
        <v>12</v>
      </c>
      <c r="E950" s="3" t="s">
        <v>1070</v>
      </c>
      <c r="F950" s="3" t="n">
        <v>3000</v>
      </c>
      <c r="G950" s="3"/>
      <c r="H950" s="3"/>
      <c r="I950" s="4" t="str">
        <f aca="false">IF(AND($A950&lt;&gt;"",$A950=Подбор!$C$4),MAX(I$1:I949)+1,"")</f>
        <v/>
      </c>
    </row>
    <row r="951" customFormat="false" ht="15" hidden="false" customHeight="false" outlineLevel="0" collapsed="false">
      <c r="A951" s="3" t="s">
        <v>1071</v>
      </c>
      <c r="B951" s="3" t="s">
        <v>68</v>
      </c>
      <c r="C951" s="3" t="s">
        <v>11</v>
      </c>
      <c r="D951" s="3" t="s">
        <v>12</v>
      </c>
      <c r="E951" s="3" t="s">
        <v>1072</v>
      </c>
      <c r="F951" s="3" t="n">
        <v>7000</v>
      </c>
      <c r="G951" s="3"/>
      <c r="H951" s="3"/>
      <c r="I951" s="4" t="str">
        <f aca="false">IF(AND($A951&lt;&gt;"",$A951=Подбор!$C$4),MAX(I$1:I950)+1,"")</f>
        <v/>
      </c>
    </row>
    <row r="952" customFormat="false" ht="15" hidden="false" customHeight="false" outlineLevel="0" collapsed="false">
      <c r="A952" s="3" t="s">
        <v>1073</v>
      </c>
      <c r="B952" s="3" t="s">
        <v>68</v>
      </c>
      <c r="C952" s="3" t="s">
        <v>11</v>
      </c>
      <c r="D952" s="3" t="s">
        <v>12</v>
      </c>
      <c r="E952" s="3" t="s">
        <v>1074</v>
      </c>
      <c r="F952" s="3" t="n">
        <v>7000</v>
      </c>
      <c r="G952" s="3"/>
      <c r="H952" s="3"/>
      <c r="I952" s="4" t="str">
        <f aca="false">IF(AND($A952&lt;&gt;"",$A952=Подбор!$C$4),MAX(I$1:I951)+1,"")</f>
        <v/>
      </c>
    </row>
    <row r="953" customFormat="false" ht="15" hidden="false" customHeight="false" outlineLevel="0" collapsed="false">
      <c r="A953" s="3" t="s">
        <v>1075</v>
      </c>
      <c r="B953" s="3" t="s">
        <v>68</v>
      </c>
      <c r="C953" s="3" t="s">
        <v>11</v>
      </c>
      <c r="D953" s="3" t="s">
        <v>12</v>
      </c>
      <c r="E953" s="3" t="s">
        <v>1074</v>
      </c>
      <c r="F953" s="3" t="n">
        <v>7000</v>
      </c>
      <c r="G953" s="3"/>
      <c r="H953" s="3"/>
      <c r="I953" s="4" t="str">
        <f aca="false">IF(AND($A953&lt;&gt;"",$A953=Подбор!$C$4),MAX(I$1:I952)+1,"")</f>
        <v/>
      </c>
    </row>
    <row r="954" customFormat="false" ht="15" hidden="false" customHeight="false" outlineLevel="0" collapsed="false">
      <c r="A954" s="3" t="s">
        <v>1076</v>
      </c>
      <c r="B954" s="3" t="s">
        <v>68</v>
      </c>
      <c r="C954" s="3" t="s">
        <v>11</v>
      </c>
      <c r="D954" s="3" t="s">
        <v>12</v>
      </c>
      <c r="E954" s="3" t="s">
        <v>1072</v>
      </c>
      <c r="F954" s="3" t="n">
        <v>7000</v>
      </c>
      <c r="G954" s="3"/>
      <c r="H954" s="3"/>
      <c r="I954" s="4" t="str">
        <f aca="false">IF(AND($A954&lt;&gt;"",$A954=Подбор!$C$4),MAX(I$1:I953)+1,"")</f>
        <v/>
      </c>
    </row>
    <row r="955" customFormat="false" ht="15" hidden="false" customHeight="false" outlineLevel="0" collapsed="false">
      <c r="A955" s="3" t="s">
        <v>1077</v>
      </c>
      <c r="B955" s="3" t="s">
        <v>84</v>
      </c>
      <c r="C955" s="3" t="s">
        <v>11</v>
      </c>
      <c r="D955" s="3" t="s">
        <v>12</v>
      </c>
      <c r="E955" s="3" t="s">
        <v>1078</v>
      </c>
      <c r="F955" s="3" t="n">
        <v>16000</v>
      </c>
      <c r="G955" s="3"/>
      <c r="H955" s="3"/>
      <c r="I955" s="4" t="str">
        <f aca="false">IF(AND($A955&lt;&gt;"",$A955=Подбор!$C$4),MAX(I$1:I954)+1,"")</f>
        <v/>
      </c>
    </row>
    <row r="956" customFormat="false" ht="15" hidden="false" customHeight="false" outlineLevel="0" collapsed="false">
      <c r="A956" s="3" t="s">
        <v>1079</v>
      </c>
      <c r="B956" s="3" t="s">
        <v>84</v>
      </c>
      <c r="C956" s="3" t="s">
        <v>11</v>
      </c>
      <c r="D956" s="3" t="s">
        <v>12</v>
      </c>
      <c r="E956" s="3" t="s">
        <v>1080</v>
      </c>
      <c r="F956" s="3" t="n">
        <v>1500</v>
      </c>
      <c r="G956" s="3"/>
      <c r="H956" s="3"/>
      <c r="I956" s="4" t="str">
        <f aca="false">IF(AND($A956&lt;&gt;"",$A956=Подбор!$C$4),MAX(I$1:I955)+1,"")</f>
        <v/>
      </c>
    </row>
    <row r="957" customFormat="false" ht="15" hidden="false" customHeight="false" outlineLevel="0" collapsed="false">
      <c r="A957" s="3" t="s">
        <v>1081</v>
      </c>
      <c r="B957" s="3" t="s">
        <v>84</v>
      </c>
      <c r="C957" s="3" t="s">
        <v>11</v>
      </c>
      <c r="D957" s="3" t="s">
        <v>12</v>
      </c>
      <c r="E957" s="3" t="s">
        <v>1078</v>
      </c>
      <c r="F957" s="3" t="n">
        <v>16000</v>
      </c>
      <c r="G957" s="3"/>
      <c r="H957" s="3"/>
      <c r="I957" s="4" t="str">
        <f aca="false">IF(AND($A957&lt;&gt;"",$A957=Подбор!$C$4),MAX(I$1:I956)+1,"")</f>
        <v/>
      </c>
    </row>
    <row r="958" customFormat="false" ht="15" hidden="false" customHeight="false" outlineLevel="0" collapsed="false">
      <c r="A958" s="3" t="s">
        <v>1082</v>
      </c>
      <c r="B958" s="3" t="s">
        <v>498</v>
      </c>
      <c r="C958" s="3" t="s">
        <v>11</v>
      </c>
      <c r="D958" s="3" t="s">
        <v>12</v>
      </c>
      <c r="E958" s="3" t="s">
        <v>1083</v>
      </c>
      <c r="F958" s="3" t="n">
        <v>1200</v>
      </c>
      <c r="G958" s="3"/>
      <c r="H958" s="3"/>
      <c r="I958" s="4" t="str">
        <f aca="false">IF(AND($A958&lt;&gt;"",$A958=Подбор!$C$4),MAX(I$1:I957)+1,"")</f>
        <v/>
      </c>
    </row>
    <row r="959" customFormat="false" ht="15" hidden="false" customHeight="false" outlineLevel="0" collapsed="false">
      <c r="A959" s="3" t="s">
        <v>1082</v>
      </c>
      <c r="B959" s="3" t="s">
        <v>498</v>
      </c>
      <c r="C959" s="3" t="s">
        <v>14</v>
      </c>
      <c r="D959" s="3" t="s">
        <v>15</v>
      </c>
      <c r="E959" s="3" t="s">
        <v>1084</v>
      </c>
      <c r="F959" s="3"/>
      <c r="G959" s="3"/>
      <c r="H959" s="3"/>
      <c r="I959" s="4" t="str">
        <f aca="false">IF(AND($A959&lt;&gt;"",$A959=Подбор!$C$4),MAX(I$1:I958)+1,"")</f>
        <v/>
      </c>
    </row>
    <row r="960" customFormat="false" ht="15" hidden="false" customHeight="false" outlineLevel="0" collapsed="false">
      <c r="A960" s="3" t="s">
        <v>1085</v>
      </c>
      <c r="B960" s="3" t="s">
        <v>68</v>
      </c>
      <c r="C960" s="3" t="s">
        <v>11</v>
      </c>
      <c r="D960" s="3" t="s">
        <v>12</v>
      </c>
      <c r="E960" s="3" t="s">
        <v>1063</v>
      </c>
      <c r="F960" s="3" t="n">
        <v>3000</v>
      </c>
      <c r="G960" s="3"/>
      <c r="H960" s="3"/>
      <c r="I960" s="4" t="str">
        <f aca="false">IF(AND($A960&lt;&gt;"",$A960=Подбор!$C$4),MAX(I$1:I959)+1,"")</f>
        <v/>
      </c>
    </row>
    <row r="961" customFormat="false" ht="15" hidden="false" customHeight="false" outlineLevel="0" collapsed="false">
      <c r="A961" s="3" t="s">
        <v>1086</v>
      </c>
      <c r="B961" s="3" t="s">
        <v>84</v>
      </c>
      <c r="C961" s="3" t="s">
        <v>11</v>
      </c>
      <c r="D961" s="3" t="s">
        <v>12</v>
      </c>
      <c r="E961" s="3" t="s">
        <v>863</v>
      </c>
      <c r="F961" s="3" t="n">
        <v>2500</v>
      </c>
      <c r="G961" s="3"/>
      <c r="H961" s="3"/>
      <c r="I961" s="4" t="str">
        <f aca="false">IF(AND($A961&lt;&gt;"",$A961=Подбор!$C$4),MAX(I$1:I960)+1,"")</f>
        <v/>
      </c>
    </row>
    <row r="962" customFormat="false" ht="15" hidden="false" customHeight="false" outlineLevel="0" collapsed="false">
      <c r="A962" s="3" t="s">
        <v>1087</v>
      </c>
      <c r="B962" s="3" t="s">
        <v>885</v>
      </c>
      <c r="C962" s="3" t="s">
        <v>15</v>
      </c>
      <c r="D962" s="3" t="s">
        <v>15</v>
      </c>
      <c r="E962" s="3" t="s">
        <v>15</v>
      </c>
      <c r="F962" s="3"/>
      <c r="G962" s="3"/>
      <c r="H962" s="3"/>
      <c r="I962" s="4" t="str">
        <f aca="false">IF(AND($A962&lt;&gt;"",$A962=Подбор!$C$4),MAX(I$1:I961)+1,"")</f>
        <v/>
      </c>
    </row>
    <row r="963" customFormat="false" ht="15" hidden="false" customHeight="false" outlineLevel="0" collapsed="false">
      <c r="A963" s="3" t="s">
        <v>1088</v>
      </c>
      <c r="B963" s="3" t="s">
        <v>84</v>
      </c>
      <c r="C963" s="3" t="s">
        <v>11</v>
      </c>
      <c r="D963" s="3" t="s">
        <v>12</v>
      </c>
      <c r="E963" s="3" t="s">
        <v>965</v>
      </c>
      <c r="F963" s="3" t="n">
        <v>6000</v>
      </c>
      <c r="G963" s="3"/>
      <c r="H963" s="3"/>
      <c r="I963" s="4" t="str">
        <f aca="false">IF(AND($A963&lt;&gt;"",$A963=Подбор!$C$4),MAX(I$1:I962)+1,"")</f>
        <v/>
      </c>
    </row>
    <row r="964" customFormat="false" ht="15" hidden="false" customHeight="false" outlineLevel="0" collapsed="false">
      <c r="A964" s="3" t="s">
        <v>1089</v>
      </c>
      <c r="B964" s="3" t="s">
        <v>84</v>
      </c>
      <c r="C964" s="3" t="s">
        <v>11</v>
      </c>
      <c r="D964" s="3" t="s">
        <v>12</v>
      </c>
      <c r="E964" s="3" t="n">
        <v>724</v>
      </c>
      <c r="F964" s="3" t="n">
        <v>5000</v>
      </c>
      <c r="G964" s="3"/>
      <c r="H964" s="3"/>
      <c r="I964" s="4" t="str">
        <f aca="false">IF(AND($A964&lt;&gt;"",$A964=Подбор!$C$4),MAX(I$1:I963)+1,"")</f>
        <v/>
      </c>
    </row>
    <row r="965" customFormat="false" ht="15" hidden="false" customHeight="false" outlineLevel="0" collapsed="false">
      <c r="A965" s="3" t="s">
        <v>1090</v>
      </c>
      <c r="B965" s="3" t="s">
        <v>57</v>
      </c>
      <c r="C965" s="3" t="s">
        <v>567</v>
      </c>
      <c r="D965" s="3" t="s">
        <v>12</v>
      </c>
      <c r="E965" s="3" t="s">
        <v>601</v>
      </c>
      <c r="F965" s="3" t="n">
        <v>1200</v>
      </c>
      <c r="G965" s="3"/>
      <c r="H965" s="3"/>
      <c r="I965" s="4" t="str">
        <f aca="false">IF(AND($A965&lt;&gt;"",$A965=Подбор!$C$4),MAX(I$1:I964)+1,"")</f>
        <v/>
      </c>
    </row>
    <row r="966" customFormat="false" ht="15" hidden="false" customHeight="false" outlineLevel="0" collapsed="false">
      <c r="A966" s="3" t="s">
        <v>1091</v>
      </c>
      <c r="B966" s="3" t="s">
        <v>57</v>
      </c>
      <c r="C966" s="3" t="s">
        <v>567</v>
      </c>
      <c r="D966" s="3" t="s">
        <v>12</v>
      </c>
      <c r="E966" s="3" t="s">
        <v>1092</v>
      </c>
      <c r="F966" s="3" t="n">
        <v>10000</v>
      </c>
      <c r="G966" s="3"/>
      <c r="H966" s="3"/>
      <c r="I966" s="4" t="str">
        <f aca="false">IF(AND($A966&lt;&gt;"",$A966=Подбор!$C$4),MAX(I$1:I965)+1,"")</f>
        <v/>
      </c>
    </row>
    <row r="967" customFormat="false" ht="15" hidden="false" customHeight="false" outlineLevel="0" collapsed="false">
      <c r="A967" s="3" t="s">
        <v>1093</v>
      </c>
      <c r="B967" s="3" t="s">
        <v>68</v>
      </c>
      <c r="C967" s="3" t="s">
        <v>11</v>
      </c>
      <c r="D967" s="3" t="s">
        <v>12</v>
      </c>
      <c r="E967" s="3" t="s">
        <v>1094</v>
      </c>
      <c r="F967" s="3" t="n">
        <v>25000</v>
      </c>
      <c r="G967" s="3"/>
      <c r="H967" s="3"/>
      <c r="I967" s="4" t="str">
        <f aca="false">IF(AND($A967&lt;&gt;"",$A967=Подбор!$C$4),MAX(I$1:I966)+1,"")</f>
        <v/>
      </c>
    </row>
    <row r="968" customFormat="false" ht="15" hidden="false" customHeight="false" outlineLevel="0" collapsed="false">
      <c r="A968" s="3" t="s">
        <v>1095</v>
      </c>
      <c r="B968" s="3" t="s">
        <v>84</v>
      </c>
      <c r="C968" s="3" t="s">
        <v>11</v>
      </c>
      <c r="D968" s="3" t="s">
        <v>12</v>
      </c>
      <c r="E968" s="3" t="s">
        <v>934</v>
      </c>
      <c r="F968" s="3" t="n">
        <v>30000</v>
      </c>
      <c r="G968" s="3"/>
      <c r="H968" s="3"/>
      <c r="I968" s="4" t="str">
        <f aca="false">IF(AND($A968&lt;&gt;"",$A968=Подбор!$C$4),MAX(I$1:I967)+1,"")</f>
        <v/>
      </c>
    </row>
    <row r="969" customFormat="false" ht="15" hidden="false" customHeight="false" outlineLevel="0" collapsed="false">
      <c r="A969" s="3" t="s">
        <v>1096</v>
      </c>
      <c r="B969" s="3" t="s">
        <v>68</v>
      </c>
      <c r="C969" s="3" t="s">
        <v>11</v>
      </c>
      <c r="D969" s="3" t="s">
        <v>12</v>
      </c>
      <c r="E969" s="3" t="s">
        <v>69</v>
      </c>
      <c r="F969" s="3" t="n">
        <v>55000</v>
      </c>
      <c r="G969" s="3"/>
      <c r="H969" s="3"/>
      <c r="I969" s="4" t="str">
        <f aca="false">IF(AND($A969&lt;&gt;"",$A969=Подбор!$C$4),MAX(I$1:I968)+1,"")</f>
        <v/>
      </c>
    </row>
    <row r="970" customFormat="false" ht="15" hidden="false" customHeight="false" outlineLevel="0" collapsed="false">
      <c r="A970" s="3" t="s">
        <v>1097</v>
      </c>
      <c r="B970" s="3" t="s">
        <v>932</v>
      </c>
      <c r="C970" s="3" t="s">
        <v>567</v>
      </c>
      <c r="D970" s="3" t="s">
        <v>12</v>
      </c>
      <c r="E970" s="3" t="s">
        <v>1098</v>
      </c>
      <c r="F970" s="3" t="n">
        <v>500</v>
      </c>
      <c r="G970" s="3"/>
      <c r="H970" s="3"/>
      <c r="I970" s="4" t="str">
        <f aca="false">IF(AND($A970&lt;&gt;"",$A970=Подбор!$C$4),MAX(I$1:I969)+1,"")</f>
        <v/>
      </c>
    </row>
    <row r="971" customFormat="false" ht="15" hidden="false" customHeight="false" outlineLevel="0" collapsed="false">
      <c r="A971" s="3" t="s">
        <v>1099</v>
      </c>
      <c r="B971" s="3" t="s">
        <v>68</v>
      </c>
      <c r="C971" s="3" t="s">
        <v>11</v>
      </c>
      <c r="D971" s="3" t="s">
        <v>12</v>
      </c>
      <c r="E971" s="3" t="s">
        <v>194</v>
      </c>
      <c r="F971" s="3" t="n">
        <v>15000</v>
      </c>
      <c r="G971" s="3"/>
      <c r="H971" s="3"/>
      <c r="I971" s="4" t="str">
        <f aca="false">IF(AND($A971&lt;&gt;"",$A971=Подбор!$C$4),MAX(I$1:I970)+1,"")</f>
        <v/>
      </c>
    </row>
    <row r="972" customFormat="false" ht="15" hidden="false" customHeight="false" outlineLevel="0" collapsed="false">
      <c r="A972" s="3" t="s">
        <v>1100</v>
      </c>
      <c r="B972" s="3" t="s">
        <v>84</v>
      </c>
      <c r="C972" s="3" t="s">
        <v>11</v>
      </c>
      <c r="D972" s="3" t="s">
        <v>12</v>
      </c>
      <c r="E972" s="3" t="n">
        <v>725</v>
      </c>
      <c r="F972" s="3" t="n">
        <v>1600</v>
      </c>
      <c r="G972" s="3"/>
      <c r="H972" s="3"/>
      <c r="I972" s="4" t="str">
        <f aca="false">IF(AND($A972&lt;&gt;"",$A972=Подбор!$C$4),MAX(I$1:I971)+1,"")</f>
        <v/>
      </c>
    </row>
    <row r="973" customFormat="false" ht="15" hidden="false" customHeight="false" outlineLevel="0" collapsed="false">
      <c r="A973" s="3" t="s">
        <v>1101</v>
      </c>
      <c r="B973" s="3" t="s">
        <v>84</v>
      </c>
      <c r="C973" s="3" t="s">
        <v>11</v>
      </c>
      <c r="D973" s="3" t="s">
        <v>12</v>
      </c>
      <c r="E973" s="3" t="s">
        <v>1102</v>
      </c>
      <c r="F973" s="3" t="n">
        <v>6400</v>
      </c>
      <c r="G973" s="3"/>
      <c r="H973" s="3"/>
      <c r="I973" s="4" t="str">
        <f aca="false">IF(AND($A973&lt;&gt;"",$A973=Подбор!$C$4),MAX(I$1:I972)+1,"")</f>
        <v/>
      </c>
    </row>
    <row r="974" customFormat="false" ht="15" hidden="false" customHeight="false" outlineLevel="0" collapsed="false">
      <c r="A974" s="3" t="s">
        <v>1103</v>
      </c>
      <c r="B974" s="3" t="s">
        <v>84</v>
      </c>
      <c r="C974" s="3" t="s">
        <v>11</v>
      </c>
      <c r="D974" s="3" t="s">
        <v>12</v>
      </c>
      <c r="E974" s="3" t="s">
        <v>1104</v>
      </c>
      <c r="F974" s="3" t="n">
        <v>6000</v>
      </c>
      <c r="G974" s="3"/>
      <c r="H974" s="3"/>
      <c r="I974" s="4" t="str">
        <f aca="false">IF(AND($A974&lt;&gt;"",$A974=Подбор!$C$4),MAX(I$1:I973)+1,"")</f>
        <v/>
      </c>
    </row>
    <row r="975" customFormat="false" ht="15" hidden="false" customHeight="false" outlineLevel="0" collapsed="false">
      <c r="A975" s="3" t="s">
        <v>1105</v>
      </c>
      <c r="B975" s="3" t="s">
        <v>57</v>
      </c>
      <c r="C975" s="3" t="s">
        <v>567</v>
      </c>
      <c r="D975" s="3" t="s">
        <v>12</v>
      </c>
      <c r="E975" s="3" t="s">
        <v>1106</v>
      </c>
      <c r="F975" s="3" t="n">
        <v>30000</v>
      </c>
      <c r="G975" s="3"/>
      <c r="H975" s="3"/>
      <c r="I975" s="4" t="str">
        <f aca="false">IF(AND($A975&lt;&gt;"",$A975=Подбор!$C$4),MAX(I$1:I974)+1,"")</f>
        <v/>
      </c>
    </row>
    <row r="976" customFormat="false" ht="15" hidden="false" customHeight="false" outlineLevel="0" collapsed="false">
      <c r="A976" s="3" t="s">
        <v>1107</v>
      </c>
      <c r="B976" s="3" t="s">
        <v>57</v>
      </c>
      <c r="C976" s="3" t="s">
        <v>567</v>
      </c>
      <c r="D976" s="3" t="s">
        <v>12</v>
      </c>
      <c r="E976" s="3" t="s">
        <v>1106</v>
      </c>
      <c r="F976" s="3" t="n">
        <v>30000</v>
      </c>
      <c r="G976" s="3"/>
      <c r="H976" s="3"/>
      <c r="I976" s="4" t="str">
        <f aca="false">IF(AND($A976&lt;&gt;"",$A976=Подбор!$C$4),MAX(I$1:I975)+1,"")</f>
        <v/>
      </c>
    </row>
    <row r="977" customFormat="false" ht="15" hidden="false" customHeight="false" outlineLevel="0" collapsed="false">
      <c r="A977" s="3" t="s">
        <v>1108</v>
      </c>
      <c r="B977" s="3" t="s">
        <v>57</v>
      </c>
      <c r="C977" s="3" t="s">
        <v>567</v>
      </c>
      <c r="D977" s="3" t="s">
        <v>12</v>
      </c>
      <c r="E977" s="3" t="s">
        <v>1106</v>
      </c>
      <c r="F977" s="3" t="n">
        <v>30000</v>
      </c>
      <c r="G977" s="3"/>
      <c r="H977" s="3"/>
      <c r="I977" s="4" t="str">
        <f aca="false">IF(AND($A977&lt;&gt;"",$A977=Подбор!$C$4),MAX(I$1:I976)+1,"")</f>
        <v/>
      </c>
    </row>
    <row r="978" customFormat="false" ht="15" hidden="false" customHeight="false" outlineLevel="0" collapsed="false">
      <c r="A978" s="3" t="s">
        <v>1109</v>
      </c>
      <c r="B978" s="3" t="s">
        <v>57</v>
      </c>
      <c r="C978" s="3" t="s">
        <v>567</v>
      </c>
      <c r="D978" s="3" t="s">
        <v>12</v>
      </c>
      <c r="E978" s="3" t="s">
        <v>1110</v>
      </c>
      <c r="F978" s="3" t="n">
        <v>30000</v>
      </c>
      <c r="G978" s="3"/>
      <c r="H978" s="3"/>
      <c r="I978" s="4" t="str">
        <f aca="false">IF(AND($A978&lt;&gt;"",$A978=Подбор!$C$4),MAX(I$1:I977)+1,"")</f>
        <v/>
      </c>
    </row>
    <row r="979" customFormat="false" ht="15" hidden="false" customHeight="false" outlineLevel="0" collapsed="false">
      <c r="A979" s="3" t="s">
        <v>1111</v>
      </c>
      <c r="B979" s="3" t="s">
        <v>57</v>
      </c>
      <c r="C979" s="3" t="s">
        <v>567</v>
      </c>
      <c r="D979" s="3" t="s">
        <v>12</v>
      </c>
      <c r="E979" s="3" t="s">
        <v>1106</v>
      </c>
      <c r="F979" s="3" t="n">
        <v>30000</v>
      </c>
      <c r="G979" s="3"/>
      <c r="H979" s="3"/>
      <c r="I979" s="4" t="str">
        <f aca="false">IF(AND($A979&lt;&gt;"",$A979=Подбор!$C$4),MAX(I$1:I978)+1,"")</f>
        <v/>
      </c>
    </row>
    <row r="980" customFormat="false" ht="15" hidden="false" customHeight="false" outlineLevel="0" collapsed="false">
      <c r="A980" s="3" t="s">
        <v>1112</v>
      </c>
      <c r="B980" s="3" t="s">
        <v>57</v>
      </c>
      <c r="C980" s="3" t="s">
        <v>11</v>
      </c>
      <c r="D980" s="3" t="s">
        <v>12</v>
      </c>
      <c r="E980" s="3" t="s">
        <v>1113</v>
      </c>
      <c r="F980" s="3" t="n">
        <v>20000</v>
      </c>
      <c r="G980" s="3"/>
      <c r="H980" s="3"/>
      <c r="I980" s="4" t="str">
        <f aca="false">IF(AND($A980&lt;&gt;"",$A980=Подбор!$C$4),MAX(I$1:I979)+1,"")</f>
        <v/>
      </c>
    </row>
    <row r="981" customFormat="false" ht="15" hidden="false" customHeight="false" outlineLevel="0" collapsed="false">
      <c r="A981" s="3" t="s">
        <v>1114</v>
      </c>
      <c r="B981" s="3" t="s">
        <v>84</v>
      </c>
      <c r="C981" s="3" t="s">
        <v>11</v>
      </c>
      <c r="D981" s="3" t="s">
        <v>12</v>
      </c>
      <c r="E981" s="3" t="s">
        <v>1115</v>
      </c>
      <c r="F981" s="3" t="n">
        <v>25000</v>
      </c>
      <c r="G981" s="3"/>
      <c r="H981" s="3"/>
      <c r="I981" s="4" t="str">
        <f aca="false">IF(AND($A981&lt;&gt;"",$A981=Подбор!$C$4),MAX(I$1:I980)+1,"")</f>
        <v/>
      </c>
    </row>
    <row r="982" customFormat="false" ht="15" hidden="false" customHeight="false" outlineLevel="0" collapsed="false">
      <c r="A982" s="3" t="s">
        <v>1116</v>
      </c>
      <c r="B982" s="3" t="s">
        <v>57</v>
      </c>
      <c r="C982" s="3" t="s">
        <v>11</v>
      </c>
      <c r="D982" s="3" t="s">
        <v>12</v>
      </c>
      <c r="E982" s="3" t="s">
        <v>594</v>
      </c>
      <c r="F982" s="3" t="n">
        <v>25000</v>
      </c>
      <c r="G982" s="3"/>
      <c r="H982" s="3"/>
      <c r="I982" s="4" t="str">
        <f aca="false">IF(AND($A982&lt;&gt;"",$A982=Подбор!$C$4),MAX(I$1:I981)+1,"")</f>
        <v/>
      </c>
    </row>
    <row r="983" customFormat="false" ht="15" hidden="false" customHeight="false" outlineLevel="0" collapsed="false">
      <c r="A983" s="3" t="s">
        <v>1117</v>
      </c>
      <c r="B983" s="3" t="s">
        <v>57</v>
      </c>
      <c r="C983" s="3" t="s">
        <v>11</v>
      </c>
      <c r="D983" s="3" t="s">
        <v>12</v>
      </c>
      <c r="E983" s="3" t="s">
        <v>594</v>
      </c>
      <c r="F983" s="3" t="n">
        <v>25000</v>
      </c>
      <c r="G983" s="3"/>
      <c r="H983" s="3"/>
      <c r="I983" s="4" t="str">
        <f aca="false">IF(AND($A983&lt;&gt;"",$A983=Подбор!$C$4),MAX(I$1:I982)+1,"")</f>
        <v/>
      </c>
    </row>
    <row r="984" customFormat="false" ht="15" hidden="false" customHeight="false" outlineLevel="0" collapsed="false">
      <c r="A984" s="3" t="s">
        <v>1118</v>
      </c>
      <c r="B984" s="3" t="s">
        <v>57</v>
      </c>
      <c r="C984" s="3" t="s">
        <v>11</v>
      </c>
      <c r="D984" s="3" t="s">
        <v>12</v>
      </c>
      <c r="E984" s="3" t="s">
        <v>682</v>
      </c>
      <c r="F984" s="3" t="n">
        <v>13000</v>
      </c>
      <c r="G984" s="3"/>
      <c r="H984" s="3"/>
      <c r="I984" s="4" t="str">
        <f aca="false">IF(AND($A984&lt;&gt;"",$A984=Подбор!$C$4),MAX(I$1:I983)+1,"")</f>
        <v/>
      </c>
    </row>
    <row r="985" customFormat="false" ht="15" hidden="false" customHeight="false" outlineLevel="0" collapsed="false">
      <c r="A985" s="3" t="s">
        <v>1119</v>
      </c>
      <c r="B985" s="3" t="s">
        <v>84</v>
      </c>
      <c r="C985" s="3" t="s">
        <v>11</v>
      </c>
      <c r="D985" s="3" t="s">
        <v>12</v>
      </c>
      <c r="E985" s="3" t="s">
        <v>1120</v>
      </c>
      <c r="F985" s="3" t="n">
        <v>30000</v>
      </c>
      <c r="G985" s="3"/>
      <c r="H985" s="3"/>
      <c r="I985" s="4" t="str">
        <f aca="false">IF(AND($A985&lt;&gt;"",$A985=Подбор!$C$4),MAX(I$1:I984)+1,"")</f>
        <v/>
      </c>
    </row>
    <row r="986" customFormat="false" ht="15" hidden="false" customHeight="false" outlineLevel="0" collapsed="false">
      <c r="A986" s="3" t="s">
        <v>1121</v>
      </c>
      <c r="B986" s="3" t="s">
        <v>68</v>
      </c>
      <c r="C986" s="3" t="s">
        <v>11</v>
      </c>
      <c r="D986" s="3" t="s">
        <v>12</v>
      </c>
      <c r="E986" s="3" t="s">
        <v>1056</v>
      </c>
      <c r="F986" s="3" t="n">
        <v>15000</v>
      </c>
      <c r="G986" s="3"/>
      <c r="H986" s="3"/>
      <c r="I986" s="4" t="str">
        <f aca="false">IF(AND($A986&lt;&gt;"",$A986=Подбор!$C$4),MAX(I$1:I985)+1,"")</f>
        <v/>
      </c>
    </row>
    <row r="987" customFormat="false" ht="15" hidden="false" customHeight="false" outlineLevel="0" collapsed="false">
      <c r="A987" s="3" t="s">
        <v>1122</v>
      </c>
      <c r="B987" s="3" t="s">
        <v>57</v>
      </c>
      <c r="C987" s="3" t="s">
        <v>11</v>
      </c>
      <c r="D987" s="3" t="s">
        <v>12</v>
      </c>
      <c r="E987" s="3" t="s">
        <v>1123</v>
      </c>
      <c r="F987" s="3" t="n">
        <v>1600</v>
      </c>
      <c r="G987" s="3"/>
      <c r="H987" s="3"/>
      <c r="I987" s="4" t="str">
        <f aca="false">IF(AND($A987&lt;&gt;"",$A987=Подбор!$C$4),MAX(I$1:I986)+1,"")</f>
        <v/>
      </c>
    </row>
    <row r="988" customFormat="false" ht="15" hidden="false" customHeight="false" outlineLevel="0" collapsed="false">
      <c r="A988" s="3" t="s">
        <v>1124</v>
      </c>
      <c r="B988" s="3" t="s">
        <v>68</v>
      </c>
      <c r="C988" s="3" t="s">
        <v>11</v>
      </c>
      <c r="D988" s="3" t="s">
        <v>12</v>
      </c>
      <c r="E988" s="3" t="s">
        <v>1063</v>
      </c>
      <c r="F988" s="3" t="n">
        <v>3000</v>
      </c>
      <c r="G988" s="3"/>
      <c r="H988" s="3"/>
      <c r="I988" s="4" t="str">
        <f aca="false">IF(AND($A988&lt;&gt;"",$A988=Подбор!$C$4),MAX(I$1:I987)+1,"")</f>
        <v/>
      </c>
    </row>
    <row r="989" customFormat="false" ht="15" hidden="false" customHeight="false" outlineLevel="0" collapsed="false">
      <c r="A989" s="3" t="s">
        <v>1125</v>
      </c>
      <c r="B989" s="3" t="s">
        <v>68</v>
      </c>
      <c r="C989" s="3" t="s">
        <v>11</v>
      </c>
      <c r="D989" s="3" t="s">
        <v>12</v>
      </c>
      <c r="E989" s="3" t="s">
        <v>1065</v>
      </c>
      <c r="F989" s="3" t="n">
        <v>7200</v>
      </c>
      <c r="G989" s="3"/>
      <c r="H989" s="3"/>
      <c r="I989" s="4" t="str">
        <f aca="false">IF(AND($A989&lt;&gt;"",$A989=Подбор!$C$4),MAX(I$1:I988)+1,"")</f>
        <v/>
      </c>
    </row>
    <row r="990" customFormat="false" ht="15" hidden="false" customHeight="false" outlineLevel="0" collapsed="false">
      <c r="A990" s="3" t="s">
        <v>1126</v>
      </c>
      <c r="B990" s="3" t="s">
        <v>68</v>
      </c>
      <c r="C990" s="3" t="s">
        <v>11</v>
      </c>
      <c r="D990" s="3" t="s">
        <v>12</v>
      </c>
      <c r="E990" s="3" t="s">
        <v>1065</v>
      </c>
      <c r="F990" s="3" t="n">
        <v>7200</v>
      </c>
      <c r="G990" s="3"/>
      <c r="H990" s="3"/>
      <c r="I990" s="4" t="str">
        <f aca="false">IF(AND($A990&lt;&gt;"",$A990=Подбор!$C$4),MAX(I$1:I989)+1,"")</f>
        <v/>
      </c>
    </row>
    <row r="991" customFormat="false" ht="15" hidden="false" customHeight="false" outlineLevel="0" collapsed="false">
      <c r="A991" s="3" t="s">
        <v>1127</v>
      </c>
      <c r="B991" s="3" t="s">
        <v>84</v>
      </c>
      <c r="C991" s="3" t="s">
        <v>11</v>
      </c>
      <c r="D991" s="3" t="s">
        <v>12</v>
      </c>
      <c r="E991" s="3" t="s">
        <v>246</v>
      </c>
      <c r="F991" s="3" t="n">
        <v>2100</v>
      </c>
      <c r="G991" s="3"/>
      <c r="H991" s="3"/>
      <c r="I991" s="4" t="str">
        <f aca="false">IF(AND($A991&lt;&gt;"",$A991=Подбор!$C$4),MAX(I$1:I990)+1,"")</f>
        <v/>
      </c>
    </row>
    <row r="992" customFormat="false" ht="15" hidden="false" customHeight="false" outlineLevel="0" collapsed="false">
      <c r="A992" s="3" t="s">
        <v>1128</v>
      </c>
      <c r="B992" s="3" t="s">
        <v>68</v>
      </c>
      <c r="C992" s="3" t="s">
        <v>11</v>
      </c>
      <c r="D992" s="3" t="s">
        <v>12</v>
      </c>
      <c r="E992" s="3" t="s">
        <v>1129</v>
      </c>
      <c r="F992" s="3" t="n">
        <v>12500</v>
      </c>
      <c r="G992" s="3"/>
      <c r="H992" s="3"/>
      <c r="I992" s="4" t="str">
        <f aca="false">IF(AND($A992&lt;&gt;"",$A992=Подбор!$C$4),MAX(I$1:I991)+1,"")</f>
        <v/>
      </c>
    </row>
    <row r="993" customFormat="false" ht="15" hidden="false" customHeight="false" outlineLevel="0" collapsed="false">
      <c r="A993" s="3" t="s">
        <v>1130</v>
      </c>
      <c r="B993" s="3" t="s">
        <v>68</v>
      </c>
      <c r="C993" s="3" t="s">
        <v>11</v>
      </c>
      <c r="D993" s="3" t="s">
        <v>12</v>
      </c>
      <c r="E993" s="3" t="s">
        <v>1129</v>
      </c>
      <c r="F993" s="3" t="n">
        <v>12500</v>
      </c>
      <c r="G993" s="3"/>
      <c r="H993" s="3"/>
      <c r="I993" s="4" t="str">
        <f aca="false">IF(AND($A993&lt;&gt;"",$A993=Подбор!$C$4),MAX(I$1:I992)+1,"")</f>
        <v/>
      </c>
    </row>
    <row r="994" customFormat="false" ht="15" hidden="false" customHeight="false" outlineLevel="0" collapsed="false">
      <c r="A994" s="3" t="s">
        <v>1131</v>
      </c>
      <c r="B994" s="3" t="s">
        <v>68</v>
      </c>
      <c r="C994" s="3" t="s">
        <v>11</v>
      </c>
      <c r="D994" s="3" t="s">
        <v>12</v>
      </c>
      <c r="E994" s="3" t="s">
        <v>1132</v>
      </c>
      <c r="F994" s="3" t="n">
        <v>15000</v>
      </c>
      <c r="G994" s="3"/>
      <c r="H994" s="3"/>
      <c r="I994" s="4" t="str">
        <f aca="false">IF(AND($A994&lt;&gt;"",$A994=Подбор!$C$4),MAX(I$1:I993)+1,"")</f>
        <v/>
      </c>
    </row>
    <row r="995" customFormat="false" ht="15" hidden="false" customHeight="false" outlineLevel="0" collapsed="false">
      <c r="A995" s="3" t="s">
        <v>1133</v>
      </c>
      <c r="B995" s="3" t="s">
        <v>84</v>
      </c>
      <c r="C995" s="3" t="s">
        <v>11</v>
      </c>
      <c r="D995" s="3" t="s">
        <v>12</v>
      </c>
      <c r="E995" s="3" t="s">
        <v>246</v>
      </c>
      <c r="F995" s="3" t="n">
        <v>2100</v>
      </c>
      <c r="G995" s="3"/>
      <c r="H995" s="3"/>
      <c r="I995" s="4" t="str">
        <f aca="false">IF(AND($A995&lt;&gt;"",$A995=Подбор!$C$4),MAX(I$1:I994)+1,"")</f>
        <v/>
      </c>
    </row>
    <row r="996" customFormat="false" ht="15" hidden="false" customHeight="false" outlineLevel="0" collapsed="false">
      <c r="A996" s="3" t="s">
        <v>1134</v>
      </c>
      <c r="B996" s="3" t="s">
        <v>156</v>
      </c>
      <c r="C996" s="3" t="s">
        <v>11</v>
      </c>
      <c r="D996" s="3" t="s">
        <v>12</v>
      </c>
      <c r="E996" s="3" t="s">
        <v>157</v>
      </c>
      <c r="F996" s="3" t="n">
        <v>2000</v>
      </c>
      <c r="G996" s="3"/>
      <c r="H996" s="3"/>
      <c r="I996" s="4" t="str">
        <f aca="false">IF(AND($A996&lt;&gt;"",$A996=Подбор!$C$4),MAX(I$1:I995)+1,"")</f>
        <v/>
      </c>
    </row>
    <row r="997" customFormat="false" ht="15" hidden="false" customHeight="false" outlineLevel="0" collapsed="false">
      <c r="A997" s="3" t="s">
        <v>1134</v>
      </c>
      <c r="B997" s="3" t="s">
        <v>156</v>
      </c>
      <c r="C997" s="3" t="s">
        <v>14</v>
      </c>
      <c r="D997" s="3" t="s">
        <v>15</v>
      </c>
      <c r="E997" s="3" t="s">
        <v>158</v>
      </c>
      <c r="F997" s="3"/>
      <c r="G997" s="3"/>
      <c r="H997" s="3"/>
      <c r="I997" s="4" t="str">
        <f aca="false">IF(AND($A997&lt;&gt;"",$A997=Подбор!$C$4),MAX(I$1:I996)+1,"")</f>
        <v/>
      </c>
    </row>
    <row r="998" customFormat="false" ht="15" hidden="false" customHeight="false" outlineLevel="0" collapsed="false">
      <c r="A998" s="3" t="s">
        <v>1135</v>
      </c>
      <c r="B998" s="3" t="s">
        <v>68</v>
      </c>
      <c r="C998" s="3" t="s">
        <v>11</v>
      </c>
      <c r="D998" s="3" t="s">
        <v>12</v>
      </c>
      <c r="E998" s="3" t="s">
        <v>149</v>
      </c>
      <c r="F998" s="3" t="n">
        <v>15000</v>
      </c>
      <c r="G998" s="3"/>
      <c r="H998" s="3"/>
      <c r="I998" s="4" t="str">
        <f aca="false">IF(AND($A998&lt;&gt;"",$A998=Подбор!$C$4),MAX(I$1:I997)+1,"")</f>
        <v/>
      </c>
    </row>
    <row r="999" customFormat="false" ht="15" hidden="false" customHeight="false" outlineLevel="0" collapsed="false">
      <c r="A999" s="3" t="s">
        <v>1135</v>
      </c>
      <c r="B999" s="3" t="s">
        <v>68</v>
      </c>
      <c r="C999" s="3" t="s">
        <v>28</v>
      </c>
      <c r="D999" s="3" t="s">
        <v>15</v>
      </c>
      <c r="E999" s="3" t="s">
        <v>150</v>
      </c>
      <c r="F999" s="3"/>
      <c r="G999" s="3"/>
      <c r="H999" s="3"/>
      <c r="I999" s="4" t="str">
        <f aca="false">IF(AND($A999&lt;&gt;"",$A999=Подбор!$C$4),MAX(I$1:I998)+1,"")</f>
        <v/>
      </c>
    </row>
    <row r="1000" customFormat="false" ht="15" hidden="false" customHeight="false" outlineLevel="0" collapsed="false">
      <c r="A1000" s="3" t="s">
        <v>1136</v>
      </c>
      <c r="B1000" s="3" t="s">
        <v>68</v>
      </c>
      <c r="C1000" s="3" t="s">
        <v>11</v>
      </c>
      <c r="D1000" s="3" t="s">
        <v>12</v>
      </c>
      <c r="E1000" s="3" t="s">
        <v>1137</v>
      </c>
      <c r="F1000" s="3" t="n">
        <v>30000</v>
      </c>
      <c r="G1000" s="3"/>
      <c r="H1000" s="3"/>
      <c r="I1000" s="4" t="str">
        <f aca="false">IF(AND($A1000&lt;&gt;"",$A1000=Подбор!$C$4),MAX(I$1:I999)+1,"")</f>
        <v/>
      </c>
    </row>
    <row r="1001" customFormat="false" ht="15" hidden="false" customHeight="false" outlineLevel="0" collapsed="false">
      <c r="A1001" s="3" t="s">
        <v>1138</v>
      </c>
      <c r="B1001" s="3" t="s">
        <v>110</v>
      </c>
      <c r="C1001" s="3" t="s">
        <v>11</v>
      </c>
      <c r="D1001" s="3" t="s">
        <v>12</v>
      </c>
      <c r="E1001" s="3" t="s">
        <v>1139</v>
      </c>
      <c r="F1001" s="3" t="n">
        <v>1500</v>
      </c>
      <c r="G1001" s="3"/>
      <c r="H1001" s="3"/>
      <c r="I1001" s="4" t="str">
        <f aca="false">IF(AND($A1001&lt;&gt;"",$A1001=Подбор!$C$4),MAX(I$1:I1000)+1,"")</f>
        <v/>
      </c>
    </row>
    <row r="1002" customFormat="false" ht="15" hidden="false" customHeight="false" outlineLevel="0" collapsed="false">
      <c r="A1002" s="3" t="s">
        <v>1140</v>
      </c>
      <c r="B1002" s="3" t="s">
        <v>156</v>
      </c>
      <c r="C1002" s="3" t="s">
        <v>11</v>
      </c>
      <c r="D1002" s="3" t="s">
        <v>12</v>
      </c>
      <c r="E1002" s="3" t="s">
        <v>1141</v>
      </c>
      <c r="F1002" s="3" t="n">
        <v>2000</v>
      </c>
      <c r="G1002" s="3"/>
      <c r="H1002" s="3"/>
      <c r="I1002" s="4" t="str">
        <f aca="false">IF(AND($A1002&lt;&gt;"",$A1002=Подбор!$C$4),MAX(I$1:I1001)+1,"")</f>
        <v/>
      </c>
    </row>
    <row r="1003" customFormat="false" ht="15" hidden="false" customHeight="false" outlineLevel="0" collapsed="false">
      <c r="A1003" s="3" t="s">
        <v>1142</v>
      </c>
      <c r="B1003" s="3" t="s">
        <v>57</v>
      </c>
      <c r="C1003" s="3" t="s">
        <v>11</v>
      </c>
      <c r="D1003" s="3" t="s">
        <v>12</v>
      </c>
      <c r="E1003" s="3" t="s">
        <v>114</v>
      </c>
      <c r="F1003" s="3" t="n">
        <v>3100</v>
      </c>
      <c r="G1003" s="3"/>
      <c r="H1003" s="3"/>
      <c r="I1003" s="4" t="str">
        <f aca="false">IF(AND($A1003&lt;&gt;"",$A1003=Подбор!$C$4),MAX(I$1:I1002)+1,"")</f>
        <v/>
      </c>
    </row>
    <row r="1004" customFormat="false" ht="15" hidden="false" customHeight="false" outlineLevel="0" collapsed="false">
      <c r="A1004" s="3" t="s">
        <v>1143</v>
      </c>
      <c r="B1004" s="3" t="s">
        <v>57</v>
      </c>
      <c r="C1004" s="3" t="s">
        <v>11</v>
      </c>
      <c r="D1004" s="3" t="s">
        <v>12</v>
      </c>
      <c r="E1004" s="3" t="s">
        <v>555</v>
      </c>
      <c r="F1004" s="3" t="n">
        <v>9000</v>
      </c>
      <c r="G1004" s="3"/>
      <c r="H1004" s="3"/>
      <c r="I1004" s="4" t="str">
        <f aca="false">IF(AND($A1004&lt;&gt;"",$A1004=Подбор!$C$4),MAX(I$1:I1003)+1,"")</f>
        <v/>
      </c>
    </row>
    <row r="1005" customFormat="false" ht="15" hidden="false" customHeight="false" outlineLevel="0" collapsed="false">
      <c r="A1005" s="3" t="s">
        <v>1144</v>
      </c>
      <c r="B1005" s="3" t="s">
        <v>57</v>
      </c>
      <c r="C1005" s="3" t="s">
        <v>11</v>
      </c>
      <c r="D1005" s="3" t="s">
        <v>12</v>
      </c>
      <c r="E1005" s="3" t="s">
        <v>114</v>
      </c>
      <c r="F1005" s="3" t="n">
        <v>3100</v>
      </c>
      <c r="G1005" s="3"/>
      <c r="H1005" s="3"/>
      <c r="I1005" s="4" t="str">
        <f aca="false">IF(AND($A1005&lt;&gt;"",$A1005=Подбор!$C$4),MAX(I$1:I1004)+1,"")</f>
        <v/>
      </c>
    </row>
    <row r="1006" customFormat="false" ht="15" hidden="false" customHeight="false" outlineLevel="0" collapsed="false">
      <c r="A1006" s="3" t="s">
        <v>1145</v>
      </c>
      <c r="B1006" s="3" t="s">
        <v>57</v>
      </c>
      <c r="C1006" s="3" t="s">
        <v>11</v>
      </c>
      <c r="D1006" s="3" t="s">
        <v>12</v>
      </c>
      <c r="E1006" s="3" t="s">
        <v>114</v>
      </c>
      <c r="F1006" s="3" t="n">
        <v>3100</v>
      </c>
      <c r="G1006" s="3"/>
      <c r="H1006" s="3"/>
      <c r="I1006" s="4" t="str">
        <f aca="false">IF(AND($A1006&lt;&gt;"",$A1006=Подбор!$C$4),MAX(I$1:I1005)+1,"")</f>
        <v/>
      </c>
    </row>
    <row r="1007" customFormat="false" ht="15" hidden="false" customHeight="false" outlineLevel="0" collapsed="false">
      <c r="A1007" s="3" t="s">
        <v>1146</v>
      </c>
      <c r="B1007" s="3" t="s">
        <v>57</v>
      </c>
      <c r="C1007" s="3" t="s">
        <v>11</v>
      </c>
      <c r="D1007" s="3" t="s">
        <v>12</v>
      </c>
      <c r="E1007" s="3" t="s">
        <v>114</v>
      </c>
      <c r="F1007" s="3" t="n">
        <v>3100</v>
      </c>
      <c r="G1007" s="3"/>
      <c r="H1007" s="3"/>
      <c r="I1007" s="4" t="str">
        <f aca="false">IF(AND($A1007&lt;&gt;"",$A1007=Подбор!$C$4),MAX(I$1:I1006)+1,"")</f>
        <v/>
      </c>
    </row>
    <row r="1008" customFormat="false" ht="15" hidden="false" customHeight="false" outlineLevel="0" collapsed="false">
      <c r="A1008" s="3" t="s">
        <v>1147</v>
      </c>
      <c r="B1008" s="3" t="s">
        <v>57</v>
      </c>
      <c r="C1008" s="3" t="s">
        <v>11</v>
      </c>
      <c r="D1008" s="3" t="s">
        <v>12</v>
      </c>
      <c r="E1008" s="3" t="s">
        <v>1148</v>
      </c>
      <c r="F1008" s="3" t="n">
        <v>3000</v>
      </c>
      <c r="G1008" s="3"/>
      <c r="H1008" s="3"/>
      <c r="I1008" s="4" t="str">
        <f aca="false">IF(AND($A1008&lt;&gt;"",$A1008=Подбор!$C$4),MAX(I$1:I1007)+1,"")</f>
        <v/>
      </c>
    </row>
    <row r="1009" customFormat="false" ht="15" hidden="false" customHeight="false" outlineLevel="0" collapsed="false">
      <c r="A1009" s="3" t="s">
        <v>1149</v>
      </c>
      <c r="B1009" s="3" t="s">
        <v>57</v>
      </c>
      <c r="C1009" s="3" t="s">
        <v>11</v>
      </c>
      <c r="D1009" s="3" t="s">
        <v>12</v>
      </c>
      <c r="E1009" s="3" t="s">
        <v>1148</v>
      </c>
      <c r="F1009" s="3" t="n">
        <v>3000</v>
      </c>
      <c r="G1009" s="3"/>
      <c r="H1009" s="3"/>
      <c r="I1009" s="4" t="str">
        <f aca="false">IF(AND($A1009&lt;&gt;"",$A1009=Подбор!$C$4),MAX(I$1:I1008)+1,"")</f>
        <v/>
      </c>
    </row>
    <row r="1010" customFormat="false" ht="15" hidden="false" customHeight="false" outlineLevel="0" collapsed="false">
      <c r="A1010" s="3" t="s">
        <v>1150</v>
      </c>
      <c r="B1010" s="3" t="s">
        <v>57</v>
      </c>
      <c r="C1010" s="3" t="s">
        <v>11</v>
      </c>
      <c r="D1010" s="3" t="s">
        <v>12</v>
      </c>
      <c r="E1010" s="3" t="s">
        <v>1113</v>
      </c>
      <c r="F1010" s="3" t="n">
        <v>20000</v>
      </c>
      <c r="G1010" s="3"/>
      <c r="H1010" s="3"/>
      <c r="I1010" s="4" t="str">
        <f aca="false">IF(AND($A1010&lt;&gt;"",$A1010=Подбор!$C$4),MAX(I$1:I1009)+1,"")</f>
        <v/>
      </c>
    </row>
    <row r="1011" customFormat="false" ht="15" hidden="false" customHeight="false" outlineLevel="0" collapsed="false">
      <c r="A1011" s="3" t="s">
        <v>1151</v>
      </c>
      <c r="B1011" s="3" t="s">
        <v>57</v>
      </c>
      <c r="C1011" s="3" t="s">
        <v>11</v>
      </c>
      <c r="D1011" s="3" t="s">
        <v>12</v>
      </c>
      <c r="E1011" s="3" t="s">
        <v>207</v>
      </c>
      <c r="F1011" s="3" t="n">
        <v>2700</v>
      </c>
      <c r="G1011" s="3"/>
      <c r="H1011" s="3"/>
      <c r="I1011" s="4" t="str">
        <f aca="false">IF(AND($A1011&lt;&gt;"",$A1011=Подбор!$C$4),MAX(I$1:I1010)+1,"")</f>
        <v/>
      </c>
    </row>
    <row r="1012" customFormat="false" ht="15" hidden="false" customHeight="false" outlineLevel="0" collapsed="false">
      <c r="A1012" s="3" t="s">
        <v>1152</v>
      </c>
      <c r="B1012" s="3" t="s">
        <v>57</v>
      </c>
      <c r="C1012" s="3" t="s">
        <v>11</v>
      </c>
      <c r="D1012" s="3" t="s">
        <v>12</v>
      </c>
      <c r="E1012" s="3" t="s">
        <v>207</v>
      </c>
      <c r="F1012" s="3" t="n">
        <v>2700</v>
      </c>
      <c r="G1012" s="3"/>
      <c r="H1012" s="3"/>
      <c r="I1012" s="4" t="str">
        <f aca="false">IF(AND($A1012&lt;&gt;"",$A1012=Подбор!$C$4),MAX(I$1:I1011)+1,"")</f>
        <v/>
      </c>
    </row>
    <row r="1013" customFormat="false" ht="15" hidden="false" customHeight="false" outlineLevel="0" collapsed="false">
      <c r="A1013" s="3" t="s">
        <v>1153</v>
      </c>
      <c r="B1013" s="3" t="s">
        <v>10</v>
      </c>
      <c r="C1013" s="3" t="s">
        <v>11</v>
      </c>
      <c r="D1013" s="3" t="s">
        <v>12</v>
      </c>
      <c r="E1013" s="3" t="s">
        <v>1154</v>
      </c>
      <c r="F1013" s="3" t="n">
        <v>18000</v>
      </c>
      <c r="G1013" s="3"/>
      <c r="H1013" s="3"/>
      <c r="I1013" s="4" t="str">
        <f aca="false">IF(AND($A1013&lt;&gt;"",$A1013=Подбор!$C$4),MAX(I$1:I1012)+1,"")</f>
        <v/>
      </c>
    </row>
    <row r="1014" customFormat="false" ht="15" hidden="false" customHeight="false" outlineLevel="0" collapsed="false">
      <c r="A1014" s="3" t="s">
        <v>1155</v>
      </c>
      <c r="B1014" s="3" t="s">
        <v>156</v>
      </c>
      <c r="C1014" s="3" t="s">
        <v>11</v>
      </c>
      <c r="D1014" s="3" t="s">
        <v>12</v>
      </c>
      <c r="E1014" s="3" t="s">
        <v>1156</v>
      </c>
      <c r="F1014" s="3" t="n">
        <v>6000</v>
      </c>
      <c r="G1014" s="3"/>
      <c r="H1014" s="3"/>
      <c r="I1014" s="4" t="str">
        <f aca="false">IF(AND($A1014&lt;&gt;"",$A1014=Подбор!$C$4),MAX(I$1:I1013)+1,"")</f>
        <v/>
      </c>
    </row>
    <row r="1015" customFormat="false" ht="15" hidden="false" customHeight="false" outlineLevel="0" collapsed="false">
      <c r="A1015" s="3" t="s">
        <v>1157</v>
      </c>
      <c r="B1015" s="3" t="s">
        <v>68</v>
      </c>
      <c r="C1015" s="3" t="s">
        <v>11</v>
      </c>
      <c r="D1015" s="3" t="s">
        <v>12</v>
      </c>
      <c r="E1015" s="3" t="s">
        <v>1158</v>
      </c>
      <c r="F1015" s="3" t="n">
        <v>3500</v>
      </c>
      <c r="G1015" s="3"/>
      <c r="H1015" s="3"/>
      <c r="I1015" s="4" t="str">
        <f aca="false">IF(AND($A1015&lt;&gt;"",$A1015=Подбор!$C$4),MAX(I$1:I1014)+1,"")</f>
        <v/>
      </c>
    </row>
    <row r="1016" customFormat="false" ht="15" hidden="false" customHeight="false" outlineLevel="0" collapsed="false">
      <c r="A1016" s="3" t="s">
        <v>1159</v>
      </c>
      <c r="B1016" s="3" t="s">
        <v>68</v>
      </c>
      <c r="C1016" s="3" t="s">
        <v>11</v>
      </c>
      <c r="D1016" s="3" t="s">
        <v>12</v>
      </c>
      <c r="E1016" s="3" t="s">
        <v>1033</v>
      </c>
      <c r="F1016" s="3" t="n">
        <v>7200</v>
      </c>
      <c r="G1016" s="3"/>
      <c r="H1016" s="3"/>
      <c r="I1016" s="4" t="str">
        <f aca="false">IF(AND($A1016&lt;&gt;"",$A1016=Подбор!$C$4),MAX(I$1:I1015)+1,"")</f>
        <v/>
      </c>
    </row>
    <row r="1017" customFormat="false" ht="15" hidden="false" customHeight="false" outlineLevel="0" collapsed="false">
      <c r="A1017" s="3" t="s">
        <v>1160</v>
      </c>
      <c r="B1017" s="3" t="s">
        <v>68</v>
      </c>
      <c r="C1017" s="3" t="s">
        <v>11</v>
      </c>
      <c r="D1017" s="3" t="s">
        <v>12</v>
      </c>
      <c r="E1017" s="3" t="s">
        <v>1161</v>
      </c>
      <c r="F1017" s="3" t="n">
        <v>20000</v>
      </c>
      <c r="G1017" s="3"/>
      <c r="H1017" s="3"/>
      <c r="I1017" s="4" t="str">
        <f aca="false">IF(AND($A1017&lt;&gt;"",$A1017=Подбор!$C$4),MAX(I$1:I1016)+1,"")</f>
        <v/>
      </c>
    </row>
    <row r="1018" customFormat="false" ht="15" hidden="false" customHeight="false" outlineLevel="0" collapsed="false">
      <c r="A1018" s="3" t="s">
        <v>1162</v>
      </c>
      <c r="B1018" s="3" t="s">
        <v>84</v>
      </c>
      <c r="C1018" s="3" t="s">
        <v>11</v>
      </c>
      <c r="D1018" s="3" t="s">
        <v>12</v>
      </c>
      <c r="E1018" s="3" t="n">
        <v>719</v>
      </c>
      <c r="F1018" s="3" t="n">
        <v>2100</v>
      </c>
      <c r="G1018" s="3"/>
      <c r="H1018" s="3"/>
      <c r="I1018" s="4" t="str">
        <f aca="false">IF(AND($A1018&lt;&gt;"",$A1018=Подбор!$C$4),MAX(I$1:I1017)+1,"")</f>
        <v/>
      </c>
    </row>
    <row r="1019" customFormat="false" ht="15" hidden="false" customHeight="false" outlineLevel="0" collapsed="false">
      <c r="A1019" s="3" t="s">
        <v>1163</v>
      </c>
      <c r="B1019" s="3" t="s">
        <v>84</v>
      </c>
      <c r="C1019" s="3" t="s">
        <v>11</v>
      </c>
      <c r="D1019" s="3" t="s">
        <v>12</v>
      </c>
      <c r="E1019" s="3" t="s">
        <v>1164</v>
      </c>
      <c r="F1019" s="3" t="n">
        <v>30000</v>
      </c>
      <c r="G1019" s="3"/>
      <c r="H1019" s="3"/>
      <c r="I1019" s="4" t="str">
        <f aca="false">IF(AND($A1019&lt;&gt;"",$A1019=Подбор!$C$4),MAX(I$1:I1018)+1,"")</f>
        <v/>
      </c>
    </row>
    <row r="1020" customFormat="false" ht="15" hidden="false" customHeight="false" outlineLevel="0" collapsed="false">
      <c r="A1020" s="3" t="s">
        <v>1165</v>
      </c>
      <c r="B1020" s="3" t="s">
        <v>68</v>
      </c>
      <c r="C1020" s="3" t="s">
        <v>11</v>
      </c>
      <c r="D1020" s="3" t="s">
        <v>12</v>
      </c>
      <c r="E1020" s="3" t="s">
        <v>1044</v>
      </c>
      <c r="F1020" s="3" t="n">
        <v>15000</v>
      </c>
      <c r="G1020" s="3"/>
      <c r="H1020" s="3"/>
      <c r="I1020" s="4" t="str">
        <f aca="false">IF(AND($A1020&lt;&gt;"",$A1020=Подбор!$C$4),MAX(I$1:I1019)+1,"")</f>
        <v/>
      </c>
    </row>
    <row r="1021" customFormat="false" ht="15" hidden="false" customHeight="false" outlineLevel="0" collapsed="false">
      <c r="A1021" s="3" t="s">
        <v>1166</v>
      </c>
      <c r="B1021" s="3" t="s">
        <v>84</v>
      </c>
      <c r="C1021" s="3" t="s">
        <v>11</v>
      </c>
      <c r="D1021" s="3" t="s">
        <v>12</v>
      </c>
      <c r="E1021" s="3" t="s">
        <v>1167</v>
      </c>
      <c r="F1021" s="3" t="n">
        <v>30000</v>
      </c>
      <c r="G1021" s="3"/>
      <c r="H1021" s="3"/>
      <c r="I1021" s="4" t="str">
        <f aca="false">IF(AND($A1021&lt;&gt;"",$A1021=Подбор!$C$4),MAX(I$1:I1020)+1,"")</f>
        <v/>
      </c>
    </row>
    <row r="1022" customFormat="false" ht="15" hidden="false" customHeight="false" outlineLevel="0" collapsed="false">
      <c r="A1022" s="3" t="s">
        <v>1168</v>
      </c>
      <c r="B1022" s="3" t="s">
        <v>68</v>
      </c>
      <c r="C1022" s="3" t="s">
        <v>11</v>
      </c>
      <c r="D1022" s="3" t="s">
        <v>12</v>
      </c>
      <c r="E1022" s="3" t="s">
        <v>1169</v>
      </c>
      <c r="F1022" s="3" t="n">
        <v>7200</v>
      </c>
      <c r="G1022" s="3"/>
      <c r="H1022" s="3"/>
      <c r="I1022" s="4" t="str">
        <f aca="false">IF(AND($A1022&lt;&gt;"",$A1022=Подбор!$C$4),MAX(I$1:I1021)+1,"")</f>
        <v/>
      </c>
    </row>
    <row r="1023" customFormat="false" ht="15" hidden="false" customHeight="false" outlineLevel="0" collapsed="false">
      <c r="A1023" s="3" t="s">
        <v>1170</v>
      </c>
      <c r="B1023" s="3" t="s">
        <v>68</v>
      </c>
      <c r="C1023" s="3" t="s">
        <v>11</v>
      </c>
      <c r="D1023" s="3" t="s">
        <v>12</v>
      </c>
      <c r="E1023" s="3" t="s">
        <v>1169</v>
      </c>
      <c r="F1023" s="3" t="n">
        <v>7200</v>
      </c>
      <c r="G1023" s="3"/>
      <c r="H1023" s="3"/>
      <c r="I1023" s="4" t="str">
        <f aca="false">IF(AND($A1023&lt;&gt;"",$A1023=Подбор!$C$4),MAX(I$1:I1022)+1,"")</f>
        <v/>
      </c>
    </row>
    <row r="1024" customFormat="false" ht="15" hidden="false" customHeight="false" outlineLevel="0" collapsed="false">
      <c r="A1024" s="3" t="s">
        <v>1171</v>
      </c>
      <c r="B1024" s="3" t="s">
        <v>84</v>
      </c>
      <c r="C1024" s="3" t="s">
        <v>11</v>
      </c>
      <c r="D1024" s="3" t="s">
        <v>12</v>
      </c>
      <c r="E1024" s="3" t="s">
        <v>1172</v>
      </c>
      <c r="F1024" s="3" t="n">
        <v>30000</v>
      </c>
      <c r="G1024" s="3"/>
      <c r="H1024" s="3"/>
      <c r="I1024" s="4" t="str">
        <f aca="false">IF(AND($A1024&lt;&gt;"",$A1024=Подбор!$C$4),MAX(I$1:I1023)+1,"")</f>
        <v/>
      </c>
    </row>
    <row r="1025" customFormat="false" ht="15" hidden="false" customHeight="false" outlineLevel="0" collapsed="false">
      <c r="A1025" s="3" t="s">
        <v>1173</v>
      </c>
      <c r="B1025" s="3" t="s">
        <v>84</v>
      </c>
      <c r="C1025" s="3" t="s">
        <v>11</v>
      </c>
      <c r="D1025" s="3" t="s">
        <v>12</v>
      </c>
      <c r="E1025" s="3" t="s">
        <v>1164</v>
      </c>
      <c r="F1025" s="3" t="n">
        <v>30000</v>
      </c>
      <c r="G1025" s="3"/>
      <c r="H1025" s="3"/>
      <c r="I1025" s="4" t="str">
        <f aca="false">IF(AND($A1025&lt;&gt;"",$A1025=Подбор!$C$4),MAX(I$1:I1024)+1,"")</f>
        <v/>
      </c>
    </row>
    <row r="1026" customFormat="false" ht="15" hidden="false" customHeight="false" outlineLevel="0" collapsed="false">
      <c r="A1026" s="3" t="s">
        <v>1174</v>
      </c>
      <c r="B1026" s="3" t="s">
        <v>84</v>
      </c>
      <c r="C1026" s="3" t="s">
        <v>11</v>
      </c>
      <c r="D1026" s="3" t="s">
        <v>12</v>
      </c>
      <c r="E1026" s="3" t="s">
        <v>1175</v>
      </c>
      <c r="F1026" s="3" t="n">
        <v>10000</v>
      </c>
      <c r="G1026" s="3"/>
      <c r="H1026" s="3"/>
      <c r="I1026" s="4" t="str">
        <f aca="false">IF(AND($A1026&lt;&gt;"",$A1026=Подбор!$C$4),MAX(I$1:I1025)+1,"")</f>
        <v/>
      </c>
    </row>
    <row r="1027" customFormat="false" ht="15" hidden="false" customHeight="false" outlineLevel="0" collapsed="false">
      <c r="A1027" s="3" t="s">
        <v>1176</v>
      </c>
      <c r="B1027" s="3" t="s">
        <v>84</v>
      </c>
      <c r="C1027" s="3" t="s">
        <v>11</v>
      </c>
      <c r="D1027" s="3" t="s">
        <v>12</v>
      </c>
      <c r="E1027" s="3" t="s">
        <v>1175</v>
      </c>
      <c r="F1027" s="3" t="n">
        <v>10000</v>
      </c>
      <c r="G1027" s="3"/>
      <c r="H1027" s="3"/>
      <c r="I1027" s="4" t="str">
        <f aca="false">IF(AND($A1027&lt;&gt;"",$A1027=Подбор!$C$4),MAX(I$1:I1026)+1,"")</f>
        <v/>
      </c>
    </row>
    <row r="1028" customFormat="false" ht="15" hidden="false" customHeight="false" outlineLevel="0" collapsed="false">
      <c r="A1028" s="3" t="s">
        <v>1177</v>
      </c>
      <c r="B1028" s="3" t="s">
        <v>68</v>
      </c>
      <c r="C1028" s="3" t="s">
        <v>11</v>
      </c>
      <c r="D1028" s="3" t="s">
        <v>12</v>
      </c>
      <c r="E1028" s="3" t="s">
        <v>1178</v>
      </c>
      <c r="F1028" s="3" t="n">
        <v>20000</v>
      </c>
      <c r="G1028" s="3"/>
      <c r="H1028" s="3"/>
      <c r="I1028" s="4" t="str">
        <f aca="false">IF(AND($A1028&lt;&gt;"",$A1028=Подбор!$C$4),MAX(I$1:I1027)+1,"")</f>
        <v/>
      </c>
    </row>
    <row r="1029" customFormat="false" ht="15" hidden="false" customHeight="false" outlineLevel="0" collapsed="false">
      <c r="A1029" s="3" t="s">
        <v>1179</v>
      </c>
      <c r="B1029" s="3" t="s">
        <v>1180</v>
      </c>
      <c r="C1029" s="3" t="s">
        <v>15</v>
      </c>
      <c r="D1029" s="3" t="s">
        <v>15</v>
      </c>
      <c r="E1029" s="3" t="s">
        <v>15</v>
      </c>
      <c r="F1029" s="3"/>
      <c r="G1029" s="3"/>
      <c r="H1029" s="3"/>
      <c r="I1029" s="4" t="str">
        <f aca="false">IF(AND($A1029&lt;&gt;"",$A1029=Подбор!$C$4),MAX(I$1:I1028)+1,"")</f>
        <v/>
      </c>
    </row>
    <row r="1030" customFormat="false" ht="15" hidden="false" customHeight="false" outlineLevel="0" collapsed="false">
      <c r="A1030" s="3" t="s">
        <v>1181</v>
      </c>
      <c r="B1030" s="3" t="s">
        <v>68</v>
      </c>
      <c r="C1030" s="3" t="s">
        <v>11</v>
      </c>
      <c r="D1030" s="3" t="s">
        <v>12</v>
      </c>
      <c r="E1030" s="3" t="s">
        <v>1182</v>
      </c>
      <c r="F1030" s="3" t="n">
        <v>25000</v>
      </c>
      <c r="G1030" s="3"/>
      <c r="H1030" s="3"/>
      <c r="I1030" s="4" t="str">
        <f aca="false">IF(AND($A1030&lt;&gt;"",$A1030=Подбор!$C$4),MAX(I$1:I1029)+1,"")</f>
        <v/>
      </c>
    </row>
    <row r="1031" customFormat="false" ht="15" hidden="false" customHeight="false" outlineLevel="0" collapsed="false">
      <c r="A1031" s="3" t="s">
        <v>1183</v>
      </c>
      <c r="B1031" s="3" t="s">
        <v>68</v>
      </c>
      <c r="C1031" s="3" t="s">
        <v>11</v>
      </c>
      <c r="D1031" s="3" t="s">
        <v>12</v>
      </c>
      <c r="E1031" s="3" t="s">
        <v>1184</v>
      </c>
      <c r="F1031" s="3" t="n">
        <v>12500</v>
      </c>
      <c r="G1031" s="3"/>
      <c r="H1031" s="3"/>
      <c r="I1031" s="4" t="str">
        <f aca="false">IF(AND($A1031&lt;&gt;"",$A1031=Подбор!$C$4),MAX(I$1:I1030)+1,"")</f>
        <v/>
      </c>
    </row>
    <row r="1032" customFormat="false" ht="15" hidden="false" customHeight="false" outlineLevel="0" collapsed="false">
      <c r="A1032" s="3" t="s">
        <v>1185</v>
      </c>
      <c r="B1032" s="3" t="s">
        <v>68</v>
      </c>
      <c r="C1032" s="3" t="s">
        <v>11</v>
      </c>
      <c r="D1032" s="3" t="s">
        <v>12</v>
      </c>
      <c r="E1032" s="3" t="s">
        <v>1184</v>
      </c>
      <c r="F1032" s="3" t="n">
        <v>12500</v>
      </c>
      <c r="G1032" s="3"/>
      <c r="H1032" s="3"/>
      <c r="I1032" s="4" t="str">
        <f aca="false">IF(AND($A1032&lt;&gt;"",$A1032=Подбор!$C$4),MAX(I$1:I1031)+1,"")</f>
        <v/>
      </c>
    </row>
    <row r="1033" customFormat="false" ht="15" hidden="false" customHeight="false" outlineLevel="0" collapsed="false">
      <c r="A1033" s="3" t="s">
        <v>1186</v>
      </c>
      <c r="B1033" s="3" t="s">
        <v>68</v>
      </c>
      <c r="C1033" s="3" t="s">
        <v>11</v>
      </c>
      <c r="D1033" s="3" t="s">
        <v>12</v>
      </c>
      <c r="E1033" s="3" t="s">
        <v>1070</v>
      </c>
      <c r="F1033" s="3" t="n">
        <v>3000</v>
      </c>
      <c r="G1033" s="3"/>
      <c r="H1033" s="3"/>
      <c r="I1033" s="4" t="str">
        <f aca="false">IF(AND($A1033&lt;&gt;"",$A1033=Подбор!$C$4),MAX(I$1:I1032)+1,"")</f>
        <v/>
      </c>
    </row>
    <row r="1034" customFormat="false" ht="15" hidden="false" customHeight="false" outlineLevel="0" collapsed="false">
      <c r="A1034" s="3" t="s">
        <v>1187</v>
      </c>
      <c r="B1034" s="3" t="s">
        <v>68</v>
      </c>
      <c r="C1034" s="3" t="s">
        <v>11</v>
      </c>
      <c r="D1034" s="3" t="s">
        <v>12</v>
      </c>
      <c r="E1034" s="3" t="s">
        <v>1070</v>
      </c>
      <c r="F1034" s="3" t="n">
        <v>3000</v>
      </c>
      <c r="G1034" s="3"/>
      <c r="H1034" s="3"/>
      <c r="I1034" s="4" t="str">
        <f aca="false">IF(AND($A1034&lt;&gt;"",$A1034=Подбор!$C$4),MAX(I$1:I1033)+1,"")</f>
        <v/>
      </c>
    </row>
    <row r="1035" customFormat="false" ht="15" hidden="false" customHeight="false" outlineLevel="0" collapsed="false">
      <c r="A1035" s="3" t="s">
        <v>1188</v>
      </c>
      <c r="B1035" s="3" t="s">
        <v>68</v>
      </c>
      <c r="C1035" s="3" t="s">
        <v>11</v>
      </c>
      <c r="D1035" s="3" t="s">
        <v>12</v>
      </c>
      <c r="E1035" s="3" t="s">
        <v>1189</v>
      </c>
      <c r="F1035" s="3" t="n">
        <v>12000</v>
      </c>
      <c r="G1035" s="3"/>
      <c r="H1035" s="3"/>
      <c r="I1035" s="4" t="str">
        <f aca="false">IF(AND($A1035&lt;&gt;"",$A1035=Подбор!$C$4),MAX(I$1:I1034)+1,"")</f>
        <v/>
      </c>
    </row>
    <row r="1036" customFormat="false" ht="15" hidden="false" customHeight="false" outlineLevel="0" collapsed="false">
      <c r="A1036" s="3" t="s">
        <v>1190</v>
      </c>
      <c r="B1036" s="3" t="s">
        <v>10</v>
      </c>
      <c r="C1036" s="3" t="s">
        <v>11</v>
      </c>
      <c r="D1036" s="3" t="s">
        <v>12</v>
      </c>
      <c r="E1036" s="3" t="s">
        <v>75</v>
      </c>
      <c r="F1036" s="3" t="n">
        <v>35000</v>
      </c>
      <c r="G1036" s="3"/>
      <c r="H1036" s="3"/>
      <c r="I1036" s="4" t="str">
        <f aca="false">IF(AND($A1036&lt;&gt;"",$A1036=Подбор!$C$4),MAX(I$1:I1035)+1,"")</f>
        <v/>
      </c>
    </row>
    <row r="1037" customFormat="false" ht="15" hidden="false" customHeight="false" outlineLevel="0" collapsed="false">
      <c r="A1037" s="3" t="s">
        <v>1191</v>
      </c>
      <c r="B1037" s="3" t="s">
        <v>68</v>
      </c>
      <c r="C1037" s="3" t="s">
        <v>11</v>
      </c>
      <c r="D1037" s="3" t="s">
        <v>12</v>
      </c>
      <c r="E1037" s="3" t="s">
        <v>1192</v>
      </c>
      <c r="F1037" s="3" t="n">
        <v>25000</v>
      </c>
      <c r="G1037" s="3"/>
      <c r="H1037" s="3"/>
      <c r="I1037" s="4" t="str">
        <f aca="false">IF(AND($A1037&lt;&gt;"",$A1037=Подбор!$C$4),MAX(I$1:I1036)+1,"")</f>
        <v/>
      </c>
    </row>
    <row r="1038" customFormat="false" ht="15" hidden="false" customHeight="false" outlineLevel="0" collapsed="false">
      <c r="A1038" s="3" t="s">
        <v>1191</v>
      </c>
      <c r="B1038" s="3" t="s">
        <v>68</v>
      </c>
      <c r="C1038" s="3" t="s">
        <v>11</v>
      </c>
      <c r="D1038" s="3" t="s">
        <v>21</v>
      </c>
      <c r="E1038" s="3" t="s">
        <v>1193</v>
      </c>
      <c r="F1038" s="3" t="n">
        <v>15000</v>
      </c>
      <c r="G1038" s="3"/>
      <c r="H1038" s="3"/>
      <c r="I1038" s="4" t="str">
        <f aca="false">IF(AND($A1038&lt;&gt;"",$A1038=Подбор!$C$4),MAX(I$1:I1037)+1,"")</f>
        <v/>
      </c>
    </row>
    <row r="1039" customFormat="false" ht="15" hidden="false" customHeight="false" outlineLevel="0" collapsed="false">
      <c r="A1039" s="3" t="s">
        <v>1191</v>
      </c>
      <c r="B1039" s="3" t="s">
        <v>68</v>
      </c>
      <c r="C1039" s="3" t="s">
        <v>11</v>
      </c>
      <c r="D1039" s="3" t="s">
        <v>23</v>
      </c>
      <c r="E1039" s="3" t="s">
        <v>1194</v>
      </c>
      <c r="F1039" s="3" t="n">
        <v>15000</v>
      </c>
      <c r="G1039" s="3"/>
      <c r="H1039" s="3"/>
      <c r="I1039" s="4" t="str">
        <f aca="false">IF(AND($A1039&lt;&gt;"",$A1039=Подбор!$C$4),MAX(I$1:I1038)+1,"")</f>
        <v/>
      </c>
    </row>
    <row r="1040" customFormat="false" ht="15" hidden="false" customHeight="false" outlineLevel="0" collapsed="false">
      <c r="A1040" s="3" t="s">
        <v>1191</v>
      </c>
      <c r="B1040" s="3" t="s">
        <v>68</v>
      </c>
      <c r="C1040" s="3" t="s">
        <v>11</v>
      </c>
      <c r="D1040" s="3" t="s">
        <v>25</v>
      </c>
      <c r="E1040" s="3" t="s">
        <v>1195</v>
      </c>
      <c r="F1040" s="3" t="n">
        <v>15000</v>
      </c>
      <c r="G1040" s="3"/>
      <c r="H1040" s="3"/>
      <c r="I1040" s="4" t="str">
        <f aca="false">IF(AND($A1040&lt;&gt;"",$A1040=Подбор!$C$4),MAX(I$1:I1039)+1,"")</f>
        <v/>
      </c>
    </row>
    <row r="1041" customFormat="false" ht="15" hidden="false" customHeight="false" outlineLevel="0" collapsed="false">
      <c r="A1041" s="3" t="s">
        <v>1196</v>
      </c>
      <c r="B1041" s="3" t="s">
        <v>68</v>
      </c>
      <c r="C1041" s="3" t="s">
        <v>11</v>
      </c>
      <c r="D1041" s="3" t="s">
        <v>12</v>
      </c>
      <c r="E1041" s="3" t="s">
        <v>1197</v>
      </c>
      <c r="F1041" s="3" t="n">
        <v>35000</v>
      </c>
      <c r="G1041" s="3"/>
      <c r="H1041" s="3"/>
      <c r="I1041" s="4" t="str">
        <f aca="false">IF(AND($A1041&lt;&gt;"",$A1041=Подбор!$C$4),MAX(I$1:I1040)+1,"")</f>
        <v/>
      </c>
    </row>
    <row r="1042" customFormat="false" ht="15" hidden="false" customHeight="false" outlineLevel="0" collapsed="false">
      <c r="A1042" s="3" t="s">
        <v>1198</v>
      </c>
      <c r="B1042" s="3" t="s">
        <v>84</v>
      </c>
      <c r="C1042" s="3" t="s">
        <v>11</v>
      </c>
      <c r="D1042" s="3" t="s">
        <v>12</v>
      </c>
      <c r="E1042" s="3" t="s">
        <v>1199</v>
      </c>
      <c r="F1042" s="3" t="n">
        <v>30000</v>
      </c>
      <c r="G1042" s="3"/>
      <c r="H1042" s="3"/>
      <c r="I1042" s="4" t="str">
        <f aca="false">IF(AND($A1042&lt;&gt;"",$A1042=Подбор!$C$4),MAX(I$1:I1041)+1,"")</f>
        <v/>
      </c>
    </row>
    <row r="1043" customFormat="false" ht="15" hidden="false" customHeight="false" outlineLevel="0" collapsed="false">
      <c r="A1043" s="3" t="s">
        <v>1200</v>
      </c>
      <c r="B1043" s="3" t="s">
        <v>57</v>
      </c>
      <c r="C1043" s="3" t="s">
        <v>567</v>
      </c>
      <c r="D1043" s="3" t="s">
        <v>12</v>
      </c>
      <c r="E1043" s="3" t="s">
        <v>15</v>
      </c>
      <c r="F1043" s="3" t="n">
        <v>600</v>
      </c>
      <c r="G1043" s="3"/>
      <c r="H1043" s="3"/>
      <c r="I1043" s="4" t="str">
        <f aca="false">IF(AND($A1043&lt;&gt;"",$A1043=Подбор!$C$4),MAX(I$1:I1042)+1,"")</f>
        <v/>
      </c>
    </row>
    <row r="1044" customFormat="false" ht="15" hidden="false" customHeight="false" outlineLevel="0" collapsed="false">
      <c r="A1044" s="3" t="s">
        <v>1201</v>
      </c>
      <c r="B1044" s="3" t="s">
        <v>84</v>
      </c>
      <c r="C1044" s="3" t="s">
        <v>11</v>
      </c>
      <c r="D1044" s="3" t="s">
        <v>12</v>
      </c>
      <c r="E1044" s="3" t="s">
        <v>1202</v>
      </c>
      <c r="F1044" s="3" t="n">
        <v>2400</v>
      </c>
      <c r="G1044" s="3"/>
      <c r="H1044" s="3"/>
      <c r="I1044" s="4" t="str">
        <f aca="false">IF(AND($A1044&lt;&gt;"",$A1044=Подбор!$C$4),MAX(I$1:I1043)+1,"")</f>
        <v/>
      </c>
    </row>
    <row r="1045" customFormat="false" ht="15" hidden="false" customHeight="false" outlineLevel="0" collapsed="false">
      <c r="A1045" s="3" t="s">
        <v>1203</v>
      </c>
      <c r="B1045" s="3" t="s">
        <v>68</v>
      </c>
      <c r="C1045" s="3" t="s">
        <v>11</v>
      </c>
      <c r="D1045" s="3" t="s">
        <v>12</v>
      </c>
      <c r="E1045" s="3" t="s">
        <v>1204</v>
      </c>
      <c r="F1045" s="3" t="n">
        <v>25000</v>
      </c>
      <c r="G1045" s="3"/>
      <c r="H1045" s="3"/>
      <c r="I1045" s="4" t="str">
        <f aca="false">IF(AND($A1045&lt;&gt;"",$A1045=Подбор!$C$4),MAX(I$1:I1044)+1,"")</f>
        <v/>
      </c>
    </row>
    <row r="1046" customFormat="false" ht="15" hidden="false" customHeight="false" outlineLevel="0" collapsed="false">
      <c r="A1046" s="3" t="s">
        <v>1203</v>
      </c>
      <c r="B1046" s="3" t="s">
        <v>68</v>
      </c>
      <c r="C1046" s="3" t="s">
        <v>11</v>
      </c>
      <c r="D1046" s="3" t="s">
        <v>21</v>
      </c>
      <c r="E1046" s="3" t="s">
        <v>1205</v>
      </c>
      <c r="F1046" s="3" t="n">
        <v>12000</v>
      </c>
      <c r="G1046" s="3"/>
      <c r="H1046" s="3"/>
      <c r="I1046" s="4" t="str">
        <f aca="false">IF(AND($A1046&lt;&gt;"",$A1046=Подбор!$C$4),MAX(I$1:I1045)+1,"")</f>
        <v/>
      </c>
    </row>
    <row r="1047" customFormat="false" ht="15" hidden="false" customHeight="false" outlineLevel="0" collapsed="false">
      <c r="A1047" s="3" t="s">
        <v>1203</v>
      </c>
      <c r="B1047" s="3" t="s">
        <v>68</v>
      </c>
      <c r="C1047" s="3" t="s">
        <v>11</v>
      </c>
      <c r="D1047" s="3" t="s">
        <v>23</v>
      </c>
      <c r="E1047" s="3" t="s">
        <v>1206</v>
      </c>
      <c r="F1047" s="3" t="n">
        <v>12000</v>
      </c>
      <c r="G1047" s="3"/>
      <c r="H1047" s="3"/>
      <c r="I1047" s="4" t="str">
        <f aca="false">IF(AND($A1047&lt;&gt;"",$A1047=Подбор!$C$4),MAX(I$1:I1046)+1,"")</f>
        <v/>
      </c>
    </row>
    <row r="1048" customFormat="false" ht="15" hidden="false" customHeight="false" outlineLevel="0" collapsed="false">
      <c r="A1048" s="3" t="s">
        <v>1203</v>
      </c>
      <c r="B1048" s="3" t="s">
        <v>68</v>
      </c>
      <c r="C1048" s="3" t="s">
        <v>11</v>
      </c>
      <c r="D1048" s="3" t="s">
        <v>25</v>
      </c>
      <c r="E1048" s="3" t="s">
        <v>1207</v>
      </c>
      <c r="F1048" s="3" t="n">
        <v>12000</v>
      </c>
      <c r="G1048" s="3"/>
      <c r="H1048" s="3"/>
      <c r="I1048" s="4" t="str">
        <f aca="false">IF(AND($A1048&lt;&gt;"",$A1048=Подбор!$C$4),MAX(I$1:I1047)+1,"")</f>
        <v/>
      </c>
    </row>
    <row r="1049" customFormat="false" ht="15" hidden="false" customHeight="false" outlineLevel="0" collapsed="false">
      <c r="A1049" s="3" t="s">
        <v>1208</v>
      </c>
      <c r="B1049" s="3" t="s">
        <v>84</v>
      </c>
      <c r="C1049" s="3" t="s">
        <v>11</v>
      </c>
      <c r="D1049" s="3" t="s">
        <v>12</v>
      </c>
      <c r="E1049" s="3" t="s">
        <v>1202</v>
      </c>
      <c r="F1049" s="3" t="n">
        <v>2400</v>
      </c>
      <c r="G1049" s="3"/>
      <c r="H1049" s="3"/>
      <c r="I1049" s="4" t="str">
        <f aca="false">IF(AND($A1049&lt;&gt;"",$A1049=Подбор!$C$4),MAX(I$1:I1048)+1,"")</f>
        <v/>
      </c>
    </row>
    <row r="1050" customFormat="false" ht="15" hidden="false" customHeight="false" outlineLevel="0" collapsed="false">
      <c r="A1050" s="3" t="s">
        <v>1209</v>
      </c>
      <c r="B1050" s="3" t="s">
        <v>34</v>
      </c>
      <c r="C1050" s="3" t="s">
        <v>15</v>
      </c>
      <c r="D1050" s="3" t="s">
        <v>15</v>
      </c>
      <c r="E1050" s="3" t="s">
        <v>15</v>
      </c>
      <c r="F1050" s="3"/>
      <c r="G1050" s="3"/>
      <c r="H1050" s="3"/>
      <c r="I1050" s="4" t="str">
        <f aca="false">IF(AND($A1050&lt;&gt;"",$A1050=Подбор!$C$4),MAX(I$1:I1049)+1,"")</f>
        <v/>
      </c>
    </row>
    <row r="1051" customFormat="false" ht="15" hidden="false" customHeight="false" outlineLevel="0" collapsed="false">
      <c r="A1051" s="3" t="s">
        <v>1210</v>
      </c>
      <c r="B1051" s="3" t="s">
        <v>932</v>
      </c>
      <c r="C1051" s="3" t="s">
        <v>567</v>
      </c>
      <c r="D1051" s="3" t="s">
        <v>12</v>
      </c>
      <c r="E1051" s="3" t="s">
        <v>1211</v>
      </c>
      <c r="F1051" s="3" t="n">
        <v>4500</v>
      </c>
      <c r="G1051" s="3"/>
      <c r="H1051" s="3"/>
      <c r="I1051" s="4" t="str">
        <f aca="false">IF(AND($A1051&lt;&gt;"",$A1051=Подбор!$C$4),MAX(I$1:I1050)+1,"")</f>
        <v/>
      </c>
    </row>
    <row r="1052" customFormat="false" ht="15" hidden="false" customHeight="false" outlineLevel="0" collapsed="false">
      <c r="A1052" s="3" t="s">
        <v>1212</v>
      </c>
      <c r="B1052" s="3" t="s">
        <v>932</v>
      </c>
      <c r="C1052" s="3" t="s">
        <v>567</v>
      </c>
      <c r="D1052" s="3" t="s">
        <v>12</v>
      </c>
      <c r="E1052" s="3" t="s">
        <v>1211</v>
      </c>
      <c r="F1052" s="3" t="n">
        <v>4500</v>
      </c>
      <c r="G1052" s="3"/>
      <c r="H1052" s="3"/>
      <c r="I1052" s="4" t="str">
        <f aca="false">IF(AND($A1052&lt;&gt;"",$A1052=Подбор!$C$4),MAX(I$1:I1051)+1,"")</f>
        <v/>
      </c>
    </row>
    <row r="1053" customFormat="false" ht="15" hidden="false" customHeight="false" outlineLevel="0" collapsed="false">
      <c r="A1053" s="3" t="s">
        <v>1213</v>
      </c>
      <c r="B1053" s="3" t="s">
        <v>472</v>
      </c>
      <c r="C1053" s="3" t="s">
        <v>11</v>
      </c>
      <c r="D1053" s="3" t="s">
        <v>12</v>
      </c>
      <c r="E1053" s="3" t="n">
        <v>407648</v>
      </c>
      <c r="F1053" s="3" t="n">
        <v>6000</v>
      </c>
      <c r="G1053" s="3"/>
      <c r="H1053" s="3"/>
      <c r="I1053" s="4" t="str">
        <f aca="false">IF(AND($A1053&lt;&gt;"",$A1053=Подбор!$C$4),MAX(I$1:I1052)+1,"")</f>
        <v/>
      </c>
    </row>
    <row r="1054" customFormat="false" ht="15" hidden="false" customHeight="false" outlineLevel="0" collapsed="false">
      <c r="A1054" s="3" t="s">
        <v>1214</v>
      </c>
      <c r="B1054" s="3" t="s">
        <v>472</v>
      </c>
      <c r="C1054" s="3" t="s">
        <v>11</v>
      </c>
      <c r="D1054" s="3" t="s">
        <v>12</v>
      </c>
      <c r="E1054" s="3" t="n">
        <v>407648</v>
      </c>
      <c r="F1054" s="3" t="n">
        <v>6000</v>
      </c>
      <c r="G1054" s="3"/>
      <c r="H1054" s="3"/>
      <c r="I1054" s="4" t="str">
        <f aca="false">IF(AND($A1054&lt;&gt;"",$A1054=Подбор!$C$4),MAX(I$1:I1053)+1,"")</f>
        <v/>
      </c>
    </row>
    <row r="1055" customFormat="false" ht="15" hidden="false" customHeight="false" outlineLevel="0" collapsed="false">
      <c r="A1055" s="3" t="s">
        <v>1215</v>
      </c>
      <c r="B1055" s="3" t="s">
        <v>472</v>
      </c>
      <c r="C1055" s="3" t="s">
        <v>11</v>
      </c>
      <c r="D1055" s="3" t="s">
        <v>12</v>
      </c>
      <c r="E1055" s="3" t="n">
        <v>406479</v>
      </c>
      <c r="F1055" s="3" t="n">
        <v>5000</v>
      </c>
      <c r="G1055" s="3"/>
      <c r="H1055" s="3"/>
      <c r="I1055" s="4" t="str">
        <f aca="false">IF(AND($A1055&lt;&gt;"",$A1055=Подбор!$C$4),MAX(I$1:I1054)+1,"")</f>
        <v/>
      </c>
    </row>
    <row r="1056" customFormat="false" ht="15" hidden="false" customHeight="false" outlineLevel="0" collapsed="false">
      <c r="A1056" s="3" t="s">
        <v>1216</v>
      </c>
      <c r="B1056" s="3" t="s">
        <v>932</v>
      </c>
      <c r="C1056" s="3" t="s">
        <v>567</v>
      </c>
      <c r="D1056" s="3" t="s">
        <v>12</v>
      </c>
      <c r="E1056" s="3" t="s">
        <v>1217</v>
      </c>
      <c r="F1056" s="3" t="n">
        <v>2200</v>
      </c>
      <c r="G1056" s="3"/>
      <c r="H1056" s="3"/>
      <c r="I1056" s="4" t="str">
        <f aca="false">IF(AND($A1056&lt;&gt;"",$A1056=Подбор!$C$4),MAX(I$1:I1055)+1,"")</f>
        <v/>
      </c>
    </row>
    <row r="1057" customFormat="false" ht="15" hidden="false" customHeight="false" outlineLevel="0" collapsed="false">
      <c r="A1057" s="3" t="s">
        <v>1218</v>
      </c>
      <c r="B1057" s="3" t="s">
        <v>57</v>
      </c>
      <c r="C1057" s="3" t="s">
        <v>567</v>
      </c>
      <c r="D1057" s="3" t="s">
        <v>12</v>
      </c>
      <c r="E1057" s="3" t="s">
        <v>1219</v>
      </c>
      <c r="F1057" s="3" t="n">
        <v>480</v>
      </c>
      <c r="G1057" s="3"/>
      <c r="H1057" s="3"/>
      <c r="I1057" s="4" t="str">
        <f aca="false">IF(AND($A1057&lt;&gt;"",$A1057=Подбор!$C$4),MAX(I$1:I1056)+1,"")</f>
        <v/>
      </c>
    </row>
    <row r="1058" customFormat="false" ht="15" hidden="false" customHeight="false" outlineLevel="0" collapsed="false">
      <c r="A1058" s="3" t="s">
        <v>1220</v>
      </c>
      <c r="B1058" s="3" t="s">
        <v>932</v>
      </c>
      <c r="C1058" s="3" t="s">
        <v>567</v>
      </c>
      <c r="D1058" s="3" t="s">
        <v>12</v>
      </c>
      <c r="E1058" s="3" t="s">
        <v>1221</v>
      </c>
      <c r="F1058" s="3" t="n">
        <v>2600</v>
      </c>
      <c r="G1058" s="3"/>
      <c r="H1058" s="3"/>
      <c r="I1058" s="4" t="str">
        <f aca="false">IF(AND($A1058&lt;&gt;"",$A1058=Подбор!$C$4),MAX(I$1:I1057)+1,"")</f>
        <v/>
      </c>
    </row>
    <row r="1059" customFormat="false" ht="15" hidden="false" customHeight="false" outlineLevel="0" collapsed="false">
      <c r="A1059" s="3" t="s">
        <v>1222</v>
      </c>
      <c r="B1059" s="3" t="s">
        <v>57</v>
      </c>
      <c r="C1059" s="3" t="s">
        <v>11</v>
      </c>
      <c r="D1059" s="3" t="s">
        <v>12</v>
      </c>
      <c r="E1059" s="3" t="s">
        <v>89</v>
      </c>
      <c r="F1059" s="3" t="n">
        <v>2000</v>
      </c>
      <c r="G1059" s="3"/>
      <c r="H1059" s="3"/>
      <c r="I1059" s="4" t="str">
        <f aca="false">IF(AND($A1059&lt;&gt;"",$A1059=Подбор!$C$4),MAX(I$1:I1058)+1,"")</f>
        <v/>
      </c>
    </row>
    <row r="1060" customFormat="false" ht="15" hidden="false" customHeight="false" outlineLevel="0" collapsed="false">
      <c r="A1060" s="3" t="s">
        <v>1223</v>
      </c>
      <c r="B1060" s="3" t="s">
        <v>84</v>
      </c>
      <c r="C1060" s="3" t="s">
        <v>11</v>
      </c>
      <c r="D1060" s="3" t="s">
        <v>12</v>
      </c>
      <c r="E1060" s="3" t="s">
        <v>930</v>
      </c>
      <c r="F1060" s="3" t="n">
        <v>5000</v>
      </c>
      <c r="G1060" s="3"/>
      <c r="H1060" s="3"/>
      <c r="I1060" s="4" t="str">
        <f aca="false">IF(AND($A1060&lt;&gt;"",$A1060=Подбор!$C$4),MAX(I$1:I1059)+1,"")</f>
        <v/>
      </c>
    </row>
    <row r="1061" customFormat="false" ht="15" hidden="false" customHeight="false" outlineLevel="0" collapsed="false">
      <c r="A1061" s="3" t="s">
        <v>1224</v>
      </c>
      <c r="B1061" s="3" t="s">
        <v>84</v>
      </c>
      <c r="C1061" s="3" t="s">
        <v>11</v>
      </c>
      <c r="D1061" s="3" t="s">
        <v>12</v>
      </c>
      <c r="E1061" s="3" t="s">
        <v>930</v>
      </c>
      <c r="F1061" s="3" t="n">
        <v>5000</v>
      </c>
      <c r="G1061" s="3"/>
      <c r="H1061" s="3"/>
      <c r="I1061" s="4" t="str">
        <f aca="false">IF(AND($A1061&lt;&gt;"",$A1061=Подбор!$C$4),MAX(I$1:I1060)+1,"")</f>
        <v/>
      </c>
    </row>
    <row r="1062" customFormat="false" ht="15" hidden="false" customHeight="false" outlineLevel="0" collapsed="false">
      <c r="A1062" s="3" t="s">
        <v>1225</v>
      </c>
      <c r="B1062" s="3" t="s">
        <v>1226</v>
      </c>
      <c r="C1062" s="3" t="s">
        <v>15</v>
      </c>
      <c r="D1062" s="3" t="s">
        <v>15</v>
      </c>
      <c r="E1062" s="3" t="s">
        <v>15</v>
      </c>
      <c r="F1062" s="3"/>
      <c r="G1062" s="3"/>
      <c r="H1062" s="3"/>
      <c r="I1062" s="4" t="str">
        <f aca="false">IF(AND($A1062&lt;&gt;"",$A1062=Подбор!$C$4),MAX(I$1:I1061)+1,"")</f>
        <v/>
      </c>
    </row>
    <row r="1063" customFormat="false" ht="15" hidden="false" customHeight="false" outlineLevel="0" collapsed="false">
      <c r="A1063" s="3" t="s">
        <v>1227</v>
      </c>
      <c r="B1063" s="3" t="s">
        <v>885</v>
      </c>
      <c r="C1063" s="3" t="s">
        <v>15</v>
      </c>
      <c r="D1063" s="3" t="s">
        <v>15</v>
      </c>
      <c r="E1063" s="3" t="s">
        <v>15</v>
      </c>
      <c r="F1063" s="3"/>
      <c r="G1063" s="3"/>
      <c r="H1063" s="3"/>
      <c r="I1063" s="4" t="str">
        <f aca="false">IF(AND($A1063&lt;&gt;"",$A1063=Подбор!$C$4),MAX(I$1:I1062)+1,"")</f>
        <v/>
      </c>
    </row>
    <row r="1064" customFormat="false" ht="15" hidden="false" customHeight="false" outlineLevel="0" collapsed="false">
      <c r="A1064" s="3" t="s">
        <v>1228</v>
      </c>
      <c r="B1064" s="3" t="s">
        <v>472</v>
      </c>
      <c r="C1064" s="3" t="s">
        <v>11</v>
      </c>
      <c r="D1064" s="3" t="s">
        <v>12</v>
      </c>
      <c r="E1064" s="3" t="n">
        <v>407340</v>
      </c>
      <c r="F1064" s="3" t="n">
        <v>6000</v>
      </c>
      <c r="G1064" s="3"/>
      <c r="H1064" s="3"/>
      <c r="I1064" s="4" t="str">
        <f aca="false">IF(AND($A1064&lt;&gt;"",$A1064=Подбор!$C$4),MAX(I$1:I1063)+1,"")</f>
        <v/>
      </c>
    </row>
    <row r="1065" customFormat="false" ht="15" hidden="false" customHeight="false" outlineLevel="0" collapsed="false">
      <c r="A1065" s="3" t="s">
        <v>1229</v>
      </c>
      <c r="B1065" s="3" t="s">
        <v>885</v>
      </c>
      <c r="C1065" s="3" t="s">
        <v>15</v>
      </c>
      <c r="D1065" s="3" t="s">
        <v>15</v>
      </c>
      <c r="E1065" s="3" t="s">
        <v>15</v>
      </c>
      <c r="F1065" s="3"/>
      <c r="G1065" s="3"/>
      <c r="H1065" s="3"/>
      <c r="I1065" s="4" t="str">
        <f aca="false">IF(AND($A1065&lt;&gt;"",$A1065=Подбор!$C$4),MAX(I$1:I1064)+1,"")</f>
        <v/>
      </c>
    </row>
    <row r="1066" customFormat="false" ht="15" hidden="false" customHeight="false" outlineLevel="0" collapsed="false">
      <c r="A1066" s="3" t="s">
        <v>1230</v>
      </c>
      <c r="B1066" s="3" t="s">
        <v>57</v>
      </c>
      <c r="C1066" s="3" t="s">
        <v>567</v>
      </c>
      <c r="D1066" s="3" t="s">
        <v>12</v>
      </c>
      <c r="E1066" s="3" t="s">
        <v>1231</v>
      </c>
      <c r="F1066" s="3" t="n">
        <v>360</v>
      </c>
      <c r="G1066" s="3"/>
      <c r="H1066" s="3"/>
      <c r="I1066" s="4" t="str">
        <f aca="false">IF(AND($A1066&lt;&gt;"",$A1066=Подбор!$C$4),MAX(I$1:I1065)+1,"")</f>
        <v/>
      </c>
    </row>
    <row r="1067" customFormat="false" ht="15" hidden="false" customHeight="false" outlineLevel="0" collapsed="false">
      <c r="A1067" s="3" t="s">
        <v>1232</v>
      </c>
      <c r="B1067" s="3" t="s">
        <v>57</v>
      </c>
      <c r="C1067" s="3" t="s">
        <v>567</v>
      </c>
      <c r="D1067" s="3" t="s">
        <v>12</v>
      </c>
      <c r="E1067" s="3" t="s">
        <v>621</v>
      </c>
      <c r="F1067" s="3" t="n">
        <v>1000</v>
      </c>
      <c r="G1067" s="3"/>
      <c r="H1067" s="3"/>
      <c r="I1067" s="4" t="str">
        <f aca="false">IF(AND($A1067&lt;&gt;"",$A1067=Подбор!$C$4),MAX(I$1:I1066)+1,"")</f>
        <v/>
      </c>
    </row>
    <row r="1068" customFormat="false" ht="15" hidden="false" customHeight="false" outlineLevel="0" collapsed="false">
      <c r="A1068" s="3" t="s">
        <v>1233</v>
      </c>
      <c r="B1068" s="3" t="s">
        <v>57</v>
      </c>
      <c r="C1068" s="3" t="s">
        <v>567</v>
      </c>
      <c r="D1068" s="3" t="s">
        <v>12</v>
      </c>
      <c r="E1068" s="3" t="s">
        <v>1234</v>
      </c>
      <c r="F1068" s="3" t="n">
        <v>190</v>
      </c>
      <c r="G1068" s="3"/>
      <c r="H1068" s="3"/>
      <c r="I1068" s="4" t="str">
        <f aca="false">IF(AND($A1068&lt;&gt;"",$A1068=Подбор!$C$4),MAX(I$1:I1067)+1,"")</f>
        <v/>
      </c>
    </row>
    <row r="1069" customFormat="false" ht="15" hidden="false" customHeight="false" outlineLevel="0" collapsed="false">
      <c r="A1069" s="3" t="s">
        <v>1235</v>
      </c>
      <c r="B1069" s="3" t="s">
        <v>57</v>
      </c>
      <c r="C1069" s="3" t="s">
        <v>567</v>
      </c>
      <c r="D1069" s="3" t="s">
        <v>12</v>
      </c>
      <c r="E1069" s="3" t="s">
        <v>1234</v>
      </c>
      <c r="F1069" s="3" t="n">
        <v>190</v>
      </c>
      <c r="G1069" s="3"/>
      <c r="H1069" s="3"/>
      <c r="I1069" s="4" t="str">
        <f aca="false">IF(AND($A1069&lt;&gt;"",$A1069=Подбор!$C$4),MAX(I$1:I1068)+1,"")</f>
        <v/>
      </c>
    </row>
    <row r="1070" customFormat="false" ht="15" hidden="false" customHeight="false" outlineLevel="0" collapsed="false">
      <c r="A1070" s="3" t="s">
        <v>1236</v>
      </c>
      <c r="B1070" s="3" t="s">
        <v>57</v>
      </c>
      <c r="C1070" s="3" t="s">
        <v>11</v>
      </c>
      <c r="D1070" s="3" t="s">
        <v>12</v>
      </c>
      <c r="E1070" s="3" t="s">
        <v>1237</v>
      </c>
      <c r="F1070" s="3" t="n">
        <v>7500</v>
      </c>
      <c r="G1070" s="3"/>
      <c r="H1070" s="3"/>
      <c r="I1070" s="4" t="str">
        <f aca="false">IF(AND($A1070&lt;&gt;"",$A1070=Подбор!$C$4),MAX(I$1:I1069)+1,"")</f>
        <v/>
      </c>
    </row>
    <row r="1071" customFormat="false" ht="15" hidden="false" customHeight="false" outlineLevel="0" collapsed="false">
      <c r="A1071" s="3" t="s">
        <v>1238</v>
      </c>
      <c r="B1071" s="3" t="s">
        <v>84</v>
      </c>
      <c r="C1071" s="3" t="s">
        <v>11</v>
      </c>
      <c r="D1071" s="3" t="s">
        <v>12</v>
      </c>
      <c r="E1071" s="3" t="s">
        <v>1104</v>
      </c>
      <c r="F1071" s="3" t="n">
        <v>6000</v>
      </c>
      <c r="G1071" s="3"/>
      <c r="H1071" s="3"/>
      <c r="I1071" s="4" t="str">
        <f aca="false">IF(AND($A1071&lt;&gt;"",$A1071=Подбор!$C$4),MAX(I$1:I1070)+1,"")</f>
        <v/>
      </c>
    </row>
    <row r="1072" customFormat="false" ht="15" hidden="false" customHeight="false" outlineLevel="0" collapsed="false">
      <c r="A1072" s="3" t="s">
        <v>1239</v>
      </c>
      <c r="B1072" s="3" t="s">
        <v>84</v>
      </c>
      <c r="C1072" s="3" t="s">
        <v>11</v>
      </c>
      <c r="D1072" s="3" t="s">
        <v>12</v>
      </c>
      <c r="E1072" s="3" t="n">
        <v>724</v>
      </c>
      <c r="F1072" s="3" t="n">
        <v>5000</v>
      </c>
      <c r="G1072" s="3"/>
      <c r="H1072" s="3"/>
      <c r="I1072" s="4" t="str">
        <f aca="false">IF(AND($A1072&lt;&gt;"",$A1072=Подбор!$C$4),MAX(I$1:I1071)+1,"")</f>
        <v/>
      </c>
    </row>
    <row r="1073" customFormat="false" ht="15" hidden="false" customHeight="false" outlineLevel="0" collapsed="false">
      <c r="A1073" s="3" t="s">
        <v>1240</v>
      </c>
      <c r="B1073" s="3" t="s">
        <v>10</v>
      </c>
      <c r="C1073" s="3" t="s">
        <v>11</v>
      </c>
      <c r="D1073" s="3" t="s">
        <v>12</v>
      </c>
      <c r="E1073" s="3" t="s">
        <v>1241</v>
      </c>
      <c r="F1073" s="3" t="n">
        <v>2000</v>
      </c>
      <c r="G1073" s="3"/>
      <c r="H1073" s="3"/>
      <c r="I1073" s="4" t="str">
        <f aca="false">IF(AND($A1073&lt;&gt;"",$A1073=Подбор!$C$4),MAX(I$1:I1072)+1,"")</f>
        <v/>
      </c>
    </row>
    <row r="1074" customFormat="false" ht="15" hidden="false" customHeight="false" outlineLevel="0" collapsed="false">
      <c r="A1074" s="3" t="s">
        <v>1242</v>
      </c>
      <c r="B1074" s="3" t="s">
        <v>932</v>
      </c>
      <c r="C1074" s="3" t="s">
        <v>567</v>
      </c>
      <c r="D1074" s="3" t="s">
        <v>12</v>
      </c>
      <c r="E1074" s="3" t="s">
        <v>1243</v>
      </c>
      <c r="F1074" s="3" t="n">
        <v>4500</v>
      </c>
      <c r="G1074" s="3"/>
      <c r="H1074" s="3"/>
      <c r="I1074" s="4" t="str">
        <f aca="false">IF(AND($A1074&lt;&gt;"",$A1074=Подбор!$C$4),MAX(I$1:I1073)+1,"")</f>
        <v/>
      </c>
    </row>
    <row r="1075" customFormat="false" ht="15" hidden="false" customHeight="false" outlineLevel="0" collapsed="false">
      <c r="A1075" s="3" t="s">
        <v>1244</v>
      </c>
      <c r="B1075" s="3" t="s">
        <v>84</v>
      </c>
      <c r="C1075" s="3" t="s">
        <v>11</v>
      </c>
      <c r="D1075" s="3" t="s">
        <v>12</v>
      </c>
      <c r="E1075" s="3" t="s">
        <v>1245</v>
      </c>
      <c r="F1075" s="3" t="n">
        <v>4000</v>
      </c>
      <c r="G1075" s="3"/>
      <c r="H1075" s="3"/>
      <c r="I1075" s="4" t="str">
        <f aca="false">IF(AND($A1075&lt;&gt;"",$A1075=Подбор!$C$4),MAX(I$1:I1074)+1,"")</f>
        <v/>
      </c>
    </row>
    <row r="1076" customFormat="false" ht="15" hidden="false" customHeight="false" outlineLevel="0" collapsed="false">
      <c r="A1076" s="3" t="s">
        <v>1246</v>
      </c>
      <c r="B1076" s="3" t="s">
        <v>84</v>
      </c>
      <c r="C1076" s="3" t="s">
        <v>11</v>
      </c>
      <c r="D1076" s="3" t="s">
        <v>12</v>
      </c>
      <c r="E1076" s="3" t="s">
        <v>942</v>
      </c>
      <c r="F1076" s="3" t="n">
        <v>2100</v>
      </c>
      <c r="G1076" s="3"/>
      <c r="H1076" s="3"/>
      <c r="I1076" s="4" t="str">
        <f aca="false">IF(AND($A1076&lt;&gt;"",$A1076=Подбор!$C$4),MAX(I$1:I1075)+1,"")</f>
        <v/>
      </c>
    </row>
    <row r="1077" customFormat="false" ht="15" hidden="false" customHeight="false" outlineLevel="0" collapsed="false">
      <c r="A1077" s="3" t="s">
        <v>1247</v>
      </c>
      <c r="B1077" s="3" t="s">
        <v>84</v>
      </c>
      <c r="C1077" s="3" t="s">
        <v>11</v>
      </c>
      <c r="D1077" s="3" t="s">
        <v>12</v>
      </c>
      <c r="E1077" s="3" t="s">
        <v>942</v>
      </c>
      <c r="F1077" s="3" t="n">
        <v>2100</v>
      </c>
      <c r="G1077" s="3"/>
      <c r="H1077" s="3"/>
      <c r="I1077" s="4" t="str">
        <f aca="false">IF(AND($A1077&lt;&gt;"",$A1077=Подбор!$C$4),MAX(I$1:I1076)+1,"")</f>
        <v/>
      </c>
    </row>
    <row r="1078" customFormat="false" ht="15" hidden="false" customHeight="false" outlineLevel="0" collapsed="false">
      <c r="A1078" s="3" t="s">
        <v>1248</v>
      </c>
      <c r="B1078" s="3" t="s">
        <v>84</v>
      </c>
      <c r="C1078" s="3" t="s">
        <v>11</v>
      </c>
      <c r="D1078" s="3" t="s">
        <v>12</v>
      </c>
      <c r="E1078" s="3" t="s">
        <v>234</v>
      </c>
      <c r="F1078" s="3" t="n">
        <v>2000</v>
      </c>
      <c r="G1078" s="3"/>
      <c r="H1078" s="3"/>
      <c r="I1078" s="4" t="str">
        <f aca="false">IF(AND($A1078&lt;&gt;"",$A1078=Подбор!$C$4),MAX(I$1:I1077)+1,"")</f>
        <v/>
      </c>
    </row>
    <row r="1079" customFormat="false" ht="15" hidden="false" customHeight="false" outlineLevel="0" collapsed="false">
      <c r="A1079" s="3" t="s">
        <v>1249</v>
      </c>
      <c r="B1079" s="3" t="s">
        <v>932</v>
      </c>
      <c r="C1079" s="3" t="s">
        <v>567</v>
      </c>
      <c r="D1079" s="3" t="s">
        <v>12</v>
      </c>
      <c r="E1079" s="3" t="s">
        <v>1250</v>
      </c>
      <c r="F1079" s="3" t="n">
        <v>10000</v>
      </c>
      <c r="G1079" s="3"/>
      <c r="H1079" s="3"/>
      <c r="I1079" s="4" t="str">
        <f aca="false">IF(AND($A1079&lt;&gt;"",$A1079=Подбор!$C$4),MAX(I$1:I1078)+1,"")</f>
        <v/>
      </c>
    </row>
    <row r="1080" customFormat="false" ht="15" hidden="false" customHeight="false" outlineLevel="0" collapsed="false">
      <c r="A1080" s="3" t="s">
        <v>1251</v>
      </c>
      <c r="B1080" s="3" t="s">
        <v>472</v>
      </c>
      <c r="C1080" s="3" t="s">
        <v>11</v>
      </c>
      <c r="D1080" s="3" t="s">
        <v>12</v>
      </c>
      <c r="E1080" s="3" t="n">
        <v>842043</v>
      </c>
      <c r="F1080" s="3" t="n">
        <v>15000</v>
      </c>
      <c r="G1080" s="3"/>
      <c r="H1080" s="3"/>
      <c r="I1080" s="4" t="str">
        <f aca="false">IF(AND($A1080&lt;&gt;"",$A1080=Подбор!$C$4),MAX(I$1:I1079)+1,"")</f>
        <v/>
      </c>
    </row>
    <row r="1081" customFormat="false" ht="15" hidden="false" customHeight="false" outlineLevel="0" collapsed="false">
      <c r="A1081" s="3" t="s">
        <v>1252</v>
      </c>
      <c r="B1081" s="3" t="s">
        <v>68</v>
      </c>
      <c r="C1081" s="3" t="s">
        <v>11</v>
      </c>
      <c r="D1081" s="3" t="s">
        <v>12</v>
      </c>
      <c r="E1081" s="3" t="s">
        <v>1253</v>
      </c>
      <c r="F1081" s="3" t="n">
        <v>25000</v>
      </c>
      <c r="G1081" s="3"/>
      <c r="H1081" s="3"/>
      <c r="I1081" s="4" t="str">
        <f aca="false">IF(AND($A1081&lt;&gt;"",$A1081=Подбор!$C$4),MAX(I$1:I1080)+1,"")</f>
        <v/>
      </c>
    </row>
    <row r="1082" customFormat="false" ht="15" hidden="false" customHeight="false" outlineLevel="0" collapsed="false">
      <c r="A1082" s="3" t="s">
        <v>1254</v>
      </c>
      <c r="B1082" s="3" t="s">
        <v>68</v>
      </c>
      <c r="C1082" s="3" t="s">
        <v>11</v>
      </c>
      <c r="D1082" s="3" t="s">
        <v>12</v>
      </c>
      <c r="E1082" s="3" t="s">
        <v>1072</v>
      </c>
      <c r="F1082" s="3" t="n">
        <v>7000</v>
      </c>
      <c r="G1082" s="3"/>
      <c r="H1082" s="3"/>
      <c r="I1082" s="4" t="str">
        <f aca="false">IF(AND($A1082&lt;&gt;"",$A1082=Подбор!$C$4),MAX(I$1:I1081)+1,"")</f>
        <v/>
      </c>
    </row>
    <row r="1083" customFormat="false" ht="15" hidden="false" customHeight="false" outlineLevel="0" collapsed="false">
      <c r="A1083" s="3" t="s">
        <v>1255</v>
      </c>
      <c r="B1083" s="3" t="s">
        <v>68</v>
      </c>
      <c r="C1083" s="3" t="s">
        <v>11</v>
      </c>
      <c r="D1083" s="3" t="s">
        <v>12</v>
      </c>
      <c r="E1083" s="3" t="s">
        <v>1256</v>
      </c>
      <c r="F1083" s="3" t="n">
        <v>12000</v>
      </c>
      <c r="G1083" s="3"/>
      <c r="H1083" s="3"/>
      <c r="I1083" s="4" t="str">
        <f aca="false">IF(AND($A1083&lt;&gt;"",$A1083=Подбор!$C$4),MAX(I$1:I1082)+1,"")</f>
        <v/>
      </c>
    </row>
    <row r="1084" customFormat="false" ht="15" hidden="false" customHeight="false" outlineLevel="0" collapsed="false">
      <c r="A1084" s="3" t="s">
        <v>1257</v>
      </c>
      <c r="B1084" s="3" t="s">
        <v>68</v>
      </c>
      <c r="C1084" s="3" t="s">
        <v>11</v>
      </c>
      <c r="D1084" s="3" t="s">
        <v>12</v>
      </c>
      <c r="E1084" s="3" t="s">
        <v>1253</v>
      </c>
      <c r="F1084" s="3" t="n">
        <v>25000</v>
      </c>
      <c r="G1084" s="3"/>
      <c r="H1084" s="3"/>
      <c r="I1084" s="4" t="str">
        <f aca="false">IF(AND($A1084&lt;&gt;"",$A1084=Подбор!$C$4),MAX(I$1:I1083)+1,"")</f>
        <v/>
      </c>
    </row>
    <row r="1085" customFormat="false" ht="15" hidden="false" customHeight="false" outlineLevel="0" collapsed="false">
      <c r="A1085" s="3" t="s">
        <v>1258</v>
      </c>
      <c r="B1085" s="3" t="s">
        <v>68</v>
      </c>
      <c r="C1085" s="3" t="s">
        <v>11</v>
      </c>
      <c r="D1085" s="3" t="s">
        <v>12</v>
      </c>
      <c r="E1085" s="3" t="s">
        <v>1259</v>
      </c>
      <c r="F1085" s="3" t="n">
        <v>20000</v>
      </c>
      <c r="G1085" s="3"/>
      <c r="H1085" s="3"/>
      <c r="I1085" s="4" t="str">
        <f aca="false">IF(AND($A1085&lt;&gt;"",$A1085=Подбор!$C$4),MAX(I$1:I1084)+1,"")</f>
        <v/>
      </c>
    </row>
    <row r="1086" customFormat="false" ht="15" hidden="false" customHeight="false" outlineLevel="0" collapsed="false">
      <c r="A1086" s="3" t="s">
        <v>1260</v>
      </c>
      <c r="B1086" s="3" t="s">
        <v>68</v>
      </c>
      <c r="C1086" s="3" t="s">
        <v>11</v>
      </c>
      <c r="D1086" s="3" t="s">
        <v>12</v>
      </c>
      <c r="E1086" s="3" t="s">
        <v>1072</v>
      </c>
      <c r="F1086" s="3" t="n">
        <v>7000</v>
      </c>
      <c r="G1086" s="3"/>
      <c r="H1086" s="3"/>
      <c r="I1086" s="4" t="str">
        <f aca="false">IF(AND($A1086&lt;&gt;"",$A1086=Подбор!$C$4),MAX(I$1:I1085)+1,"")</f>
        <v/>
      </c>
    </row>
    <row r="1087" customFormat="false" ht="15" hidden="false" customHeight="false" outlineLevel="0" collapsed="false">
      <c r="A1087" s="3" t="s">
        <v>1261</v>
      </c>
      <c r="B1087" s="3" t="s">
        <v>68</v>
      </c>
      <c r="C1087" s="3" t="s">
        <v>11</v>
      </c>
      <c r="D1087" s="3" t="s">
        <v>12</v>
      </c>
      <c r="E1087" s="3" t="s">
        <v>1262</v>
      </c>
      <c r="F1087" s="3" t="n">
        <v>12000</v>
      </c>
      <c r="G1087" s="3"/>
      <c r="H1087" s="3"/>
      <c r="I1087" s="4" t="str">
        <f aca="false">IF(AND($A1087&lt;&gt;"",$A1087=Подбор!$C$4),MAX(I$1:I1086)+1,"")</f>
        <v/>
      </c>
    </row>
    <row r="1088" customFormat="false" ht="15" hidden="false" customHeight="false" outlineLevel="0" collapsed="false">
      <c r="A1088" s="3" t="s">
        <v>1263</v>
      </c>
      <c r="B1088" s="3" t="s">
        <v>472</v>
      </c>
      <c r="C1088" s="3" t="s">
        <v>11</v>
      </c>
      <c r="D1088" s="3" t="s">
        <v>12</v>
      </c>
      <c r="E1088" s="3" t="n">
        <v>841993</v>
      </c>
      <c r="F1088" s="3" t="n">
        <v>11000</v>
      </c>
      <c r="G1088" s="3"/>
      <c r="H1088" s="3"/>
      <c r="I1088" s="4" t="str">
        <f aca="false">IF(AND($A1088&lt;&gt;"",$A1088=Подбор!$C$4),MAX(I$1:I1087)+1,"")</f>
        <v/>
      </c>
    </row>
    <row r="1089" customFormat="false" ht="15" hidden="false" customHeight="false" outlineLevel="0" collapsed="false">
      <c r="A1089" s="3" t="s">
        <v>1264</v>
      </c>
      <c r="B1089" s="3" t="s">
        <v>68</v>
      </c>
      <c r="C1089" s="3" t="s">
        <v>11</v>
      </c>
      <c r="D1089" s="3" t="s">
        <v>12</v>
      </c>
      <c r="E1089" s="3" t="s">
        <v>1265</v>
      </c>
      <c r="F1089" s="3" t="n">
        <v>25000</v>
      </c>
      <c r="G1089" s="3"/>
      <c r="H1089" s="3"/>
      <c r="I1089" s="4" t="str">
        <f aca="false">IF(AND($A1089&lt;&gt;"",$A1089=Подбор!$C$4),MAX(I$1:I1088)+1,"")</f>
        <v/>
      </c>
    </row>
    <row r="1090" customFormat="false" ht="15" hidden="false" customHeight="false" outlineLevel="0" collapsed="false">
      <c r="A1090" s="3" t="s">
        <v>1266</v>
      </c>
      <c r="B1090" s="3" t="s">
        <v>84</v>
      </c>
      <c r="C1090" s="3" t="s">
        <v>11</v>
      </c>
      <c r="D1090" s="3" t="s">
        <v>12</v>
      </c>
      <c r="E1090" s="3" t="s">
        <v>1267</v>
      </c>
      <c r="F1090" s="3" t="n">
        <v>4000</v>
      </c>
      <c r="G1090" s="3"/>
      <c r="H1090" s="3"/>
      <c r="I1090" s="4" t="str">
        <f aca="false">IF(AND($A1090&lt;&gt;"",$A1090=Подбор!$C$4),MAX(I$1:I1089)+1,"")</f>
        <v/>
      </c>
    </row>
    <row r="1091" customFormat="false" ht="15" hidden="false" customHeight="false" outlineLevel="0" collapsed="false">
      <c r="A1091" s="3" t="s">
        <v>1268</v>
      </c>
      <c r="B1091" s="3" t="s">
        <v>68</v>
      </c>
      <c r="C1091" s="3" t="s">
        <v>11</v>
      </c>
      <c r="D1091" s="3" t="s">
        <v>12</v>
      </c>
      <c r="E1091" s="3" t="s">
        <v>1070</v>
      </c>
      <c r="F1091" s="3" t="n">
        <v>3000</v>
      </c>
      <c r="G1091" s="3"/>
      <c r="H1091" s="3"/>
      <c r="I1091" s="4" t="str">
        <f aca="false">IF(AND($A1091&lt;&gt;"",$A1091=Подбор!$C$4),MAX(I$1:I1090)+1,"")</f>
        <v/>
      </c>
    </row>
    <row r="1092" customFormat="false" ht="15" hidden="false" customHeight="false" outlineLevel="0" collapsed="false">
      <c r="A1092" s="3" t="s">
        <v>1269</v>
      </c>
      <c r="B1092" s="3" t="s">
        <v>68</v>
      </c>
      <c r="C1092" s="3" t="s">
        <v>11</v>
      </c>
      <c r="D1092" s="3" t="s">
        <v>12</v>
      </c>
      <c r="E1092" s="3" t="s">
        <v>214</v>
      </c>
      <c r="F1092" s="3" t="n">
        <v>7000</v>
      </c>
      <c r="G1092" s="3"/>
      <c r="H1092" s="3"/>
      <c r="I1092" s="4" t="str">
        <f aca="false">IF(AND($A1092&lt;&gt;"",$A1092=Подбор!$C$4),MAX(I$1:I1091)+1,"")</f>
        <v/>
      </c>
    </row>
    <row r="1093" customFormat="false" ht="15" hidden="false" customHeight="false" outlineLevel="0" collapsed="false">
      <c r="A1093" s="3" t="s">
        <v>1270</v>
      </c>
      <c r="B1093" s="3" t="s">
        <v>68</v>
      </c>
      <c r="C1093" s="3" t="s">
        <v>11</v>
      </c>
      <c r="D1093" s="3" t="s">
        <v>12</v>
      </c>
      <c r="E1093" s="3" t="s">
        <v>214</v>
      </c>
      <c r="F1093" s="3" t="n">
        <v>7000</v>
      </c>
      <c r="G1093" s="3"/>
      <c r="H1093" s="3"/>
      <c r="I1093" s="4" t="str">
        <f aca="false">IF(AND($A1093&lt;&gt;"",$A1093=Подбор!$C$4),MAX(I$1:I1092)+1,"")</f>
        <v/>
      </c>
    </row>
    <row r="1094" customFormat="false" ht="15" hidden="false" customHeight="false" outlineLevel="0" collapsed="false">
      <c r="A1094" s="3" t="s">
        <v>1271</v>
      </c>
      <c r="B1094" s="3" t="s">
        <v>68</v>
      </c>
      <c r="C1094" s="3" t="s">
        <v>11</v>
      </c>
      <c r="D1094" s="3" t="s">
        <v>12</v>
      </c>
      <c r="E1094" s="3" t="s">
        <v>1272</v>
      </c>
      <c r="F1094" s="3" t="n">
        <v>2600</v>
      </c>
      <c r="G1094" s="3"/>
      <c r="H1094" s="3"/>
      <c r="I1094" s="4" t="str">
        <f aca="false">IF(AND($A1094&lt;&gt;"",$A1094=Подбор!$C$4),MAX(I$1:I1093)+1,"")</f>
        <v/>
      </c>
    </row>
    <row r="1095" customFormat="false" ht="15" hidden="false" customHeight="false" outlineLevel="0" collapsed="false">
      <c r="A1095" s="3" t="s">
        <v>1273</v>
      </c>
      <c r="B1095" s="3" t="s">
        <v>932</v>
      </c>
      <c r="C1095" s="3" t="s">
        <v>567</v>
      </c>
      <c r="D1095" s="3" t="s">
        <v>12</v>
      </c>
      <c r="E1095" s="3" t="s">
        <v>1243</v>
      </c>
      <c r="F1095" s="3" t="n">
        <v>4500</v>
      </c>
      <c r="G1095" s="3"/>
      <c r="H1095" s="3"/>
      <c r="I1095" s="4" t="str">
        <f aca="false">IF(AND($A1095&lt;&gt;"",$A1095=Подбор!$C$4),MAX(I$1:I1094)+1,"")</f>
        <v/>
      </c>
    </row>
    <row r="1096" customFormat="false" ht="15" hidden="false" customHeight="false" outlineLevel="0" collapsed="false">
      <c r="A1096" s="3" t="s">
        <v>1274</v>
      </c>
      <c r="B1096" s="3" t="s">
        <v>68</v>
      </c>
      <c r="C1096" s="3" t="s">
        <v>11</v>
      </c>
      <c r="D1096" s="3" t="s">
        <v>12</v>
      </c>
      <c r="E1096" s="3" t="s">
        <v>1184</v>
      </c>
      <c r="F1096" s="3" t="n">
        <v>12500</v>
      </c>
      <c r="G1096" s="3"/>
      <c r="H1096" s="3"/>
      <c r="I1096" s="4" t="str">
        <f aca="false">IF(AND($A1096&lt;&gt;"",$A1096=Подбор!$C$4),MAX(I$1:I1095)+1,"")</f>
        <v/>
      </c>
    </row>
    <row r="1097" customFormat="false" ht="15" hidden="false" customHeight="false" outlineLevel="0" collapsed="false">
      <c r="A1097" s="3" t="s">
        <v>1275</v>
      </c>
      <c r="B1097" s="3" t="s">
        <v>68</v>
      </c>
      <c r="C1097" s="3" t="s">
        <v>11</v>
      </c>
      <c r="D1097" s="3" t="s">
        <v>12</v>
      </c>
      <c r="E1097" s="3" t="s">
        <v>1184</v>
      </c>
      <c r="F1097" s="3" t="n">
        <v>12500</v>
      </c>
      <c r="G1097" s="3"/>
      <c r="H1097" s="3"/>
      <c r="I1097" s="4" t="str">
        <f aca="false">IF(AND($A1097&lt;&gt;"",$A1097=Подбор!$C$4),MAX(I$1:I1096)+1,"")</f>
        <v/>
      </c>
    </row>
    <row r="1098" customFormat="false" ht="15" hidden="false" customHeight="false" outlineLevel="0" collapsed="false">
      <c r="A1098" s="3" t="s">
        <v>1276</v>
      </c>
      <c r="B1098" s="3" t="s">
        <v>57</v>
      </c>
      <c r="C1098" s="3" t="s">
        <v>11</v>
      </c>
      <c r="D1098" s="3" t="s">
        <v>12</v>
      </c>
      <c r="E1098" s="3" t="s">
        <v>650</v>
      </c>
      <c r="F1098" s="3" t="n">
        <v>7000</v>
      </c>
      <c r="G1098" s="3"/>
      <c r="H1098" s="3"/>
      <c r="I1098" s="4" t="str">
        <f aca="false">IF(AND($A1098&lt;&gt;"",$A1098=Подбор!$C$4),MAX(I$1:I1097)+1,"")</f>
        <v/>
      </c>
    </row>
    <row r="1099" customFormat="false" ht="15" hidden="false" customHeight="false" outlineLevel="0" collapsed="false">
      <c r="A1099" s="3" t="s">
        <v>1277</v>
      </c>
      <c r="B1099" s="3" t="s">
        <v>57</v>
      </c>
      <c r="C1099" s="3" t="s">
        <v>11</v>
      </c>
      <c r="D1099" s="3" t="s">
        <v>12</v>
      </c>
      <c r="E1099" s="3" t="s">
        <v>1278</v>
      </c>
      <c r="F1099" s="3" t="n">
        <v>1000</v>
      </c>
      <c r="G1099" s="3"/>
      <c r="H1099" s="3"/>
      <c r="I1099" s="4" t="str">
        <f aca="false">IF(AND($A1099&lt;&gt;"",$A1099=Подбор!$C$4),MAX(I$1:I1098)+1,"")</f>
        <v/>
      </c>
    </row>
    <row r="1100" customFormat="false" ht="15" hidden="false" customHeight="false" outlineLevel="0" collapsed="false">
      <c r="A1100" s="3" t="s">
        <v>1279</v>
      </c>
      <c r="B1100" s="3" t="s">
        <v>57</v>
      </c>
      <c r="C1100" s="3" t="s">
        <v>11</v>
      </c>
      <c r="D1100" s="3" t="s">
        <v>12</v>
      </c>
      <c r="E1100" s="3" t="s">
        <v>78</v>
      </c>
      <c r="F1100" s="3" t="n">
        <v>1500</v>
      </c>
      <c r="G1100" s="3"/>
      <c r="H1100" s="3"/>
      <c r="I1100" s="4" t="str">
        <f aca="false">IF(AND($A1100&lt;&gt;"",$A1100=Подбор!$C$4),MAX(I$1:I1099)+1,"")</f>
        <v/>
      </c>
    </row>
    <row r="1101" customFormat="false" ht="15" hidden="false" customHeight="false" outlineLevel="0" collapsed="false">
      <c r="A1101" s="3" t="s">
        <v>1280</v>
      </c>
      <c r="B1101" s="3" t="s">
        <v>57</v>
      </c>
      <c r="C1101" s="3" t="s">
        <v>11</v>
      </c>
      <c r="D1101" s="3" t="s">
        <v>12</v>
      </c>
      <c r="E1101" s="3" t="s">
        <v>1281</v>
      </c>
      <c r="F1101" s="3" t="n">
        <v>2300</v>
      </c>
      <c r="G1101" s="3"/>
      <c r="H1101" s="3"/>
      <c r="I1101" s="4" t="str">
        <f aca="false">IF(AND($A1101&lt;&gt;"",$A1101=Подбор!$C$4),MAX(I$1:I1100)+1,"")</f>
        <v/>
      </c>
    </row>
    <row r="1102" customFormat="false" ht="15" hidden="false" customHeight="false" outlineLevel="0" collapsed="false">
      <c r="A1102" s="3" t="s">
        <v>1282</v>
      </c>
      <c r="B1102" s="3" t="s">
        <v>57</v>
      </c>
      <c r="C1102" s="3" t="s">
        <v>11</v>
      </c>
      <c r="D1102" s="3" t="s">
        <v>12</v>
      </c>
      <c r="E1102" s="3" t="s">
        <v>1281</v>
      </c>
      <c r="F1102" s="3" t="n">
        <v>2300</v>
      </c>
      <c r="G1102" s="3"/>
      <c r="H1102" s="3"/>
      <c r="I1102" s="4" t="str">
        <f aca="false">IF(AND($A1102&lt;&gt;"",$A1102=Подбор!$C$4),MAX(I$1:I1101)+1,"")</f>
        <v/>
      </c>
    </row>
    <row r="1103" customFormat="false" ht="15" hidden="false" customHeight="false" outlineLevel="0" collapsed="false">
      <c r="A1103" s="3" t="s">
        <v>1283</v>
      </c>
      <c r="B1103" s="3" t="s">
        <v>57</v>
      </c>
      <c r="C1103" s="3" t="s">
        <v>11</v>
      </c>
      <c r="D1103" s="3" t="s">
        <v>12</v>
      </c>
      <c r="E1103" s="3" t="s">
        <v>78</v>
      </c>
      <c r="F1103" s="3" t="n">
        <v>1500</v>
      </c>
      <c r="G1103" s="3"/>
      <c r="H1103" s="3"/>
      <c r="I1103" s="4" t="str">
        <f aca="false">IF(AND($A1103&lt;&gt;"",$A1103=Подбор!$C$4),MAX(I$1:I1102)+1,"")</f>
        <v/>
      </c>
    </row>
    <row r="1104" customFormat="false" ht="15" hidden="false" customHeight="false" outlineLevel="0" collapsed="false">
      <c r="A1104" s="3" t="s">
        <v>1284</v>
      </c>
      <c r="B1104" s="3" t="s">
        <v>57</v>
      </c>
      <c r="C1104" s="3" t="s">
        <v>11</v>
      </c>
      <c r="D1104" s="3" t="s">
        <v>12</v>
      </c>
      <c r="E1104" s="3" t="s">
        <v>1285</v>
      </c>
      <c r="F1104" s="3" t="n">
        <v>1500</v>
      </c>
      <c r="G1104" s="3"/>
      <c r="H1104" s="3"/>
      <c r="I1104" s="4" t="str">
        <f aca="false">IF(AND($A1104&lt;&gt;"",$A1104=Подбор!$C$4),MAX(I$1:I1103)+1,"")</f>
        <v/>
      </c>
    </row>
    <row r="1105" customFormat="false" ht="15" hidden="false" customHeight="false" outlineLevel="0" collapsed="false">
      <c r="A1105" s="3" t="s">
        <v>1286</v>
      </c>
      <c r="B1105" s="3" t="s">
        <v>57</v>
      </c>
      <c r="C1105" s="3" t="s">
        <v>11</v>
      </c>
      <c r="D1105" s="3" t="s">
        <v>12</v>
      </c>
      <c r="E1105" s="3" t="s">
        <v>1285</v>
      </c>
      <c r="F1105" s="3" t="n">
        <v>1500</v>
      </c>
      <c r="G1105" s="3"/>
      <c r="H1105" s="3"/>
      <c r="I1105" s="4" t="str">
        <f aca="false">IF(AND($A1105&lt;&gt;"",$A1105=Подбор!$C$4),MAX(I$1:I1104)+1,"")</f>
        <v/>
      </c>
    </row>
    <row r="1106" customFormat="false" ht="15" hidden="false" customHeight="false" outlineLevel="0" collapsed="false">
      <c r="A1106" s="3" t="s">
        <v>1287</v>
      </c>
      <c r="B1106" s="3" t="s">
        <v>57</v>
      </c>
      <c r="C1106" s="3" t="s">
        <v>11</v>
      </c>
      <c r="D1106" s="3" t="s">
        <v>12</v>
      </c>
      <c r="E1106" s="3" t="s">
        <v>1288</v>
      </c>
      <c r="F1106" s="3" t="n">
        <v>3500</v>
      </c>
      <c r="G1106" s="3"/>
      <c r="H1106" s="3"/>
      <c r="I1106" s="4" t="str">
        <f aca="false">IF(AND($A1106&lt;&gt;"",$A1106=Подбор!$C$4),MAX(I$1:I1105)+1,"")</f>
        <v/>
      </c>
    </row>
    <row r="1107" customFormat="false" ht="15" hidden="false" customHeight="false" outlineLevel="0" collapsed="false">
      <c r="A1107" s="3" t="s">
        <v>1289</v>
      </c>
      <c r="B1107" s="3" t="s">
        <v>57</v>
      </c>
      <c r="C1107" s="3" t="s">
        <v>11</v>
      </c>
      <c r="D1107" s="3" t="s">
        <v>12</v>
      </c>
      <c r="E1107" s="3" t="s">
        <v>650</v>
      </c>
      <c r="F1107" s="3" t="n">
        <v>7000</v>
      </c>
      <c r="G1107" s="3"/>
      <c r="H1107" s="3"/>
      <c r="I1107" s="4" t="str">
        <f aca="false">IF(AND($A1107&lt;&gt;"",$A1107=Подбор!$C$4),MAX(I$1:I1106)+1,"")</f>
        <v/>
      </c>
    </row>
    <row r="1108" customFormat="false" ht="15" hidden="false" customHeight="false" outlineLevel="0" collapsed="false">
      <c r="A1108" s="3" t="s">
        <v>1290</v>
      </c>
      <c r="B1108" s="3" t="s">
        <v>57</v>
      </c>
      <c r="C1108" s="3" t="s">
        <v>11</v>
      </c>
      <c r="D1108" s="3" t="s">
        <v>12</v>
      </c>
      <c r="E1108" s="3" t="s">
        <v>1285</v>
      </c>
      <c r="F1108" s="3" t="n">
        <v>1500</v>
      </c>
      <c r="G1108" s="3"/>
      <c r="H1108" s="3"/>
      <c r="I1108" s="4" t="str">
        <f aca="false">IF(AND($A1108&lt;&gt;"",$A1108=Подбор!$C$4),MAX(I$1:I1107)+1,"")</f>
        <v/>
      </c>
    </row>
    <row r="1109" customFormat="false" ht="15" hidden="false" customHeight="false" outlineLevel="0" collapsed="false">
      <c r="A1109" s="3" t="s">
        <v>1291</v>
      </c>
      <c r="B1109" s="3" t="s">
        <v>57</v>
      </c>
      <c r="C1109" s="3" t="s">
        <v>11</v>
      </c>
      <c r="D1109" s="3" t="s">
        <v>12</v>
      </c>
      <c r="E1109" s="3" t="s">
        <v>1288</v>
      </c>
      <c r="F1109" s="3" t="n">
        <v>3500</v>
      </c>
      <c r="G1109" s="3"/>
      <c r="H1109" s="3"/>
      <c r="I1109" s="4" t="str">
        <f aca="false">IF(AND($A1109&lt;&gt;"",$A1109=Подбор!$C$4),MAX(I$1:I1108)+1,"")</f>
        <v/>
      </c>
    </row>
    <row r="1110" customFormat="false" ht="15" hidden="false" customHeight="false" outlineLevel="0" collapsed="false">
      <c r="A1110" s="3" t="s">
        <v>1292</v>
      </c>
      <c r="B1110" s="3" t="s">
        <v>57</v>
      </c>
      <c r="C1110" s="3" t="s">
        <v>11</v>
      </c>
      <c r="D1110" s="3" t="s">
        <v>12</v>
      </c>
      <c r="E1110" s="3" t="s">
        <v>1288</v>
      </c>
      <c r="F1110" s="3" t="n">
        <v>3500</v>
      </c>
      <c r="G1110" s="3"/>
      <c r="H1110" s="3"/>
      <c r="I1110" s="4" t="str">
        <f aca="false">IF(AND($A1110&lt;&gt;"",$A1110=Подбор!$C$4),MAX(I$1:I1109)+1,"")</f>
        <v/>
      </c>
    </row>
    <row r="1111" customFormat="false" ht="15" hidden="false" customHeight="false" outlineLevel="0" collapsed="false">
      <c r="A1111" s="3" t="s">
        <v>1293</v>
      </c>
      <c r="B1111" s="3" t="s">
        <v>57</v>
      </c>
      <c r="C1111" s="3" t="s">
        <v>11</v>
      </c>
      <c r="D1111" s="3" t="s">
        <v>12</v>
      </c>
      <c r="E1111" s="3" t="s">
        <v>1288</v>
      </c>
      <c r="F1111" s="3" t="n">
        <v>3500</v>
      </c>
      <c r="G1111" s="3"/>
      <c r="H1111" s="3"/>
      <c r="I1111" s="4" t="str">
        <f aca="false">IF(AND($A1111&lt;&gt;"",$A1111=Подбор!$C$4),MAX(I$1:I1110)+1,"")</f>
        <v/>
      </c>
    </row>
    <row r="1112" customFormat="false" ht="15" hidden="false" customHeight="false" outlineLevel="0" collapsed="false">
      <c r="A1112" s="3" t="s">
        <v>1294</v>
      </c>
      <c r="B1112" s="3" t="s">
        <v>57</v>
      </c>
      <c r="C1112" s="3" t="s">
        <v>11</v>
      </c>
      <c r="D1112" s="3" t="s">
        <v>12</v>
      </c>
      <c r="E1112" s="3" t="s">
        <v>839</v>
      </c>
      <c r="F1112" s="3" t="n">
        <v>1500</v>
      </c>
      <c r="G1112" s="3"/>
      <c r="H1112" s="3"/>
      <c r="I1112" s="4" t="str">
        <f aca="false">IF(AND($A1112&lt;&gt;"",$A1112=Подбор!$C$4),MAX(I$1:I1111)+1,"")</f>
        <v/>
      </c>
    </row>
    <row r="1113" customFormat="false" ht="15" hidden="false" customHeight="false" outlineLevel="0" collapsed="false">
      <c r="A1113" s="3" t="s">
        <v>1295</v>
      </c>
      <c r="B1113" s="3" t="s">
        <v>57</v>
      </c>
      <c r="C1113" s="3" t="s">
        <v>11</v>
      </c>
      <c r="D1113" s="3" t="s">
        <v>12</v>
      </c>
      <c r="E1113" s="3" t="s">
        <v>1123</v>
      </c>
      <c r="F1113" s="3" t="n">
        <v>1600</v>
      </c>
      <c r="G1113" s="3"/>
      <c r="H1113" s="3"/>
      <c r="I1113" s="4" t="str">
        <f aca="false">IF(AND($A1113&lt;&gt;"",$A1113=Подбор!$C$4),MAX(I$1:I1112)+1,"")</f>
        <v/>
      </c>
    </row>
    <row r="1114" customFormat="false" ht="15" hidden="false" customHeight="false" outlineLevel="0" collapsed="false">
      <c r="A1114" s="3" t="s">
        <v>1296</v>
      </c>
      <c r="B1114" s="3" t="s">
        <v>57</v>
      </c>
      <c r="C1114" s="3" t="s">
        <v>11</v>
      </c>
      <c r="D1114" s="3" t="s">
        <v>12</v>
      </c>
      <c r="E1114" s="3" t="s">
        <v>393</v>
      </c>
      <c r="F1114" s="3" t="n">
        <v>1500</v>
      </c>
      <c r="G1114" s="3"/>
      <c r="H1114" s="3"/>
      <c r="I1114" s="4" t="str">
        <f aca="false">IF(AND($A1114&lt;&gt;"",$A1114=Подбор!$C$4),MAX(I$1:I1113)+1,"")</f>
        <v/>
      </c>
    </row>
    <row r="1115" customFormat="false" ht="15" hidden="false" customHeight="false" outlineLevel="0" collapsed="false">
      <c r="A1115" s="3" t="s">
        <v>1297</v>
      </c>
      <c r="B1115" s="3" t="s">
        <v>57</v>
      </c>
      <c r="C1115" s="3" t="s">
        <v>11</v>
      </c>
      <c r="D1115" s="3" t="s">
        <v>12</v>
      </c>
      <c r="E1115" s="3" t="s">
        <v>1298</v>
      </c>
      <c r="F1115" s="3" t="n">
        <v>1400</v>
      </c>
      <c r="G1115" s="3"/>
      <c r="H1115" s="3"/>
      <c r="I1115" s="4" t="str">
        <f aca="false">IF(AND($A1115&lt;&gt;"",$A1115=Подбор!$C$4),MAX(I$1:I1114)+1,"")</f>
        <v/>
      </c>
    </row>
    <row r="1116" customFormat="false" ht="15" hidden="false" customHeight="false" outlineLevel="0" collapsed="false">
      <c r="A1116" s="3" t="s">
        <v>1299</v>
      </c>
      <c r="B1116" s="3" t="s">
        <v>57</v>
      </c>
      <c r="C1116" s="3" t="s">
        <v>11</v>
      </c>
      <c r="D1116" s="3" t="s">
        <v>12</v>
      </c>
      <c r="E1116" s="3" t="s">
        <v>1281</v>
      </c>
      <c r="F1116" s="3" t="n">
        <v>2300</v>
      </c>
      <c r="G1116" s="3"/>
      <c r="H1116" s="3"/>
      <c r="I1116" s="4" t="str">
        <f aca="false">IF(AND($A1116&lt;&gt;"",$A1116=Подбор!$C$4),MAX(I$1:I1115)+1,"")</f>
        <v/>
      </c>
    </row>
    <row r="1117" customFormat="false" ht="15" hidden="false" customHeight="false" outlineLevel="0" collapsed="false">
      <c r="A1117" s="3" t="s">
        <v>1300</v>
      </c>
      <c r="B1117" s="3" t="s">
        <v>57</v>
      </c>
      <c r="C1117" s="3" t="s">
        <v>11</v>
      </c>
      <c r="D1117" s="3" t="s">
        <v>12</v>
      </c>
      <c r="E1117" s="3" t="s">
        <v>1123</v>
      </c>
      <c r="F1117" s="3" t="n">
        <v>1600</v>
      </c>
      <c r="G1117" s="3"/>
      <c r="H1117" s="3"/>
      <c r="I1117" s="4" t="str">
        <f aca="false">IF(AND($A1117&lt;&gt;"",$A1117=Подбор!$C$4),MAX(I$1:I1116)+1,"")</f>
        <v/>
      </c>
    </row>
    <row r="1118" customFormat="false" ht="15" hidden="false" customHeight="false" outlineLevel="0" collapsed="false">
      <c r="A1118" s="3" t="s">
        <v>1301</v>
      </c>
      <c r="B1118" s="3" t="s">
        <v>57</v>
      </c>
      <c r="C1118" s="3" t="s">
        <v>11</v>
      </c>
      <c r="D1118" s="3" t="s">
        <v>12</v>
      </c>
      <c r="E1118" s="3" t="s">
        <v>182</v>
      </c>
      <c r="F1118" s="3" t="n">
        <v>2000</v>
      </c>
      <c r="G1118" s="3"/>
      <c r="H1118" s="3"/>
      <c r="I1118" s="4" t="str">
        <f aca="false">IF(AND($A1118&lt;&gt;"",$A1118=Подбор!$C$4),MAX(I$1:I1117)+1,"")</f>
        <v/>
      </c>
    </row>
    <row r="1119" customFormat="false" ht="15" hidden="false" customHeight="false" outlineLevel="0" collapsed="false">
      <c r="A1119" s="3" t="s">
        <v>1302</v>
      </c>
      <c r="B1119" s="3" t="s">
        <v>57</v>
      </c>
      <c r="C1119" s="3" t="s">
        <v>11</v>
      </c>
      <c r="D1119" s="3" t="s">
        <v>12</v>
      </c>
      <c r="E1119" s="3" t="s">
        <v>1303</v>
      </c>
      <c r="F1119" s="3" t="n">
        <v>3500</v>
      </c>
      <c r="G1119" s="3"/>
      <c r="H1119" s="3"/>
      <c r="I1119" s="4" t="str">
        <f aca="false">IF(AND($A1119&lt;&gt;"",$A1119=Подбор!$C$4),MAX(I$1:I1118)+1,"")</f>
        <v/>
      </c>
    </row>
    <row r="1120" customFormat="false" ht="15" hidden="false" customHeight="false" outlineLevel="0" collapsed="false">
      <c r="A1120" s="3" t="s">
        <v>1304</v>
      </c>
      <c r="B1120" s="3" t="s">
        <v>57</v>
      </c>
      <c r="C1120" s="3" t="s">
        <v>11</v>
      </c>
      <c r="D1120" s="3" t="s">
        <v>12</v>
      </c>
      <c r="E1120" s="3" t="s">
        <v>1281</v>
      </c>
      <c r="F1120" s="3" t="n">
        <v>2300</v>
      </c>
      <c r="G1120" s="3"/>
      <c r="H1120" s="3"/>
      <c r="I1120" s="4" t="str">
        <f aca="false">IF(AND($A1120&lt;&gt;"",$A1120=Подбор!$C$4),MAX(I$1:I1119)+1,"")</f>
        <v/>
      </c>
    </row>
    <row r="1121" customFormat="false" ht="15" hidden="false" customHeight="false" outlineLevel="0" collapsed="false">
      <c r="A1121" s="3" t="s">
        <v>1305</v>
      </c>
      <c r="B1121" s="3" t="s">
        <v>57</v>
      </c>
      <c r="C1121" s="3" t="s">
        <v>11</v>
      </c>
      <c r="D1121" s="3" t="s">
        <v>12</v>
      </c>
      <c r="E1121" s="3" t="s">
        <v>1298</v>
      </c>
      <c r="F1121" s="3" t="n">
        <v>1400</v>
      </c>
      <c r="G1121" s="3"/>
      <c r="H1121" s="3"/>
      <c r="I1121" s="4" t="str">
        <f aca="false">IF(AND($A1121&lt;&gt;"",$A1121=Подбор!$C$4),MAX(I$1:I1120)+1,"")</f>
        <v/>
      </c>
    </row>
    <row r="1122" customFormat="false" ht="15" hidden="false" customHeight="false" outlineLevel="0" collapsed="false">
      <c r="A1122" s="3" t="s">
        <v>1306</v>
      </c>
      <c r="B1122" s="3" t="s">
        <v>57</v>
      </c>
      <c r="C1122" s="3" t="s">
        <v>11</v>
      </c>
      <c r="D1122" s="3" t="s">
        <v>12</v>
      </c>
      <c r="E1122" s="3" t="s">
        <v>1307</v>
      </c>
      <c r="F1122" s="3" t="n">
        <v>1300</v>
      </c>
      <c r="G1122" s="3"/>
      <c r="H1122" s="3"/>
      <c r="I1122" s="4" t="str">
        <f aca="false">IF(AND($A1122&lt;&gt;"",$A1122=Подбор!$C$4),MAX(I$1:I1121)+1,"")</f>
        <v/>
      </c>
    </row>
    <row r="1123" customFormat="false" ht="15" hidden="false" customHeight="false" outlineLevel="0" collapsed="false">
      <c r="A1123" s="3" t="s">
        <v>1308</v>
      </c>
      <c r="B1123" s="3" t="s">
        <v>57</v>
      </c>
      <c r="C1123" s="3" t="s">
        <v>11</v>
      </c>
      <c r="D1123" s="3" t="s">
        <v>12</v>
      </c>
      <c r="E1123" s="3" t="s">
        <v>1123</v>
      </c>
      <c r="F1123" s="3" t="n">
        <v>1600</v>
      </c>
      <c r="G1123" s="3"/>
      <c r="H1123" s="3"/>
      <c r="I1123" s="4" t="str">
        <f aca="false">IF(AND($A1123&lt;&gt;"",$A1123=Подбор!$C$4),MAX(I$1:I1122)+1,"")</f>
        <v/>
      </c>
    </row>
    <row r="1124" customFormat="false" ht="15" hidden="false" customHeight="false" outlineLevel="0" collapsed="false">
      <c r="A1124" s="3" t="s">
        <v>1309</v>
      </c>
      <c r="B1124" s="3" t="s">
        <v>57</v>
      </c>
      <c r="C1124" s="3" t="s">
        <v>11</v>
      </c>
      <c r="D1124" s="3" t="s">
        <v>12</v>
      </c>
      <c r="E1124" s="3" t="s">
        <v>207</v>
      </c>
      <c r="F1124" s="3" t="n">
        <v>2700</v>
      </c>
      <c r="G1124" s="3"/>
      <c r="H1124" s="3"/>
      <c r="I1124" s="4" t="str">
        <f aca="false">IF(AND($A1124&lt;&gt;"",$A1124=Подбор!$C$4),MAX(I$1:I1123)+1,"")</f>
        <v/>
      </c>
    </row>
    <row r="1125" customFormat="false" ht="15" hidden="false" customHeight="false" outlineLevel="0" collapsed="false">
      <c r="A1125" s="3" t="s">
        <v>1310</v>
      </c>
      <c r="B1125" s="3" t="s">
        <v>57</v>
      </c>
      <c r="C1125" s="3" t="s">
        <v>11</v>
      </c>
      <c r="D1125" s="3" t="s">
        <v>12</v>
      </c>
      <c r="E1125" s="3" t="s">
        <v>670</v>
      </c>
      <c r="F1125" s="3" t="n">
        <v>2100</v>
      </c>
      <c r="G1125" s="3"/>
      <c r="H1125" s="3"/>
      <c r="I1125" s="4" t="str">
        <f aca="false">IF(AND($A1125&lt;&gt;"",$A1125=Подбор!$C$4),MAX(I$1:I1124)+1,"")</f>
        <v/>
      </c>
    </row>
    <row r="1126" customFormat="false" ht="15" hidden="false" customHeight="false" outlineLevel="0" collapsed="false">
      <c r="A1126" s="3" t="s">
        <v>1311</v>
      </c>
      <c r="B1126" s="3" t="s">
        <v>57</v>
      </c>
      <c r="C1126" s="3" t="s">
        <v>11</v>
      </c>
      <c r="D1126" s="3" t="s">
        <v>12</v>
      </c>
      <c r="E1126" s="3" t="s">
        <v>1312</v>
      </c>
      <c r="F1126" s="3" t="n">
        <v>1500</v>
      </c>
      <c r="G1126" s="3"/>
      <c r="H1126" s="3"/>
      <c r="I1126" s="4" t="str">
        <f aca="false">IF(AND($A1126&lt;&gt;"",$A1126=Подбор!$C$4),MAX(I$1:I1125)+1,"")</f>
        <v/>
      </c>
    </row>
    <row r="1127" customFormat="false" ht="15" hidden="false" customHeight="false" outlineLevel="0" collapsed="false">
      <c r="A1127" s="3" t="s">
        <v>1313</v>
      </c>
      <c r="B1127" s="3" t="s">
        <v>57</v>
      </c>
      <c r="C1127" s="3" t="s">
        <v>11</v>
      </c>
      <c r="D1127" s="3" t="s">
        <v>12</v>
      </c>
      <c r="E1127" s="3" t="s">
        <v>1237</v>
      </c>
      <c r="F1127" s="3" t="n">
        <v>7500</v>
      </c>
      <c r="G1127" s="3"/>
      <c r="H1127" s="3"/>
      <c r="I1127" s="4" t="str">
        <f aca="false">IF(AND($A1127&lt;&gt;"",$A1127=Подбор!$C$4),MAX(I$1:I1126)+1,"")</f>
        <v/>
      </c>
    </row>
    <row r="1128" customFormat="false" ht="15" hidden="false" customHeight="false" outlineLevel="0" collapsed="false">
      <c r="A1128" s="3" t="s">
        <v>1314</v>
      </c>
      <c r="B1128" s="3" t="s">
        <v>57</v>
      </c>
      <c r="C1128" s="3" t="s">
        <v>11</v>
      </c>
      <c r="D1128" s="3" t="s">
        <v>12</v>
      </c>
      <c r="E1128" s="3" t="s">
        <v>1298</v>
      </c>
      <c r="F1128" s="3" t="n">
        <v>1400</v>
      </c>
      <c r="G1128" s="3"/>
      <c r="H1128" s="3"/>
      <c r="I1128" s="4" t="str">
        <f aca="false">IF(AND($A1128&lt;&gt;"",$A1128=Подбор!$C$4),MAX(I$1:I1127)+1,"")</f>
        <v/>
      </c>
    </row>
    <row r="1129" customFormat="false" ht="15" hidden="false" customHeight="false" outlineLevel="0" collapsed="false">
      <c r="A1129" s="3" t="s">
        <v>1315</v>
      </c>
      <c r="B1129" s="3" t="s">
        <v>57</v>
      </c>
      <c r="C1129" s="3" t="s">
        <v>11</v>
      </c>
      <c r="D1129" s="3" t="s">
        <v>12</v>
      </c>
      <c r="E1129" s="3" t="s">
        <v>650</v>
      </c>
      <c r="F1129" s="3" t="n">
        <v>7000</v>
      </c>
      <c r="G1129" s="3"/>
      <c r="H1129" s="3"/>
      <c r="I1129" s="4" t="str">
        <f aca="false">IF(AND($A1129&lt;&gt;"",$A1129=Подбор!$C$4),MAX(I$1:I1128)+1,"")</f>
        <v/>
      </c>
    </row>
    <row r="1130" customFormat="false" ht="15" hidden="false" customHeight="false" outlineLevel="0" collapsed="false">
      <c r="A1130" s="3" t="s">
        <v>1316</v>
      </c>
      <c r="B1130" s="3" t="s">
        <v>57</v>
      </c>
      <c r="C1130" s="3" t="s">
        <v>11</v>
      </c>
      <c r="D1130" s="3" t="s">
        <v>12</v>
      </c>
      <c r="E1130" s="3" t="s">
        <v>97</v>
      </c>
      <c r="F1130" s="3" t="n">
        <v>1600</v>
      </c>
      <c r="G1130" s="3"/>
      <c r="H1130" s="3"/>
      <c r="I1130" s="4" t="str">
        <f aca="false">IF(AND($A1130&lt;&gt;"",$A1130=Подбор!$C$4),MAX(I$1:I1129)+1,"")</f>
        <v/>
      </c>
    </row>
    <row r="1131" customFormat="false" ht="15" hidden="false" customHeight="false" outlineLevel="0" collapsed="false">
      <c r="A1131" s="3" t="s">
        <v>1317</v>
      </c>
      <c r="B1131" s="3" t="s">
        <v>57</v>
      </c>
      <c r="C1131" s="3" t="s">
        <v>11</v>
      </c>
      <c r="D1131" s="3" t="s">
        <v>12</v>
      </c>
      <c r="E1131" s="3" t="s">
        <v>1298</v>
      </c>
      <c r="F1131" s="3" t="n">
        <v>1400</v>
      </c>
      <c r="G1131" s="3"/>
      <c r="H1131" s="3"/>
      <c r="I1131" s="4" t="str">
        <f aca="false">IF(AND($A1131&lt;&gt;"",$A1131=Подбор!$C$4),MAX(I$1:I1130)+1,"")</f>
        <v/>
      </c>
    </row>
    <row r="1132" customFormat="false" ht="15" hidden="false" customHeight="false" outlineLevel="0" collapsed="false">
      <c r="A1132" s="3" t="s">
        <v>1318</v>
      </c>
      <c r="B1132" s="3" t="s">
        <v>68</v>
      </c>
      <c r="C1132" s="3" t="s">
        <v>11</v>
      </c>
      <c r="D1132" s="3" t="s">
        <v>12</v>
      </c>
      <c r="E1132" s="3" t="s">
        <v>1319</v>
      </c>
      <c r="F1132" s="3" t="n">
        <v>12000</v>
      </c>
      <c r="G1132" s="3"/>
      <c r="H1132" s="3"/>
      <c r="I1132" s="4" t="str">
        <f aca="false">IF(AND($A1132&lt;&gt;"",$A1132=Подбор!$C$4),MAX(I$1:I1131)+1,"")</f>
        <v/>
      </c>
    </row>
    <row r="1133" customFormat="false" ht="15" hidden="false" customHeight="false" outlineLevel="0" collapsed="false">
      <c r="A1133" s="3" t="s">
        <v>1320</v>
      </c>
      <c r="B1133" s="3" t="s">
        <v>68</v>
      </c>
      <c r="C1133" s="3" t="s">
        <v>11</v>
      </c>
      <c r="D1133" s="3" t="s">
        <v>12</v>
      </c>
      <c r="E1133" s="3" t="s">
        <v>1319</v>
      </c>
      <c r="F1133" s="3" t="n">
        <v>12000</v>
      </c>
      <c r="G1133" s="3"/>
      <c r="H1133" s="3"/>
      <c r="I1133" s="4" t="str">
        <f aca="false">IF(AND($A1133&lt;&gt;"",$A1133=Подбор!$C$4),MAX(I$1:I1132)+1,"")</f>
        <v/>
      </c>
    </row>
    <row r="1134" customFormat="false" ht="15" hidden="false" customHeight="false" outlineLevel="0" collapsed="false">
      <c r="A1134" s="3" t="s">
        <v>1321</v>
      </c>
      <c r="B1134" s="3" t="s">
        <v>68</v>
      </c>
      <c r="C1134" s="3" t="s">
        <v>11</v>
      </c>
      <c r="D1134" s="3" t="s">
        <v>12</v>
      </c>
      <c r="E1134" s="3" t="s">
        <v>1322</v>
      </c>
      <c r="F1134" s="3" t="n">
        <v>25000</v>
      </c>
      <c r="G1134" s="3"/>
      <c r="H1134" s="3"/>
      <c r="I1134" s="4" t="str">
        <f aca="false">IF(AND($A1134&lt;&gt;"",$A1134=Подбор!$C$4),MAX(I$1:I1133)+1,"")</f>
        <v/>
      </c>
    </row>
    <row r="1135" customFormat="false" ht="15" hidden="false" customHeight="false" outlineLevel="0" collapsed="false">
      <c r="A1135" s="3" t="s">
        <v>1321</v>
      </c>
      <c r="B1135" s="3" t="s">
        <v>68</v>
      </c>
      <c r="C1135" s="3" t="s">
        <v>11</v>
      </c>
      <c r="D1135" s="3" t="s">
        <v>21</v>
      </c>
      <c r="E1135" s="3" t="s">
        <v>1323</v>
      </c>
      <c r="F1135" s="3" t="n">
        <v>12000</v>
      </c>
      <c r="G1135" s="3"/>
      <c r="H1135" s="3"/>
      <c r="I1135" s="4" t="str">
        <f aca="false">IF(AND($A1135&lt;&gt;"",$A1135=Подбор!$C$4),MAX(I$1:I1134)+1,"")</f>
        <v/>
      </c>
    </row>
    <row r="1136" customFormat="false" ht="15" hidden="false" customHeight="false" outlineLevel="0" collapsed="false">
      <c r="A1136" s="3" t="s">
        <v>1321</v>
      </c>
      <c r="B1136" s="3" t="s">
        <v>68</v>
      </c>
      <c r="C1136" s="3" t="s">
        <v>11</v>
      </c>
      <c r="D1136" s="3" t="s">
        <v>23</v>
      </c>
      <c r="E1136" s="3" t="s">
        <v>1324</v>
      </c>
      <c r="F1136" s="3" t="n">
        <v>12000</v>
      </c>
      <c r="G1136" s="3"/>
      <c r="H1136" s="3"/>
      <c r="I1136" s="4" t="str">
        <f aca="false">IF(AND($A1136&lt;&gt;"",$A1136=Подбор!$C$4),MAX(I$1:I1135)+1,"")</f>
        <v/>
      </c>
    </row>
    <row r="1137" customFormat="false" ht="15" hidden="false" customHeight="false" outlineLevel="0" collapsed="false">
      <c r="A1137" s="3" t="s">
        <v>1321</v>
      </c>
      <c r="B1137" s="3" t="s">
        <v>68</v>
      </c>
      <c r="C1137" s="3" t="s">
        <v>11</v>
      </c>
      <c r="D1137" s="3" t="s">
        <v>25</v>
      </c>
      <c r="E1137" s="3" t="s">
        <v>1325</v>
      </c>
      <c r="F1137" s="3" t="n">
        <v>12000</v>
      </c>
      <c r="G1137" s="3"/>
      <c r="H1137" s="3"/>
      <c r="I1137" s="4" t="str">
        <f aca="false">IF(AND($A1137&lt;&gt;"",$A1137=Подбор!$C$4),MAX(I$1:I1136)+1,"")</f>
        <v/>
      </c>
    </row>
    <row r="1138" customFormat="false" ht="15" hidden="false" customHeight="false" outlineLevel="0" collapsed="false">
      <c r="A1138" s="3" t="s">
        <v>1326</v>
      </c>
      <c r="B1138" s="3" t="s">
        <v>68</v>
      </c>
      <c r="C1138" s="3" t="s">
        <v>11</v>
      </c>
      <c r="D1138" s="3" t="s">
        <v>12</v>
      </c>
      <c r="E1138" s="3" t="s">
        <v>1192</v>
      </c>
      <c r="F1138" s="3" t="n">
        <v>25000</v>
      </c>
      <c r="G1138" s="3"/>
      <c r="H1138" s="3"/>
      <c r="I1138" s="4" t="str">
        <f aca="false">IF(AND($A1138&lt;&gt;"",$A1138=Подбор!$C$4),MAX(I$1:I1137)+1,"")</f>
        <v/>
      </c>
    </row>
    <row r="1139" customFormat="false" ht="15" hidden="false" customHeight="false" outlineLevel="0" collapsed="false">
      <c r="A1139" s="3" t="s">
        <v>1326</v>
      </c>
      <c r="B1139" s="3" t="s">
        <v>68</v>
      </c>
      <c r="C1139" s="3" t="s">
        <v>11</v>
      </c>
      <c r="D1139" s="3" t="s">
        <v>21</v>
      </c>
      <c r="E1139" s="3" t="s">
        <v>1193</v>
      </c>
      <c r="F1139" s="3" t="n">
        <v>15000</v>
      </c>
      <c r="G1139" s="3"/>
      <c r="H1139" s="3"/>
      <c r="I1139" s="4" t="str">
        <f aca="false">IF(AND($A1139&lt;&gt;"",$A1139=Подбор!$C$4),MAX(I$1:I1138)+1,"")</f>
        <v/>
      </c>
    </row>
    <row r="1140" customFormat="false" ht="15" hidden="false" customHeight="false" outlineLevel="0" collapsed="false">
      <c r="A1140" s="3" t="s">
        <v>1326</v>
      </c>
      <c r="B1140" s="3" t="s">
        <v>68</v>
      </c>
      <c r="C1140" s="3" t="s">
        <v>11</v>
      </c>
      <c r="D1140" s="3" t="s">
        <v>23</v>
      </c>
      <c r="E1140" s="3" t="s">
        <v>1194</v>
      </c>
      <c r="F1140" s="3" t="n">
        <v>15000</v>
      </c>
      <c r="G1140" s="3"/>
      <c r="H1140" s="3"/>
      <c r="I1140" s="4" t="str">
        <f aca="false">IF(AND($A1140&lt;&gt;"",$A1140=Подбор!$C$4),MAX(I$1:I1139)+1,"")</f>
        <v/>
      </c>
    </row>
    <row r="1141" customFormat="false" ht="15" hidden="false" customHeight="false" outlineLevel="0" collapsed="false">
      <c r="A1141" s="3" t="s">
        <v>1326</v>
      </c>
      <c r="B1141" s="3" t="s">
        <v>68</v>
      </c>
      <c r="C1141" s="3" t="s">
        <v>11</v>
      </c>
      <c r="D1141" s="3" t="s">
        <v>25</v>
      </c>
      <c r="E1141" s="3" t="s">
        <v>1195</v>
      </c>
      <c r="F1141" s="3" t="n">
        <v>15000</v>
      </c>
      <c r="G1141" s="3"/>
      <c r="H1141" s="3"/>
      <c r="I1141" s="4" t="str">
        <f aca="false">IF(AND($A1141&lt;&gt;"",$A1141=Подбор!$C$4),MAX(I$1:I1140)+1,"")</f>
        <v/>
      </c>
    </row>
    <row r="1142" customFormat="false" ht="15" hidden="false" customHeight="false" outlineLevel="0" collapsed="false">
      <c r="A1142" s="3" t="s">
        <v>1327</v>
      </c>
      <c r="B1142" s="3" t="s">
        <v>472</v>
      </c>
      <c r="C1142" s="3" t="s">
        <v>11</v>
      </c>
      <c r="D1142" s="3" t="s">
        <v>12</v>
      </c>
      <c r="E1142" s="3" t="n">
        <v>841284</v>
      </c>
      <c r="F1142" s="3" t="n">
        <v>11000</v>
      </c>
      <c r="G1142" s="3"/>
      <c r="H1142" s="3"/>
      <c r="I1142" s="4" t="str">
        <f aca="false">IF(AND($A1142&lt;&gt;"",$A1142=Подбор!$C$4),MAX(I$1:I1141)+1,"")</f>
        <v/>
      </c>
    </row>
    <row r="1143" customFormat="false" ht="15" hidden="false" customHeight="false" outlineLevel="0" collapsed="false">
      <c r="A1143" s="3" t="s">
        <v>1328</v>
      </c>
      <c r="B1143" s="3" t="s">
        <v>932</v>
      </c>
      <c r="C1143" s="3" t="s">
        <v>567</v>
      </c>
      <c r="D1143" s="3" t="s">
        <v>12</v>
      </c>
      <c r="E1143" s="3" t="s">
        <v>1329</v>
      </c>
      <c r="F1143" s="3" t="n">
        <v>4500</v>
      </c>
      <c r="G1143" s="3"/>
      <c r="H1143" s="3"/>
      <c r="I1143" s="4" t="str">
        <f aca="false">IF(AND($A1143&lt;&gt;"",$A1143=Подбор!$C$4),MAX(I$1:I1142)+1,"")</f>
        <v/>
      </c>
    </row>
    <row r="1144" customFormat="false" ht="15" hidden="false" customHeight="false" outlineLevel="0" collapsed="false">
      <c r="A1144" s="3" t="s">
        <v>1330</v>
      </c>
      <c r="B1144" s="3" t="s">
        <v>84</v>
      </c>
      <c r="C1144" s="3" t="s">
        <v>11</v>
      </c>
      <c r="D1144" s="3" t="s">
        <v>12</v>
      </c>
      <c r="E1144" s="3" t="s">
        <v>234</v>
      </c>
      <c r="F1144" s="3" t="n">
        <v>2000</v>
      </c>
      <c r="G1144" s="3"/>
      <c r="H1144" s="3"/>
      <c r="I1144" s="4" t="str">
        <f aca="false">IF(AND($A1144&lt;&gt;"",$A1144=Подбор!$C$4),MAX(I$1:I1143)+1,"")</f>
        <v/>
      </c>
    </row>
    <row r="1145" customFormat="false" ht="15" hidden="false" customHeight="false" outlineLevel="0" collapsed="false">
      <c r="A1145" s="3" t="s">
        <v>1331</v>
      </c>
      <c r="B1145" s="3" t="s">
        <v>84</v>
      </c>
      <c r="C1145" s="3" t="s">
        <v>11</v>
      </c>
      <c r="D1145" s="3" t="s">
        <v>12</v>
      </c>
      <c r="E1145" s="3" t="s">
        <v>1332</v>
      </c>
      <c r="F1145" s="3" t="n">
        <v>30000</v>
      </c>
      <c r="G1145" s="3"/>
      <c r="H1145" s="3"/>
      <c r="I1145" s="4" t="str">
        <f aca="false">IF(AND($A1145&lt;&gt;"",$A1145=Подбор!$C$4),MAX(I$1:I1144)+1,"")</f>
        <v/>
      </c>
    </row>
    <row r="1146" customFormat="false" ht="15" hidden="false" customHeight="false" outlineLevel="0" collapsed="false">
      <c r="A1146" s="3" t="s">
        <v>1333</v>
      </c>
      <c r="B1146" s="3" t="s">
        <v>84</v>
      </c>
      <c r="C1146" s="3" t="s">
        <v>11</v>
      </c>
      <c r="D1146" s="3" t="s">
        <v>12</v>
      </c>
      <c r="E1146" s="3" t="s">
        <v>1202</v>
      </c>
      <c r="F1146" s="3" t="n">
        <v>2400</v>
      </c>
      <c r="G1146" s="3"/>
      <c r="H1146" s="3"/>
      <c r="I1146" s="4" t="str">
        <f aca="false">IF(AND($A1146&lt;&gt;"",$A1146=Подбор!$C$4),MAX(I$1:I1145)+1,"")</f>
        <v/>
      </c>
    </row>
    <row r="1147" customFormat="false" ht="15" hidden="false" customHeight="false" outlineLevel="0" collapsed="false">
      <c r="A1147" s="3" t="s">
        <v>1334</v>
      </c>
      <c r="B1147" s="3" t="s">
        <v>84</v>
      </c>
      <c r="C1147" s="3" t="s">
        <v>11</v>
      </c>
      <c r="D1147" s="3" t="s">
        <v>12</v>
      </c>
      <c r="E1147" s="3" t="s">
        <v>1172</v>
      </c>
      <c r="F1147" s="3" t="n">
        <v>30000</v>
      </c>
      <c r="G1147" s="3"/>
      <c r="H1147" s="3"/>
      <c r="I1147" s="4" t="str">
        <f aca="false">IF(AND($A1147&lt;&gt;"",$A1147=Подбор!$C$4),MAX(I$1:I1146)+1,"")</f>
        <v/>
      </c>
    </row>
    <row r="1148" customFormat="false" ht="15" hidden="false" customHeight="false" outlineLevel="0" collapsed="false">
      <c r="A1148" s="3" t="s">
        <v>1335</v>
      </c>
      <c r="B1148" s="3" t="s">
        <v>40</v>
      </c>
      <c r="C1148" s="3" t="s">
        <v>11</v>
      </c>
      <c r="D1148" s="3" t="s">
        <v>12</v>
      </c>
      <c r="E1148" s="3" t="s">
        <v>1336</v>
      </c>
      <c r="F1148" s="3" t="n">
        <v>17500</v>
      </c>
      <c r="G1148" s="3"/>
      <c r="H1148" s="3"/>
      <c r="I1148" s="4" t="str">
        <f aca="false">IF(AND($A1148&lt;&gt;"",$A1148=Подбор!$C$4),MAX(I$1:I1147)+1,"")</f>
        <v/>
      </c>
    </row>
    <row r="1149" customFormat="false" ht="15" hidden="false" customHeight="false" outlineLevel="0" collapsed="false">
      <c r="A1149" s="3" t="s">
        <v>1337</v>
      </c>
      <c r="B1149" s="3" t="s">
        <v>932</v>
      </c>
      <c r="C1149" s="3" t="s">
        <v>567</v>
      </c>
      <c r="D1149" s="3" t="s">
        <v>12</v>
      </c>
      <c r="E1149" s="3" t="s">
        <v>1338</v>
      </c>
      <c r="F1149" s="3" t="n">
        <v>5000</v>
      </c>
      <c r="G1149" s="3"/>
      <c r="H1149" s="3"/>
      <c r="I1149" s="4" t="str">
        <f aca="false">IF(AND($A1149&lt;&gt;"",$A1149=Подбор!$C$4),MAX(I$1:I1148)+1,"")</f>
        <v/>
      </c>
    </row>
    <row r="1150" customFormat="false" ht="15" hidden="false" customHeight="false" outlineLevel="0" collapsed="false">
      <c r="A1150" s="3" t="s">
        <v>1339</v>
      </c>
      <c r="B1150" s="3" t="s">
        <v>68</v>
      </c>
      <c r="C1150" s="3" t="s">
        <v>11</v>
      </c>
      <c r="D1150" s="3" t="s">
        <v>12</v>
      </c>
      <c r="E1150" s="3" t="s">
        <v>1340</v>
      </c>
      <c r="F1150" s="3" t="n">
        <v>15000</v>
      </c>
      <c r="G1150" s="3"/>
      <c r="H1150" s="3"/>
      <c r="I1150" s="4" t="str">
        <f aca="false">IF(AND($A1150&lt;&gt;"",$A1150=Подбор!$C$4),MAX(I$1:I1149)+1,"")</f>
        <v/>
      </c>
    </row>
    <row r="1151" customFormat="false" ht="15" hidden="false" customHeight="false" outlineLevel="0" collapsed="false">
      <c r="A1151" s="3" t="s">
        <v>1341</v>
      </c>
      <c r="B1151" s="3" t="s">
        <v>68</v>
      </c>
      <c r="C1151" s="3" t="s">
        <v>11</v>
      </c>
      <c r="D1151" s="3" t="s">
        <v>12</v>
      </c>
      <c r="E1151" s="3" t="s">
        <v>1056</v>
      </c>
      <c r="F1151" s="3" t="n">
        <v>15000</v>
      </c>
      <c r="G1151" s="3"/>
      <c r="H1151" s="3"/>
      <c r="I1151" s="4" t="str">
        <f aca="false">IF(AND($A1151&lt;&gt;"",$A1151=Подбор!$C$4),MAX(I$1:I1150)+1,"")</f>
        <v/>
      </c>
    </row>
    <row r="1152" customFormat="false" ht="15" hidden="false" customHeight="false" outlineLevel="0" collapsed="false">
      <c r="A1152" s="3" t="s">
        <v>1342</v>
      </c>
      <c r="B1152" s="3" t="s">
        <v>68</v>
      </c>
      <c r="C1152" s="3" t="s">
        <v>11</v>
      </c>
      <c r="D1152" s="3" t="s">
        <v>12</v>
      </c>
      <c r="E1152" s="3" t="s">
        <v>1343</v>
      </c>
      <c r="F1152" s="3" t="n">
        <v>20000</v>
      </c>
      <c r="G1152" s="3"/>
      <c r="H1152" s="3"/>
      <c r="I1152" s="4" t="str">
        <f aca="false">IF(AND($A1152&lt;&gt;"",$A1152=Подбор!$C$4),MAX(I$1:I1151)+1,"")</f>
        <v/>
      </c>
    </row>
    <row r="1153" customFormat="false" ht="15" hidden="false" customHeight="false" outlineLevel="0" collapsed="false">
      <c r="A1153" s="3" t="s">
        <v>1344</v>
      </c>
      <c r="B1153" s="3" t="s">
        <v>68</v>
      </c>
      <c r="C1153" s="3" t="s">
        <v>11</v>
      </c>
      <c r="D1153" s="3" t="s">
        <v>12</v>
      </c>
      <c r="E1153" s="3" t="s">
        <v>1345</v>
      </c>
      <c r="F1153" s="3" t="n">
        <v>6000</v>
      </c>
      <c r="G1153" s="3"/>
      <c r="H1153" s="3"/>
      <c r="I1153" s="4" t="str">
        <f aca="false">IF(AND($A1153&lt;&gt;"",$A1153=Подбор!$C$4),MAX(I$1:I1152)+1,"")</f>
        <v/>
      </c>
    </row>
    <row r="1154" customFormat="false" ht="15" hidden="false" customHeight="false" outlineLevel="0" collapsed="false">
      <c r="A1154" s="3" t="s">
        <v>1346</v>
      </c>
      <c r="B1154" s="3" t="s">
        <v>68</v>
      </c>
      <c r="C1154" s="3" t="s">
        <v>11</v>
      </c>
      <c r="D1154" s="3" t="s">
        <v>12</v>
      </c>
      <c r="E1154" s="3" t="s">
        <v>1347</v>
      </c>
      <c r="F1154" s="3" t="n">
        <v>15000</v>
      </c>
      <c r="G1154" s="3"/>
      <c r="H1154" s="3"/>
      <c r="I1154" s="4" t="str">
        <f aca="false">IF(AND($A1154&lt;&gt;"",$A1154=Подбор!$C$4),MAX(I$1:I1153)+1,"")</f>
        <v/>
      </c>
    </row>
    <row r="1155" customFormat="false" ht="15" hidden="false" customHeight="false" outlineLevel="0" collapsed="false">
      <c r="A1155" s="3" t="s">
        <v>1348</v>
      </c>
      <c r="B1155" s="3" t="s">
        <v>84</v>
      </c>
      <c r="C1155" s="3" t="s">
        <v>11</v>
      </c>
      <c r="D1155" s="3" t="s">
        <v>12</v>
      </c>
      <c r="E1155" s="3" t="s">
        <v>1120</v>
      </c>
      <c r="F1155" s="3" t="n">
        <v>30000</v>
      </c>
      <c r="G1155" s="3"/>
      <c r="H1155" s="3"/>
      <c r="I1155" s="4" t="str">
        <f aca="false">IF(AND($A1155&lt;&gt;"",$A1155=Подбор!$C$4),MAX(I$1:I1154)+1,"")</f>
        <v/>
      </c>
    </row>
    <row r="1156" customFormat="false" ht="15" hidden="false" customHeight="false" outlineLevel="0" collapsed="false">
      <c r="A1156" s="3" t="s">
        <v>1349</v>
      </c>
      <c r="B1156" s="3" t="s">
        <v>110</v>
      </c>
      <c r="C1156" s="3" t="s">
        <v>11</v>
      </c>
      <c r="D1156" s="3" t="s">
        <v>12</v>
      </c>
      <c r="E1156" s="3" t="s">
        <v>1350</v>
      </c>
      <c r="F1156" s="3" t="n">
        <v>25000</v>
      </c>
      <c r="G1156" s="3"/>
      <c r="H1156" s="3"/>
      <c r="I1156" s="4" t="str">
        <f aca="false">IF(AND($A1156&lt;&gt;"",$A1156=Подбор!$C$4),MAX(I$1:I1155)+1,"")</f>
        <v/>
      </c>
    </row>
    <row r="1157" customFormat="false" ht="15" hidden="false" customHeight="false" outlineLevel="0" collapsed="false">
      <c r="A1157" s="3" t="s">
        <v>1351</v>
      </c>
      <c r="B1157" s="3" t="s">
        <v>110</v>
      </c>
      <c r="C1157" s="3" t="s">
        <v>11</v>
      </c>
      <c r="D1157" s="3" t="s">
        <v>12</v>
      </c>
      <c r="E1157" s="3" t="s">
        <v>1139</v>
      </c>
      <c r="F1157" s="3" t="n">
        <v>1500</v>
      </c>
      <c r="G1157" s="3"/>
      <c r="H1157" s="3"/>
      <c r="I1157" s="4" t="str">
        <f aca="false">IF(AND($A1157&lt;&gt;"",$A1157=Подбор!$C$4),MAX(I$1:I1156)+1,"")</f>
        <v/>
      </c>
    </row>
    <row r="1158" customFormat="false" ht="15" hidden="false" customHeight="false" outlineLevel="0" collapsed="false">
      <c r="A1158" s="3" t="s">
        <v>1352</v>
      </c>
      <c r="B1158" s="3" t="s">
        <v>110</v>
      </c>
      <c r="C1158" s="3" t="s">
        <v>11</v>
      </c>
      <c r="D1158" s="3" t="s">
        <v>12</v>
      </c>
      <c r="E1158" s="3" t="s">
        <v>1353</v>
      </c>
      <c r="F1158" s="3" t="n">
        <v>6000</v>
      </c>
      <c r="G1158" s="3"/>
      <c r="H1158" s="3"/>
      <c r="I1158" s="4" t="str">
        <f aca="false">IF(AND($A1158&lt;&gt;"",$A1158=Подбор!$C$4),MAX(I$1:I1157)+1,"")</f>
        <v/>
      </c>
    </row>
    <row r="1159" customFormat="false" ht="15" hidden="false" customHeight="false" outlineLevel="0" collapsed="false">
      <c r="A1159" s="3" t="s">
        <v>1354</v>
      </c>
      <c r="B1159" s="3" t="s">
        <v>110</v>
      </c>
      <c r="C1159" s="3" t="s">
        <v>11</v>
      </c>
      <c r="D1159" s="3" t="s">
        <v>12</v>
      </c>
      <c r="E1159" s="3" t="s">
        <v>1355</v>
      </c>
      <c r="F1159" s="3" t="n">
        <v>25000</v>
      </c>
      <c r="G1159" s="3"/>
      <c r="H1159" s="3"/>
      <c r="I1159" s="4" t="str">
        <f aca="false">IF(AND($A1159&lt;&gt;"",$A1159=Подбор!$C$4),MAX(I$1:I1158)+1,"")</f>
        <v/>
      </c>
    </row>
    <row r="1160" customFormat="false" ht="15" hidden="false" customHeight="false" outlineLevel="0" collapsed="false">
      <c r="A1160" s="3" t="s">
        <v>1356</v>
      </c>
      <c r="B1160" s="3" t="s">
        <v>110</v>
      </c>
      <c r="C1160" s="3" t="s">
        <v>11</v>
      </c>
      <c r="D1160" s="3" t="s">
        <v>12</v>
      </c>
      <c r="E1160" s="3" t="s">
        <v>1357</v>
      </c>
      <c r="F1160" s="3" t="n">
        <v>25000</v>
      </c>
      <c r="G1160" s="3"/>
      <c r="H1160" s="3"/>
      <c r="I1160" s="4" t="str">
        <f aca="false">IF(AND($A1160&lt;&gt;"",$A1160=Подбор!$C$4),MAX(I$1:I1159)+1,"")</f>
        <v/>
      </c>
    </row>
    <row r="1161" customFormat="false" ht="15" hidden="false" customHeight="false" outlineLevel="0" collapsed="false">
      <c r="A1161" s="3" t="s">
        <v>1358</v>
      </c>
      <c r="B1161" s="3" t="s">
        <v>110</v>
      </c>
      <c r="C1161" s="3" t="s">
        <v>11</v>
      </c>
      <c r="D1161" s="3" t="s">
        <v>12</v>
      </c>
      <c r="E1161" s="3" t="s">
        <v>1357</v>
      </c>
      <c r="F1161" s="3" t="n">
        <v>25000</v>
      </c>
      <c r="G1161" s="3"/>
      <c r="H1161" s="3"/>
      <c r="I1161" s="4" t="str">
        <f aca="false">IF(AND($A1161&lt;&gt;"",$A1161=Подбор!$C$4),MAX(I$1:I1160)+1,"")</f>
        <v/>
      </c>
    </row>
    <row r="1162" customFormat="false" ht="15" hidden="false" customHeight="false" outlineLevel="0" collapsed="false">
      <c r="A1162" s="3" t="s">
        <v>1359</v>
      </c>
      <c r="B1162" s="3" t="s">
        <v>110</v>
      </c>
      <c r="C1162" s="3" t="s">
        <v>11</v>
      </c>
      <c r="D1162" s="3" t="s">
        <v>12</v>
      </c>
      <c r="E1162" s="3" t="s">
        <v>1360</v>
      </c>
      <c r="F1162" s="3" t="n">
        <v>2500</v>
      </c>
      <c r="G1162" s="3"/>
      <c r="H1162" s="3"/>
      <c r="I1162" s="4" t="str">
        <f aca="false">IF(AND($A1162&lt;&gt;"",$A1162=Подбор!$C$4),MAX(I$1:I1161)+1,"")</f>
        <v/>
      </c>
    </row>
    <row r="1163" customFormat="false" ht="15" hidden="false" customHeight="false" outlineLevel="0" collapsed="false">
      <c r="A1163" s="3" t="s">
        <v>1361</v>
      </c>
      <c r="B1163" s="3" t="s">
        <v>110</v>
      </c>
      <c r="C1163" s="3" t="s">
        <v>11</v>
      </c>
      <c r="D1163" s="3" t="s">
        <v>12</v>
      </c>
      <c r="E1163" s="3" t="s">
        <v>1360</v>
      </c>
      <c r="F1163" s="3" t="n">
        <v>2500</v>
      </c>
      <c r="G1163" s="3"/>
      <c r="H1163" s="3"/>
      <c r="I1163" s="4" t="str">
        <f aca="false">IF(AND($A1163&lt;&gt;"",$A1163=Подбор!$C$4),MAX(I$1:I1162)+1,"")</f>
        <v/>
      </c>
    </row>
    <row r="1164" customFormat="false" ht="15" hidden="false" customHeight="false" outlineLevel="0" collapsed="false">
      <c r="A1164" s="3" t="s">
        <v>1362</v>
      </c>
      <c r="B1164" s="3" t="s">
        <v>110</v>
      </c>
      <c r="C1164" s="3" t="s">
        <v>11</v>
      </c>
      <c r="D1164" s="3" t="s">
        <v>12</v>
      </c>
      <c r="E1164" s="3" t="s">
        <v>111</v>
      </c>
      <c r="F1164" s="3" t="n">
        <v>3000</v>
      </c>
      <c r="G1164" s="3"/>
      <c r="H1164" s="3"/>
      <c r="I1164" s="4" t="str">
        <f aca="false">IF(AND($A1164&lt;&gt;"",$A1164=Подбор!$C$4),MAX(I$1:I1163)+1,"")</f>
        <v/>
      </c>
    </row>
    <row r="1165" customFormat="false" ht="15" hidden="false" customHeight="false" outlineLevel="0" collapsed="false">
      <c r="A1165" s="3" t="s">
        <v>1363</v>
      </c>
      <c r="B1165" s="3" t="s">
        <v>110</v>
      </c>
      <c r="C1165" s="3" t="s">
        <v>11</v>
      </c>
      <c r="D1165" s="3" t="s">
        <v>12</v>
      </c>
      <c r="E1165" s="3" t="s">
        <v>111</v>
      </c>
      <c r="F1165" s="3" t="n">
        <v>3000</v>
      </c>
      <c r="G1165" s="3"/>
      <c r="H1165" s="3"/>
      <c r="I1165" s="4" t="str">
        <f aca="false">IF(AND($A1165&lt;&gt;"",$A1165=Подбор!$C$4),MAX(I$1:I1164)+1,"")</f>
        <v/>
      </c>
    </row>
    <row r="1166" customFormat="false" ht="15" hidden="false" customHeight="false" outlineLevel="0" collapsed="false">
      <c r="A1166" s="3" t="s">
        <v>1364</v>
      </c>
      <c r="B1166" s="3" t="s">
        <v>110</v>
      </c>
      <c r="C1166" s="3" t="s">
        <v>11</v>
      </c>
      <c r="D1166" s="3" t="s">
        <v>12</v>
      </c>
      <c r="E1166" s="3" t="s">
        <v>204</v>
      </c>
      <c r="F1166" s="3" t="n">
        <v>15000</v>
      </c>
      <c r="G1166" s="3"/>
      <c r="H1166" s="3"/>
      <c r="I1166" s="4" t="str">
        <f aca="false">IF(AND($A1166&lt;&gt;"",$A1166=Подбор!$C$4),MAX(I$1:I1165)+1,"")</f>
        <v/>
      </c>
    </row>
    <row r="1167" customFormat="false" ht="15" hidden="false" customHeight="false" outlineLevel="0" collapsed="false">
      <c r="A1167" s="3" t="s">
        <v>1365</v>
      </c>
      <c r="B1167" s="3" t="s">
        <v>84</v>
      </c>
      <c r="C1167" s="3" t="s">
        <v>11</v>
      </c>
      <c r="D1167" s="3" t="s">
        <v>12</v>
      </c>
      <c r="E1167" s="3" t="s">
        <v>1167</v>
      </c>
      <c r="F1167" s="3" t="n">
        <v>30000</v>
      </c>
      <c r="G1167" s="3"/>
      <c r="H1167" s="3"/>
      <c r="I1167" s="4" t="str">
        <f aca="false">IF(AND($A1167&lt;&gt;"",$A1167=Подбор!$C$4),MAX(I$1:I1166)+1,"")</f>
        <v/>
      </c>
    </row>
    <row r="1168" customFormat="false" ht="15" hidden="false" customHeight="false" outlineLevel="0" collapsed="false">
      <c r="A1168" s="3" t="s">
        <v>1366</v>
      </c>
      <c r="B1168" s="3" t="s">
        <v>57</v>
      </c>
      <c r="C1168" s="3" t="s">
        <v>567</v>
      </c>
      <c r="D1168" s="3" t="s">
        <v>12</v>
      </c>
      <c r="E1168" s="3" t="s">
        <v>1234</v>
      </c>
      <c r="F1168" s="3" t="n">
        <v>190</v>
      </c>
      <c r="G1168" s="3"/>
      <c r="H1168" s="3"/>
      <c r="I1168" s="4" t="str">
        <f aca="false">IF(AND($A1168&lt;&gt;"",$A1168=Подбор!$C$4),MAX(I$1:I1167)+1,"")</f>
        <v/>
      </c>
    </row>
    <row r="1169" customFormat="false" ht="15" hidden="false" customHeight="false" outlineLevel="0" collapsed="false">
      <c r="A1169" s="3" t="s">
        <v>1367</v>
      </c>
      <c r="B1169" s="3" t="s">
        <v>57</v>
      </c>
      <c r="C1169" s="3" t="s">
        <v>567</v>
      </c>
      <c r="D1169" s="3" t="s">
        <v>12</v>
      </c>
      <c r="E1169" s="3" t="s">
        <v>1368</v>
      </c>
      <c r="F1169" s="3" t="n">
        <v>190</v>
      </c>
      <c r="G1169" s="3"/>
      <c r="H1169" s="3"/>
      <c r="I1169" s="4" t="str">
        <f aca="false">IF(AND($A1169&lt;&gt;"",$A1169=Подбор!$C$4),MAX(I$1:I1168)+1,"")</f>
        <v/>
      </c>
    </row>
    <row r="1170" customFormat="false" ht="15" hidden="false" customHeight="false" outlineLevel="0" collapsed="false">
      <c r="A1170" s="3" t="s">
        <v>1369</v>
      </c>
      <c r="B1170" s="3" t="s">
        <v>10</v>
      </c>
      <c r="C1170" s="3" t="s">
        <v>11</v>
      </c>
      <c r="D1170" s="3" t="s">
        <v>12</v>
      </c>
      <c r="E1170" s="3" t="s">
        <v>1370</v>
      </c>
      <c r="F1170" s="3" t="n">
        <v>1500</v>
      </c>
      <c r="G1170" s="3"/>
      <c r="H1170" s="3"/>
      <c r="I1170" s="4" t="str">
        <f aca="false">IF(AND($A1170&lt;&gt;"",$A1170=Подбор!$C$4),MAX(I$1:I1169)+1,"")</f>
        <v/>
      </c>
    </row>
    <row r="1171" customFormat="false" ht="15" hidden="false" customHeight="false" outlineLevel="0" collapsed="false">
      <c r="A1171" s="3" t="s">
        <v>1371</v>
      </c>
      <c r="B1171" s="3" t="s">
        <v>932</v>
      </c>
      <c r="C1171" s="3" t="s">
        <v>567</v>
      </c>
      <c r="D1171" s="3" t="s">
        <v>12</v>
      </c>
      <c r="E1171" s="3" t="s">
        <v>1211</v>
      </c>
      <c r="F1171" s="3" t="n">
        <v>4500</v>
      </c>
      <c r="G1171" s="3"/>
      <c r="H1171" s="3"/>
      <c r="I1171" s="4" t="str">
        <f aca="false">IF(AND($A1171&lt;&gt;"",$A1171=Подбор!$C$4),MAX(I$1:I1170)+1,"")</f>
        <v/>
      </c>
    </row>
    <row r="1172" customFormat="false" ht="15" hidden="false" customHeight="false" outlineLevel="0" collapsed="false">
      <c r="A1172" s="3" t="s">
        <v>1372</v>
      </c>
      <c r="B1172" s="3" t="s">
        <v>34</v>
      </c>
      <c r="C1172" s="3" t="s">
        <v>11</v>
      </c>
      <c r="D1172" s="3" t="s">
        <v>12</v>
      </c>
      <c r="E1172" s="3" t="s">
        <v>576</v>
      </c>
      <c r="F1172" s="3" t="n">
        <v>6000</v>
      </c>
      <c r="G1172" s="3"/>
      <c r="H1172" s="3"/>
      <c r="I1172" s="4" t="str">
        <f aca="false">IF(AND($A1172&lt;&gt;"",$A1172=Подбор!$C$4),MAX(I$1:I1171)+1,"")</f>
        <v/>
      </c>
    </row>
    <row r="1173" customFormat="false" ht="15" hidden="false" customHeight="false" outlineLevel="0" collapsed="false">
      <c r="A1173" s="3" t="s">
        <v>1373</v>
      </c>
      <c r="B1173" s="3" t="s">
        <v>34</v>
      </c>
      <c r="C1173" s="3" t="s">
        <v>11</v>
      </c>
      <c r="D1173" s="3" t="s">
        <v>12</v>
      </c>
      <c r="E1173" s="3" t="s">
        <v>570</v>
      </c>
      <c r="F1173" s="3" t="n">
        <v>1600</v>
      </c>
      <c r="G1173" s="3"/>
      <c r="H1173" s="3"/>
      <c r="I1173" s="4" t="str">
        <f aca="false">IF(AND($A1173&lt;&gt;"",$A1173=Подбор!$C$4),MAX(I$1:I1172)+1,"")</f>
        <v/>
      </c>
    </row>
    <row r="1174" customFormat="false" ht="15" hidden="false" customHeight="false" outlineLevel="0" collapsed="false">
      <c r="A1174" s="3" t="s">
        <v>1374</v>
      </c>
      <c r="B1174" s="3" t="s">
        <v>110</v>
      </c>
      <c r="C1174" s="3" t="s">
        <v>11</v>
      </c>
      <c r="D1174" s="3" t="s">
        <v>12</v>
      </c>
      <c r="E1174" s="3" t="s">
        <v>192</v>
      </c>
      <c r="F1174" s="3" t="n">
        <v>1000</v>
      </c>
      <c r="G1174" s="3"/>
      <c r="H1174" s="3"/>
      <c r="I1174" s="4" t="str">
        <f aca="false">IF(AND($A1174&lt;&gt;"",$A1174=Подбор!$C$4),MAX(I$1:I1173)+1,"")</f>
        <v/>
      </c>
    </row>
    <row r="1175" customFormat="false" ht="15" hidden="false" customHeight="false" outlineLevel="0" collapsed="false">
      <c r="A1175" s="3" t="s">
        <v>1375</v>
      </c>
      <c r="B1175" s="3" t="s">
        <v>10</v>
      </c>
      <c r="C1175" s="3" t="s">
        <v>11</v>
      </c>
      <c r="D1175" s="3" t="s">
        <v>12</v>
      </c>
      <c r="E1175" s="3" t="s">
        <v>330</v>
      </c>
      <c r="F1175" s="3" t="n">
        <v>3000</v>
      </c>
      <c r="G1175" s="3"/>
      <c r="H1175" s="3"/>
      <c r="I1175" s="4" t="str">
        <f aca="false">IF(AND($A1175&lt;&gt;"",$A1175=Подбор!$C$4),MAX(I$1:I1174)+1,"")</f>
        <v/>
      </c>
    </row>
    <row r="1176" customFormat="false" ht="15" hidden="false" customHeight="false" outlineLevel="0" collapsed="false">
      <c r="A1176" s="3" t="s">
        <v>1376</v>
      </c>
      <c r="B1176" s="3" t="s">
        <v>34</v>
      </c>
      <c r="C1176" s="3" t="s">
        <v>11</v>
      </c>
      <c r="D1176" s="3" t="s">
        <v>12</v>
      </c>
      <c r="E1176" s="3" t="s">
        <v>1377</v>
      </c>
      <c r="F1176" s="3" t="n">
        <v>1600</v>
      </c>
      <c r="G1176" s="3"/>
      <c r="H1176" s="3"/>
      <c r="I1176" s="4" t="str">
        <f aca="false">IF(AND($A1176&lt;&gt;"",$A1176=Подбор!$C$4),MAX(I$1:I1175)+1,"")</f>
        <v/>
      </c>
    </row>
    <row r="1177" customFormat="false" ht="15" hidden="false" customHeight="false" outlineLevel="0" collapsed="false">
      <c r="A1177" s="3" t="s">
        <v>1378</v>
      </c>
      <c r="B1177" s="3" t="s">
        <v>84</v>
      </c>
      <c r="C1177" s="3" t="s">
        <v>567</v>
      </c>
      <c r="D1177" s="3" t="s">
        <v>12</v>
      </c>
      <c r="E1177" s="3" t="s">
        <v>1379</v>
      </c>
      <c r="F1177" s="3" t="n">
        <v>180</v>
      </c>
      <c r="G1177" s="3"/>
      <c r="H1177" s="3"/>
      <c r="I1177" s="4" t="str">
        <f aca="false">IF(AND($A1177&lt;&gt;"",$A1177=Подбор!$C$4),MAX(I$1:I1176)+1,"")</f>
        <v/>
      </c>
    </row>
    <row r="1178" customFormat="false" ht="15" hidden="false" customHeight="false" outlineLevel="0" collapsed="false">
      <c r="A1178" s="3" t="s">
        <v>1380</v>
      </c>
      <c r="B1178" s="3" t="s">
        <v>84</v>
      </c>
      <c r="C1178" s="3" t="s">
        <v>567</v>
      </c>
      <c r="D1178" s="3" t="s">
        <v>12</v>
      </c>
      <c r="E1178" s="3" t="s">
        <v>1024</v>
      </c>
      <c r="F1178" s="3" t="n">
        <v>6000</v>
      </c>
      <c r="G1178" s="3"/>
      <c r="H1178" s="3"/>
      <c r="I1178" s="4" t="str">
        <f aca="false">IF(AND($A1178&lt;&gt;"",$A1178=Подбор!$C$4),MAX(I$1:I1177)+1,"")</f>
        <v/>
      </c>
    </row>
    <row r="1179" customFormat="false" ht="15" hidden="false" customHeight="false" outlineLevel="0" collapsed="false">
      <c r="A1179" s="3" t="s">
        <v>1381</v>
      </c>
      <c r="B1179" s="3" t="s">
        <v>57</v>
      </c>
      <c r="C1179" s="3" t="s">
        <v>567</v>
      </c>
      <c r="D1179" s="3" t="s">
        <v>12</v>
      </c>
      <c r="E1179" s="3" t="s">
        <v>1382</v>
      </c>
      <c r="F1179" s="3" t="n">
        <v>1200</v>
      </c>
      <c r="G1179" s="3"/>
      <c r="H1179" s="3"/>
      <c r="I1179" s="4" t="str">
        <f aca="false">IF(AND($A1179&lt;&gt;"",$A1179=Подбор!$C$4),MAX(I$1:I1178)+1,"")</f>
        <v/>
      </c>
    </row>
    <row r="1180" customFormat="false" ht="15" hidden="false" customHeight="false" outlineLevel="0" collapsed="false">
      <c r="A1180" s="3" t="s">
        <v>1383</v>
      </c>
      <c r="B1180" s="3" t="s">
        <v>472</v>
      </c>
      <c r="C1180" s="3" t="s">
        <v>11</v>
      </c>
      <c r="D1180" s="3" t="s">
        <v>12</v>
      </c>
      <c r="E1180" s="3" t="n">
        <v>407971</v>
      </c>
      <c r="F1180" s="3" t="n">
        <v>1000</v>
      </c>
      <c r="G1180" s="3"/>
      <c r="H1180" s="3"/>
      <c r="I1180" s="4" t="str">
        <f aca="false">IF(AND($A1180&lt;&gt;"",$A1180=Подбор!$C$4),MAX(I$1:I1179)+1,"")</f>
        <v/>
      </c>
    </row>
    <row r="1181" customFormat="false" ht="15" hidden="false" customHeight="false" outlineLevel="0" collapsed="false">
      <c r="A1181" s="3" t="s">
        <v>1384</v>
      </c>
      <c r="B1181" s="3" t="s">
        <v>110</v>
      </c>
      <c r="C1181" s="3" t="s">
        <v>11</v>
      </c>
      <c r="D1181" s="3" t="s">
        <v>12</v>
      </c>
      <c r="E1181" s="3" t="s">
        <v>1385</v>
      </c>
      <c r="F1181" s="3" t="n">
        <v>10000</v>
      </c>
      <c r="G1181" s="3"/>
      <c r="H1181" s="3"/>
      <c r="I1181" s="4" t="str">
        <f aca="false">IF(AND($A1181&lt;&gt;"",$A1181=Подбор!$C$4),MAX(I$1:I1180)+1,"")</f>
        <v/>
      </c>
    </row>
    <row r="1182" customFormat="false" ht="15" hidden="false" customHeight="false" outlineLevel="0" collapsed="false">
      <c r="A1182" s="3" t="s">
        <v>1386</v>
      </c>
      <c r="B1182" s="3" t="s">
        <v>1180</v>
      </c>
      <c r="C1182" s="3" t="s">
        <v>15</v>
      </c>
      <c r="D1182" s="3" t="s">
        <v>15</v>
      </c>
      <c r="E1182" s="3" t="s">
        <v>15</v>
      </c>
      <c r="F1182" s="3"/>
      <c r="G1182" s="3"/>
      <c r="H1182" s="3"/>
      <c r="I1182" s="4" t="str">
        <f aca="false">IF(AND($A1182&lt;&gt;"",$A1182=Подбор!$C$4),MAX(I$1:I1181)+1,"")</f>
        <v/>
      </c>
    </row>
    <row r="1183" customFormat="false" ht="15" hidden="false" customHeight="false" outlineLevel="0" collapsed="false">
      <c r="A1183" s="3" t="s">
        <v>1387</v>
      </c>
      <c r="B1183" s="3" t="s">
        <v>552</v>
      </c>
      <c r="C1183" s="3" t="s">
        <v>15</v>
      </c>
      <c r="D1183" s="3" t="s">
        <v>15</v>
      </c>
      <c r="E1183" s="3" t="s">
        <v>15</v>
      </c>
      <c r="F1183" s="3"/>
      <c r="G1183" s="3"/>
      <c r="H1183" s="3"/>
      <c r="I1183" s="4" t="str">
        <f aca="false">IF(AND($A1183&lt;&gt;"",$A1183=Подбор!$C$4),MAX(I$1:I1182)+1,"")</f>
        <v/>
      </c>
    </row>
    <row r="1184" customFormat="false" ht="15" hidden="false" customHeight="false" outlineLevel="0" collapsed="false">
      <c r="A1184" s="3" t="s">
        <v>1388</v>
      </c>
      <c r="B1184" s="3" t="s">
        <v>110</v>
      </c>
      <c r="C1184" s="3" t="s">
        <v>11</v>
      </c>
      <c r="D1184" s="3" t="s">
        <v>12</v>
      </c>
      <c r="E1184" s="3" t="s">
        <v>1389</v>
      </c>
      <c r="F1184" s="3" t="n">
        <v>1500</v>
      </c>
      <c r="G1184" s="3"/>
      <c r="H1184" s="3"/>
      <c r="I1184" s="4" t="str">
        <f aca="false">IF(AND($A1184&lt;&gt;"",$A1184=Подбор!$C$4),MAX(I$1:I1183)+1,"")</f>
        <v/>
      </c>
    </row>
    <row r="1185" customFormat="false" ht="15" hidden="false" customHeight="false" outlineLevel="0" collapsed="false">
      <c r="A1185" s="3" t="s">
        <v>1390</v>
      </c>
      <c r="B1185" s="3" t="s">
        <v>57</v>
      </c>
      <c r="C1185" s="3" t="s">
        <v>11</v>
      </c>
      <c r="D1185" s="3" t="s">
        <v>12</v>
      </c>
      <c r="E1185" s="3" t="s">
        <v>646</v>
      </c>
      <c r="F1185" s="3" t="n">
        <v>1000</v>
      </c>
      <c r="G1185" s="3"/>
      <c r="H1185" s="3"/>
      <c r="I1185" s="4" t="str">
        <f aca="false">IF(AND($A1185&lt;&gt;"",$A1185=Подбор!$C$4),MAX(I$1:I1184)+1,"")</f>
        <v/>
      </c>
    </row>
    <row r="1186" customFormat="false" ht="15" hidden="false" customHeight="false" outlineLevel="0" collapsed="false">
      <c r="A1186" s="3" t="s">
        <v>1391</v>
      </c>
      <c r="B1186" s="3" t="s">
        <v>84</v>
      </c>
      <c r="C1186" s="3" t="s">
        <v>11</v>
      </c>
      <c r="D1186" s="3" t="s">
        <v>12</v>
      </c>
      <c r="E1186" s="3" t="s">
        <v>1392</v>
      </c>
      <c r="F1186" s="3" t="n">
        <v>30000</v>
      </c>
      <c r="G1186" s="3"/>
      <c r="H1186" s="3"/>
      <c r="I1186" s="4" t="str">
        <f aca="false">IF(AND($A1186&lt;&gt;"",$A1186=Подбор!$C$4),MAX(I$1:I1185)+1,"")</f>
        <v/>
      </c>
    </row>
    <row r="1187" customFormat="false" ht="15" hidden="false" customHeight="false" outlineLevel="0" collapsed="false">
      <c r="A1187" s="3" t="s">
        <v>1393</v>
      </c>
      <c r="B1187" s="3" t="s">
        <v>10</v>
      </c>
      <c r="C1187" s="3" t="s">
        <v>11</v>
      </c>
      <c r="D1187" s="3" t="s">
        <v>12</v>
      </c>
      <c r="E1187" s="3" t="s">
        <v>306</v>
      </c>
      <c r="F1187" s="3" t="n">
        <v>30000</v>
      </c>
      <c r="G1187" s="3"/>
      <c r="H1187" s="3" t="s">
        <v>1394</v>
      </c>
      <c r="I1187" s="4" t="str">
        <f aca="false">IF(AND($A1187&lt;&gt;"",$A1187=Подбор!$C$4),MAX(I$1:I1186)+1,"")</f>
        <v/>
      </c>
    </row>
    <row r="1188" customFormat="false" ht="15" hidden="false" customHeight="false" outlineLevel="0" collapsed="false">
      <c r="A1188" s="3" t="s">
        <v>339</v>
      </c>
      <c r="B1188" s="3" t="s">
        <v>10</v>
      </c>
      <c r="C1188" s="3" t="s">
        <v>14</v>
      </c>
      <c r="D1188" s="3" t="s">
        <v>21</v>
      </c>
      <c r="E1188" s="3" t="s">
        <v>1395</v>
      </c>
      <c r="F1188" s="3" t="n">
        <v>48000</v>
      </c>
      <c r="G1188" s="3"/>
      <c r="H1188" s="3"/>
      <c r="I1188" s="4" t="str">
        <f aca="false">IF(AND($A1188&lt;&gt;"",$A1188=Подбор!$C$4),MAX(I$1:I1187)+1,"")</f>
        <v/>
      </c>
    </row>
    <row r="1189" customFormat="false" ht="15" hidden="false" customHeight="false" outlineLevel="0" collapsed="false">
      <c r="A1189" s="3" t="s">
        <v>339</v>
      </c>
      <c r="B1189" s="3" t="s">
        <v>10</v>
      </c>
      <c r="C1189" s="3" t="s">
        <v>14</v>
      </c>
      <c r="D1189" s="3" t="s">
        <v>23</v>
      </c>
      <c r="E1189" s="3" t="s">
        <v>1396</v>
      </c>
      <c r="F1189" s="3" t="n">
        <v>48000</v>
      </c>
      <c r="G1189" s="3"/>
      <c r="H1189" s="3"/>
      <c r="I1189" s="4" t="str">
        <f aca="false">IF(AND($A1189&lt;&gt;"",$A1189=Подбор!$C$4),MAX(I$1:I1188)+1,"")</f>
        <v/>
      </c>
    </row>
    <row r="1190" customFormat="false" ht="15" hidden="false" customHeight="false" outlineLevel="0" collapsed="false">
      <c r="A1190" s="3" t="s">
        <v>339</v>
      </c>
      <c r="B1190" s="3" t="s">
        <v>10</v>
      </c>
      <c r="C1190" s="3" t="s">
        <v>14</v>
      </c>
      <c r="D1190" s="3" t="s">
        <v>25</v>
      </c>
      <c r="E1190" s="3" t="s">
        <v>1397</v>
      </c>
      <c r="F1190" s="3" t="n">
        <v>48000</v>
      </c>
      <c r="G1190" s="3"/>
      <c r="H1190" s="3"/>
      <c r="I1190" s="4" t="str">
        <f aca="false">IF(AND($A1190&lt;&gt;"",$A1190=Подбор!$C$4),MAX(I$1:I1189)+1,"")</f>
        <v/>
      </c>
    </row>
    <row r="1191" customFormat="false" ht="15" hidden="false" customHeight="false" outlineLevel="0" collapsed="false">
      <c r="A1191" s="3" t="s">
        <v>1318</v>
      </c>
      <c r="B1191" s="3" t="s">
        <v>68</v>
      </c>
      <c r="C1191" s="3" t="s">
        <v>11</v>
      </c>
      <c r="D1191" s="3" t="s">
        <v>21</v>
      </c>
      <c r="E1191" s="3" t="s">
        <v>1398</v>
      </c>
      <c r="F1191" s="3" t="n">
        <v>6000</v>
      </c>
      <c r="G1191" s="3"/>
      <c r="H1191" s="3"/>
      <c r="I1191" s="4" t="str">
        <f aca="false">IF(AND($A1191&lt;&gt;"",$A1191=Подбор!$C$4),MAX(I$1:I1190)+1,"")</f>
        <v/>
      </c>
    </row>
    <row r="1192" customFormat="false" ht="15" hidden="false" customHeight="false" outlineLevel="0" collapsed="false">
      <c r="A1192" s="3" t="s">
        <v>1318</v>
      </c>
      <c r="B1192" s="3" t="s">
        <v>68</v>
      </c>
      <c r="C1192" s="3" t="s">
        <v>11</v>
      </c>
      <c r="D1192" s="3" t="s">
        <v>23</v>
      </c>
      <c r="E1192" s="3" t="s">
        <v>1399</v>
      </c>
      <c r="F1192" s="3" t="n">
        <v>6000</v>
      </c>
      <c r="G1192" s="3"/>
      <c r="H1192" s="3"/>
      <c r="I1192" s="4" t="str">
        <f aca="false">IF(AND($A1192&lt;&gt;"",$A1192=Подбор!$C$4),MAX(I$1:I1191)+1,"")</f>
        <v/>
      </c>
    </row>
    <row r="1193" customFormat="false" ht="15" hidden="false" customHeight="false" outlineLevel="0" collapsed="false">
      <c r="A1193" s="3" t="s">
        <v>1318</v>
      </c>
      <c r="B1193" s="3" t="s">
        <v>68</v>
      </c>
      <c r="C1193" s="3" t="s">
        <v>11</v>
      </c>
      <c r="D1193" s="3" t="s">
        <v>25</v>
      </c>
      <c r="E1193" s="3" t="s">
        <v>1400</v>
      </c>
      <c r="F1193" s="3" t="n">
        <v>6000</v>
      </c>
      <c r="G1193" s="3"/>
      <c r="H1193" s="3"/>
      <c r="I1193" s="4" t="str">
        <f aca="false">IF(AND($A1193&lt;&gt;"",$A1193=Подбор!$C$4),MAX(I$1:I1192)+1,"")</f>
        <v/>
      </c>
    </row>
    <row r="1194" customFormat="false" ht="15" hidden="false" customHeight="false" outlineLevel="0" collapsed="false">
      <c r="A1194" s="3" t="s">
        <v>1320</v>
      </c>
      <c r="B1194" s="3" t="s">
        <v>68</v>
      </c>
      <c r="C1194" s="3" t="s">
        <v>11</v>
      </c>
      <c r="D1194" s="3" t="s">
        <v>21</v>
      </c>
      <c r="E1194" s="3" t="s">
        <v>1398</v>
      </c>
      <c r="F1194" s="3" t="n">
        <v>6000</v>
      </c>
      <c r="G1194" s="3"/>
      <c r="H1194" s="3"/>
      <c r="I1194" s="4" t="str">
        <f aca="false">IF(AND($A1194&lt;&gt;"",$A1194=Подбор!$C$4),MAX(I$1:I1193)+1,"")</f>
        <v/>
      </c>
    </row>
    <row r="1195" customFormat="false" ht="15" hidden="false" customHeight="false" outlineLevel="0" collapsed="false">
      <c r="A1195" s="3" t="s">
        <v>1320</v>
      </c>
      <c r="B1195" s="3" t="s">
        <v>68</v>
      </c>
      <c r="C1195" s="3" t="s">
        <v>11</v>
      </c>
      <c r="D1195" s="3" t="s">
        <v>23</v>
      </c>
      <c r="E1195" s="3" t="s">
        <v>1399</v>
      </c>
      <c r="F1195" s="3" t="n">
        <v>6000</v>
      </c>
      <c r="G1195" s="3"/>
      <c r="H1195" s="3"/>
      <c r="I1195" s="4" t="str">
        <f aca="false">IF(AND($A1195&lt;&gt;"",$A1195=Подбор!$C$4),MAX(I$1:I1194)+1,"")</f>
        <v/>
      </c>
    </row>
    <row r="1196" customFormat="false" ht="15" hidden="false" customHeight="false" outlineLevel="0" collapsed="false">
      <c r="A1196" s="3" t="s">
        <v>1320</v>
      </c>
      <c r="B1196" s="3" t="s">
        <v>68</v>
      </c>
      <c r="C1196" s="3" t="s">
        <v>11</v>
      </c>
      <c r="D1196" s="3" t="s">
        <v>25</v>
      </c>
      <c r="E1196" s="3" t="s">
        <v>1400</v>
      </c>
      <c r="F1196" s="3" t="n">
        <v>6000</v>
      </c>
      <c r="G1196" s="3"/>
      <c r="H1196" s="3"/>
      <c r="I1196" s="4" t="str">
        <f aca="false">IF(AND($A1196&lt;&gt;"",$A1196=Подбор!$C$4),MAX(I$1:I1195)+1,"")</f>
        <v/>
      </c>
    </row>
    <row r="1197" customFormat="false" ht="15" hidden="false" customHeight="false" outlineLevel="0" collapsed="false">
      <c r="I1197" s="4" t="str">
        <f aca="false">IF(AND($A1197&lt;&gt;"",$A1197=Подбор!$C$4),MAX(I$1:I1196)+1,"")</f>
        <v/>
      </c>
    </row>
    <row r="1198" customFormat="false" ht="15" hidden="false" customHeight="false" outlineLevel="0" collapsed="false">
      <c r="I1198" s="4" t="str">
        <f aca="false">IF(AND($A1198&lt;&gt;"",$A1198=Подбор!$C$4),MAX(I$1:I1197)+1,"")</f>
        <v/>
      </c>
    </row>
    <row r="1199" customFormat="false" ht="15" hidden="false" customHeight="false" outlineLevel="0" collapsed="false">
      <c r="I1199" s="4" t="str">
        <f aca="false">IF(AND($A1199&lt;&gt;"",$A1199=Подбор!$C$4),MAX(I$1:I1198)+1,"")</f>
        <v/>
      </c>
    </row>
    <row r="1200" customFormat="false" ht="15" hidden="false" customHeight="false" outlineLevel="0" collapsed="false">
      <c r="I1200" s="4" t="str">
        <f aca="false">IF(AND($A1200&lt;&gt;"",$A1200=Подбор!$C$4),MAX(I$1:I1199)+1,"")</f>
        <v/>
      </c>
    </row>
    <row r="1201" customFormat="false" ht="15" hidden="false" customHeight="false" outlineLevel="0" collapsed="false">
      <c r="I1201" s="4" t="str">
        <f aca="false">IF(AND($A1201&lt;&gt;"",$A1201=Подбор!$C$4),MAX(I$1:I1200)+1,"")</f>
        <v/>
      </c>
    </row>
    <row r="1202" customFormat="false" ht="15" hidden="false" customHeight="false" outlineLevel="0" collapsed="false">
      <c r="I1202" s="4" t="str">
        <f aca="false">IF(AND($A1202&lt;&gt;"",$A1202=Подбор!$C$4),MAX(I$1:I1201)+1,"")</f>
        <v/>
      </c>
    </row>
    <row r="1203" customFormat="false" ht="15" hidden="false" customHeight="false" outlineLevel="0" collapsed="false">
      <c r="I1203" s="4" t="str">
        <f aca="false">IF(AND($A1203&lt;&gt;"",$A1203=Подбор!$C$4),MAX(I$1:I1202)+1,"")</f>
        <v/>
      </c>
    </row>
    <row r="1204" customFormat="false" ht="15" hidden="false" customHeight="false" outlineLevel="0" collapsed="false">
      <c r="I1204" s="4" t="str">
        <f aca="false">IF(AND($A1204&lt;&gt;"",$A1204=Подбор!$C$4),MAX(I$1:I1203)+1,"")</f>
        <v/>
      </c>
    </row>
    <row r="1205" customFormat="false" ht="15" hidden="false" customHeight="false" outlineLevel="0" collapsed="false">
      <c r="I1205" s="4" t="str">
        <f aca="false">IF(AND($A1205&lt;&gt;"",$A1205=Подбор!$C$4),MAX(I$1:I1204)+1,"")</f>
        <v/>
      </c>
    </row>
    <row r="1206" customFormat="false" ht="15" hidden="false" customHeight="false" outlineLevel="0" collapsed="false">
      <c r="I1206" s="4" t="str">
        <f aca="false">IF(AND($A1206&lt;&gt;"",$A1206=Подбор!$C$4),MAX(I$1:I1205)+1,"")</f>
        <v/>
      </c>
    </row>
    <row r="1207" customFormat="false" ht="15" hidden="false" customHeight="false" outlineLevel="0" collapsed="false">
      <c r="I1207" s="4" t="str">
        <f aca="false">IF(AND($A1207&lt;&gt;"",$A1207=Подбор!$C$4),MAX(I$1:I1206)+1,"")</f>
        <v/>
      </c>
    </row>
    <row r="1208" customFormat="false" ht="15" hidden="false" customHeight="false" outlineLevel="0" collapsed="false">
      <c r="I1208" s="4" t="str">
        <f aca="false">IF(AND($A1208&lt;&gt;"",$A1208=Подбор!$C$4),MAX(I$1:I1207)+1,"")</f>
        <v/>
      </c>
    </row>
    <row r="1209" customFormat="false" ht="15" hidden="false" customHeight="false" outlineLevel="0" collapsed="false">
      <c r="I1209" s="4" t="str">
        <f aca="false">IF(AND($A1209&lt;&gt;"",$A1209=Подбор!$C$4),MAX(I$1:I1208)+1,"")</f>
        <v/>
      </c>
    </row>
    <row r="1210" customFormat="false" ht="15" hidden="false" customHeight="false" outlineLevel="0" collapsed="false">
      <c r="I1210" s="4" t="str">
        <f aca="false">IF(AND($A1210&lt;&gt;"",$A1210=Подбор!$C$4),MAX(I$1:I1209)+1,"")</f>
        <v/>
      </c>
    </row>
    <row r="1211" customFormat="false" ht="15" hidden="false" customHeight="false" outlineLevel="0" collapsed="false">
      <c r="I1211" s="4" t="str">
        <f aca="false">IF(AND($A1211&lt;&gt;"",$A1211=Подбор!$C$4),MAX(I$1:I1210)+1,"")</f>
        <v/>
      </c>
    </row>
    <row r="1212" customFormat="false" ht="15" hidden="false" customHeight="false" outlineLevel="0" collapsed="false">
      <c r="I1212" s="4" t="str">
        <f aca="false">IF(AND($A1212&lt;&gt;"",$A1212=Подбор!$C$4),MAX(I$1:I1211)+1,"")</f>
        <v/>
      </c>
    </row>
    <row r="1213" customFormat="false" ht="15" hidden="false" customHeight="false" outlineLevel="0" collapsed="false">
      <c r="I1213" s="4" t="str">
        <f aca="false">IF(AND($A1213&lt;&gt;"",$A1213=Подбор!$C$4),MAX(I$1:I1212)+1,"")</f>
        <v/>
      </c>
    </row>
    <row r="1214" customFormat="false" ht="15" hidden="false" customHeight="false" outlineLevel="0" collapsed="false">
      <c r="I1214" s="4" t="str">
        <f aca="false">IF(AND($A1214&lt;&gt;"",$A1214=Подбор!$C$4),MAX(I$1:I1213)+1,"")</f>
        <v/>
      </c>
    </row>
    <row r="1215" customFormat="false" ht="15" hidden="false" customHeight="false" outlineLevel="0" collapsed="false">
      <c r="I1215" s="4" t="str">
        <f aca="false">IF(AND($A1215&lt;&gt;"",$A1215=Подбор!$C$4),MAX(I$1:I1214)+1,"")</f>
        <v/>
      </c>
    </row>
    <row r="1216" customFormat="false" ht="15" hidden="false" customHeight="false" outlineLevel="0" collapsed="false">
      <c r="I1216" s="4" t="str">
        <f aca="false">IF(AND($A1216&lt;&gt;"",$A1216=Подбор!$C$4),MAX(I$1:I1215)+1,"")</f>
        <v/>
      </c>
    </row>
    <row r="1217" customFormat="false" ht="15" hidden="false" customHeight="false" outlineLevel="0" collapsed="false">
      <c r="I1217" s="4" t="str">
        <f aca="false">IF(AND($A1217&lt;&gt;"",$A1217=Подбор!$C$4),MAX(I$1:I1216)+1,"")</f>
        <v/>
      </c>
    </row>
    <row r="1218" customFormat="false" ht="15" hidden="false" customHeight="false" outlineLevel="0" collapsed="false">
      <c r="I1218" s="4" t="str">
        <f aca="false">IF(AND($A1218&lt;&gt;"",$A1218=Подбор!$C$4),MAX(I$1:I1217)+1,"")</f>
        <v/>
      </c>
    </row>
    <row r="1219" customFormat="false" ht="15" hidden="false" customHeight="false" outlineLevel="0" collapsed="false">
      <c r="I1219" s="4" t="str">
        <f aca="false">IF(AND($A1219&lt;&gt;"",$A1219=Подбор!$C$4),MAX(I$1:I1218)+1,"")</f>
        <v/>
      </c>
    </row>
    <row r="1220" customFormat="false" ht="15" hidden="false" customHeight="false" outlineLevel="0" collapsed="false">
      <c r="I1220" s="4" t="str">
        <f aca="false">IF(AND($A1220&lt;&gt;"",$A1220=Подбор!$C$4),MAX(I$1:I1219)+1,"")</f>
        <v/>
      </c>
    </row>
    <row r="1221" customFormat="false" ht="15" hidden="false" customHeight="false" outlineLevel="0" collapsed="false">
      <c r="I1221" s="4" t="str">
        <f aca="false">IF(AND($A1221&lt;&gt;"",$A1221=Подбор!$C$4),MAX(I$1:I1220)+1,"")</f>
        <v/>
      </c>
    </row>
    <row r="1222" customFormat="false" ht="15" hidden="false" customHeight="false" outlineLevel="0" collapsed="false">
      <c r="I1222" s="4" t="str">
        <f aca="false">IF(AND($A1222&lt;&gt;"",$A1222=Подбор!$C$4),MAX(I$1:I1221)+1,"")</f>
        <v/>
      </c>
    </row>
    <row r="1223" customFormat="false" ht="15" hidden="false" customHeight="false" outlineLevel="0" collapsed="false">
      <c r="I1223" s="4" t="str">
        <f aca="false">IF(AND($A1223&lt;&gt;"",$A1223=Подбор!$C$4),MAX(I$1:I1222)+1,"")</f>
        <v/>
      </c>
    </row>
    <row r="1224" customFormat="false" ht="15" hidden="false" customHeight="false" outlineLevel="0" collapsed="false">
      <c r="I1224" s="4" t="str">
        <f aca="false">IF(AND($A1224&lt;&gt;"",$A1224=Подбор!$C$4),MAX(I$1:I1223)+1,"")</f>
        <v/>
      </c>
    </row>
    <row r="1225" customFormat="false" ht="15" hidden="false" customHeight="false" outlineLevel="0" collapsed="false">
      <c r="I1225" s="4" t="str">
        <f aca="false">IF(AND($A1225&lt;&gt;"",$A1225=Подбор!$C$4),MAX(I$1:I1224)+1,"")</f>
        <v/>
      </c>
    </row>
    <row r="1226" customFormat="false" ht="15" hidden="false" customHeight="false" outlineLevel="0" collapsed="false">
      <c r="I1226" s="4" t="str">
        <f aca="false">IF(AND($A1226&lt;&gt;"",$A1226=Подбор!$C$4),MAX(I$1:I1225)+1,"")</f>
        <v/>
      </c>
    </row>
    <row r="1227" customFormat="false" ht="15" hidden="false" customHeight="false" outlineLevel="0" collapsed="false">
      <c r="I1227" s="4" t="str">
        <f aca="false">IF(AND($A1227&lt;&gt;"",$A1227=Подбор!$C$4),MAX(I$1:I1226)+1,"")</f>
        <v/>
      </c>
    </row>
    <row r="1228" customFormat="false" ht="15" hidden="false" customHeight="false" outlineLevel="0" collapsed="false">
      <c r="I1228" s="4" t="str">
        <f aca="false">IF(AND($A1228&lt;&gt;"",$A1228=Подбор!$C$4),MAX(I$1:I1227)+1,"")</f>
        <v/>
      </c>
    </row>
    <row r="1229" customFormat="false" ht="15" hidden="false" customHeight="false" outlineLevel="0" collapsed="false">
      <c r="I1229" s="4" t="str">
        <f aca="false">IF(AND($A1229&lt;&gt;"",$A1229=Подбор!$C$4),MAX(I$1:I1228)+1,"")</f>
        <v/>
      </c>
    </row>
    <row r="1230" customFormat="false" ht="15" hidden="false" customHeight="false" outlineLevel="0" collapsed="false">
      <c r="I1230" s="4" t="str">
        <f aca="false">IF(AND($A1230&lt;&gt;"",$A1230=Подбор!$C$4),MAX(I$1:I1229)+1,"")</f>
        <v/>
      </c>
    </row>
    <row r="1231" customFormat="false" ht="15" hidden="false" customHeight="false" outlineLevel="0" collapsed="false">
      <c r="I1231" s="4" t="str">
        <f aca="false">IF(AND($A1231&lt;&gt;"",$A1231=Подбор!$C$4),MAX(I$1:I1230)+1,"")</f>
        <v/>
      </c>
    </row>
    <row r="1232" customFormat="false" ht="15" hidden="false" customHeight="false" outlineLevel="0" collapsed="false">
      <c r="I1232" s="4" t="str">
        <f aca="false">IF(AND($A1232&lt;&gt;"",$A1232=Подбор!$C$4),MAX(I$1:I1231)+1,"")</f>
        <v/>
      </c>
    </row>
    <row r="1233" customFormat="false" ht="15" hidden="false" customHeight="false" outlineLevel="0" collapsed="false">
      <c r="I1233" s="4" t="str">
        <f aca="false">IF(AND($A1233&lt;&gt;"",$A1233=Подбор!$C$4),MAX(I$1:I1232)+1,"")</f>
        <v/>
      </c>
    </row>
    <row r="1234" customFormat="false" ht="15" hidden="false" customHeight="false" outlineLevel="0" collapsed="false">
      <c r="I1234" s="4" t="str">
        <f aca="false">IF(AND($A1234&lt;&gt;"",$A1234=Подбор!$C$4),MAX(I$1:I1233)+1,"")</f>
        <v/>
      </c>
    </row>
    <row r="1235" customFormat="false" ht="15" hidden="false" customHeight="false" outlineLevel="0" collapsed="false">
      <c r="I1235" s="4" t="str">
        <f aca="false">IF(AND($A1235&lt;&gt;"",$A1235=Подбор!$C$4),MAX(I$1:I1234)+1,"")</f>
        <v/>
      </c>
    </row>
    <row r="1236" customFormat="false" ht="15" hidden="false" customHeight="false" outlineLevel="0" collapsed="false">
      <c r="I1236" s="4" t="str">
        <f aca="false">IF(AND($A1236&lt;&gt;"",$A1236=Подбор!$C$4),MAX(I$1:I1235)+1,"")</f>
        <v/>
      </c>
    </row>
    <row r="1237" customFormat="false" ht="15" hidden="false" customHeight="false" outlineLevel="0" collapsed="false">
      <c r="I1237" s="4" t="str">
        <f aca="false">IF(AND($A1237&lt;&gt;"",$A1237=Подбор!$C$4),MAX(I$1:I1236)+1,"")</f>
        <v/>
      </c>
    </row>
    <row r="1238" customFormat="false" ht="15" hidden="false" customHeight="false" outlineLevel="0" collapsed="false">
      <c r="I1238" s="4" t="str">
        <f aca="false">IF(AND($A1238&lt;&gt;"",$A1238=Подбор!$C$4),MAX(I$1:I1237)+1,"")</f>
        <v/>
      </c>
    </row>
    <row r="1239" customFormat="false" ht="15" hidden="false" customHeight="false" outlineLevel="0" collapsed="false">
      <c r="I1239" s="4" t="str">
        <f aca="false">IF(AND($A1239&lt;&gt;"",$A1239=Подбор!$C$4),MAX(I$1:I1238)+1,"")</f>
        <v/>
      </c>
    </row>
    <row r="1240" customFormat="false" ht="15" hidden="false" customHeight="false" outlineLevel="0" collapsed="false">
      <c r="I1240" s="4" t="str">
        <f aca="false">IF(AND($A1240&lt;&gt;"",$A1240=Подбор!$C$4),MAX(I$1:I1239)+1,"")</f>
        <v/>
      </c>
    </row>
    <row r="1241" customFormat="false" ht="15" hidden="false" customHeight="false" outlineLevel="0" collapsed="false">
      <c r="I1241" s="4" t="str">
        <f aca="false">IF(AND($A1241&lt;&gt;"",$A1241=Подбор!$C$4),MAX(I$1:I1240)+1,"")</f>
        <v/>
      </c>
    </row>
    <row r="1242" customFormat="false" ht="15" hidden="false" customHeight="false" outlineLevel="0" collapsed="false">
      <c r="I1242" s="4" t="str">
        <f aca="false">IF(AND($A1242&lt;&gt;"",$A1242=Подбор!$C$4),MAX(I$1:I1241)+1,"")</f>
        <v/>
      </c>
    </row>
    <row r="1243" customFormat="false" ht="15" hidden="false" customHeight="false" outlineLevel="0" collapsed="false">
      <c r="I1243" s="4" t="str">
        <f aca="false">IF(AND($A1243&lt;&gt;"",$A1243=Подбор!$C$4),MAX(I$1:I1242)+1,"")</f>
        <v/>
      </c>
    </row>
    <row r="1244" customFormat="false" ht="15" hidden="false" customHeight="false" outlineLevel="0" collapsed="false">
      <c r="I1244" s="4" t="str">
        <f aca="false">IF(AND($A1244&lt;&gt;"",$A1244=Подбор!$C$4),MAX(I$1:I1243)+1,"")</f>
        <v/>
      </c>
    </row>
    <row r="1245" customFormat="false" ht="15" hidden="false" customHeight="false" outlineLevel="0" collapsed="false">
      <c r="I1245" s="4" t="str">
        <f aca="false">IF(AND($A1245&lt;&gt;"",$A1245=Подбор!$C$4),MAX(I$1:I1244)+1,"")</f>
        <v/>
      </c>
    </row>
    <row r="1246" customFormat="false" ht="15" hidden="false" customHeight="false" outlineLevel="0" collapsed="false">
      <c r="I1246" s="4" t="str">
        <f aca="false">IF(AND($A1246&lt;&gt;"",$A1246=Подбор!$C$4),MAX(I$1:I1245)+1,"")</f>
        <v/>
      </c>
    </row>
    <row r="1247" customFormat="false" ht="15" hidden="false" customHeight="false" outlineLevel="0" collapsed="false">
      <c r="I1247" s="4" t="str">
        <f aca="false">IF(AND($A1247&lt;&gt;"",$A1247=Подбор!$C$4),MAX(I$1:I1246)+1,"")</f>
        <v/>
      </c>
    </row>
    <row r="1248" customFormat="false" ht="15" hidden="false" customHeight="false" outlineLevel="0" collapsed="false">
      <c r="I1248" s="4" t="str">
        <f aca="false">IF(AND($A1248&lt;&gt;"",$A1248=Подбор!$C$4),MAX(I$1:I1247)+1,"")</f>
        <v/>
      </c>
    </row>
    <row r="1249" customFormat="false" ht="15" hidden="false" customHeight="false" outlineLevel="0" collapsed="false">
      <c r="I1249" s="4" t="str">
        <f aca="false">IF(AND($A1249&lt;&gt;"",$A1249=Подбор!$C$4),MAX(I$1:I1248)+1,"")</f>
        <v/>
      </c>
    </row>
    <row r="1250" customFormat="false" ht="15" hidden="false" customHeight="false" outlineLevel="0" collapsed="false">
      <c r="I1250" s="4" t="str">
        <f aca="false">IF(AND($A1250&lt;&gt;"",$A1250=Подбор!$C$4),MAX(I$1:I1249)+1,"")</f>
        <v/>
      </c>
    </row>
    <row r="1251" customFormat="false" ht="15" hidden="false" customHeight="false" outlineLevel="0" collapsed="false">
      <c r="I1251" s="4" t="str">
        <f aca="false">IF(AND($A1251&lt;&gt;"",$A1251=Подбор!$C$4),MAX(I$1:I1250)+1,"")</f>
        <v/>
      </c>
    </row>
    <row r="1252" customFormat="false" ht="15" hidden="false" customHeight="false" outlineLevel="0" collapsed="false">
      <c r="I1252" s="4" t="str">
        <f aca="false">IF(AND($A1252&lt;&gt;"",$A1252=Подбор!$C$4),MAX(I$1:I1251)+1,"")</f>
        <v/>
      </c>
    </row>
    <row r="1253" customFormat="false" ht="15" hidden="false" customHeight="false" outlineLevel="0" collapsed="false">
      <c r="I1253" s="4" t="str">
        <f aca="false">IF(AND($A1253&lt;&gt;"",$A1253=Подбор!$C$4),MAX(I$1:I1252)+1,"")</f>
        <v/>
      </c>
    </row>
    <row r="1254" customFormat="false" ht="15" hidden="false" customHeight="false" outlineLevel="0" collapsed="false">
      <c r="I1254" s="4" t="str">
        <f aca="false">IF(AND($A1254&lt;&gt;"",$A1254=Подбор!$C$4),MAX(I$1:I1253)+1,"")</f>
        <v/>
      </c>
    </row>
    <row r="1255" customFormat="false" ht="15" hidden="false" customHeight="false" outlineLevel="0" collapsed="false">
      <c r="I1255" s="4" t="str">
        <f aca="false">IF(AND($A1255&lt;&gt;"",$A1255=Подбор!$C$4),MAX(I$1:I1254)+1,"")</f>
        <v/>
      </c>
    </row>
    <row r="1256" customFormat="false" ht="15" hidden="false" customHeight="false" outlineLevel="0" collapsed="false">
      <c r="I1256" s="4" t="str">
        <f aca="false">IF(AND($A1256&lt;&gt;"",$A1256=Подбор!$C$4),MAX(I$1:I1255)+1,"")</f>
        <v/>
      </c>
    </row>
    <row r="1257" customFormat="false" ht="15" hidden="false" customHeight="false" outlineLevel="0" collapsed="false">
      <c r="I1257" s="4" t="str">
        <f aca="false">IF(AND($A1257&lt;&gt;"",$A1257=Подбор!$C$4),MAX(I$1:I1256)+1,"")</f>
        <v/>
      </c>
    </row>
    <row r="1258" customFormat="false" ht="15" hidden="false" customHeight="false" outlineLevel="0" collapsed="false">
      <c r="I1258" s="4" t="str">
        <f aca="false">IF(AND($A1258&lt;&gt;"",$A1258=Подбор!$C$4),MAX(I$1:I1257)+1,"")</f>
        <v/>
      </c>
    </row>
    <row r="1259" customFormat="false" ht="15" hidden="false" customHeight="false" outlineLevel="0" collapsed="false">
      <c r="I1259" s="4" t="str">
        <f aca="false">IF(AND($A1259&lt;&gt;"",$A1259=Подбор!$C$4),MAX(I$1:I1258)+1,"")</f>
        <v/>
      </c>
    </row>
    <row r="1260" customFormat="false" ht="15" hidden="false" customHeight="false" outlineLevel="0" collapsed="false">
      <c r="I1260" s="4" t="str">
        <f aca="false">IF(AND($A1260&lt;&gt;"",$A1260=Подбор!$C$4),MAX(I$1:I1259)+1,"")</f>
        <v/>
      </c>
    </row>
    <row r="1261" customFormat="false" ht="15" hidden="false" customHeight="false" outlineLevel="0" collapsed="false">
      <c r="I1261" s="4" t="str">
        <f aca="false">IF(AND($A1261&lt;&gt;"",$A1261=Подбор!$C$4),MAX(I$1:I1260)+1,"")</f>
        <v/>
      </c>
    </row>
    <row r="1262" customFormat="false" ht="15" hidden="false" customHeight="false" outlineLevel="0" collapsed="false">
      <c r="I1262" s="4" t="str">
        <f aca="false">IF(AND($A1262&lt;&gt;"",$A1262=Подбор!$C$4),MAX(I$1:I1261)+1,"")</f>
        <v/>
      </c>
    </row>
    <row r="1263" customFormat="false" ht="15" hidden="false" customHeight="false" outlineLevel="0" collapsed="false">
      <c r="I1263" s="4" t="str">
        <f aca="false">IF(AND($A1263&lt;&gt;"",$A1263=Подбор!$C$4),MAX(I$1:I1262)+1,"")</f>
        <v/>
      </c>
    </row>
    <row r="1264" customFormat="false" ht="15" hidden="false" customHeight="false" outlineLevel="0" collapsed="false">
      <c r="I1264" s="4" t="str">
        <f aca="false">IF(AND($A1264&lt;&gt;"",$A1264=Подбор!$C$4),MAX(I$1:I1263)+1,"")</f>
        <v/>
      </c>
    </row>
    <row r="1265" customFormat="false" ht="15" hidden="false" customHeight="false" outlineLevel="0" collapsed="false">
      <c r="I1265" s="4" t="str">
        <f aca="false">IF(AND($A1265&lt;&gt;"",$A1265=Подбор!$C$4),MAX(I$1:I1264)+1,"")</f>
        <v/>
      </c>
    </row>
    <row r="1266" customFormat="false" ht="15" hidden="false" customHeight="false" outlineLevel="0" collapsed="false">
      <c r="I1266" s="4" t="str">
        <f aca="false">IF(AND($A1266&lt;&gt;"",$A1266=Подбор!$C$4),MAX(I$1:I1265)+1,"")</f>
        <v/>
      </c>
    </row>
    <row r="1267" customFormat="false" ht="15" hidden="false" customHeight="false" outlineLevel="0" collapsed="false">
      <c r="I1267" s="4" t="str">
        <f aca="false">IF(AND($A1267&lt;&gt;"",$A1267=Подбор!$C$4),MAX(I$1:I1266)+1,"")</f>
        <v/>
      </c>
    </row>
    <row r="1268" customFormat="false" ht="15" hidden="false" customHeight="false" outlineLevel="0" collapsed="false">
      <c r="I1268" s="4" t="str">
        <f aca="false">IF(AND($A1268&lt;&gt;"",$A1268=Подбор!$C$4),MAX(I$1:I1267)+1,"")</f>
        <v/>
      </c>
    </row>
    <row r="1269" customFormat="false" ht="15" hidden="false" customHeight="false" outlineLevel="0" collapsed="false">
      <c r="I1269" s="4" t="str">
        <f aca="false">IF(AND($A1269&lt;&gt;"",$A1269=Подбор!$C$4),MAX(I$1:I1268)+1,"")</f>
        <v/>
      </c>
    </row>
    <row r="1270" customFormat="false" ht="15" hidden="false" customHeight="false" outlineLevel="0" collapsed="false">
      <c r="I1270" s="4" t="str">
        <f aca="false">IF(AND($A1270&lt;&gt;"",$A1270=Подбор!$C$4),MAX(I$1:I1269)+1,"")</f>
        <v/>
      </c>
    </row>
    <row r="1271" customFormat="false" ht="15" hidden="false" customHeight="false" outlineLevel="0" collapsed="false">
      <c r="I1271" s="4" t="str">
        <f aca="false">IF(AND($A1271&lt;&gt;"",$A1271=Подбор!$C$4),MAX(I$1:I1270)+1,"")</f>
        <v/>
      </c>
    </row>
    <row r="1272" customFormat="false" ht="15" hidden="false" customHeight="false" outlineLevel="0" collapsed="false">
      <c r="I1272" s="4" t="str">
        <f aca="false">IF(AND($A1272&lt;&gt;"",$A1272=Подбор!$C$4),MAX(I$1:I1271)+1,"")</f>
        <v/>
      </c>
    </row>
    <row r="1273" customFormat="false" ht="15" hidden="false" customHeight="false" outlineLevel="0" collapsed="false">
      <c r="I1273" s="4" t="str">
        <f aca="false">IF(AND($A1273&lt;&gt;"",$A1273=Подбор!$C$4),MAX(I$1:I1272)+1,"")</f>
        <v/>
      </c>
    </row>
    <row r="1274" customFormat="false" ht="15" hidden="false" customHeight="false" outlineLevel="0" collapsed="false">
      <c r="I1274" s="4" t="str">
        <f aca="false">IF(AND($A1274&lt;&gt;"",$A1274=Подбор!$C$4),MAX(I$1:I1273)+1,"")</f>
        <v/>
      </c>
    </row>
    <row r="1275" customFormat="false" ht="15" hidden="false" customHeight="false" outlineLevel="0" collapsed="false">
      <c r="I1275" s="4" t="str">
        <f aca="false">IF(AND($A1275&lt;&gt;"",$A1275=Подбор!$C$4),MAX(I$1:I1274)+1,"")</f>
        <v/>
      </c>
    </row>
    <row r="1276" customFormat="false" ht="15" hidden="false" customHeight="false" outlineLevel="0" collapsed="false">
      <c r="I1276" s="4" t="str">
        <f aca="false">IF(AND($A1276&lt;&gt;"",$A1276=Подбор!$C$4),MAX(I$1:I1275)+1,"")</f>
        <v/>
      </c>
    </row>
    <row r="1277" customFormat="false" ht="15" hidden="false" customHeight="false" outlineLevel="0" collapsed="false">
      <c r="I1277" s="4" t="str">
        <f aca="false">IF(AND($A1277&lt;&gt;"",$A1277=Подбор!$C$4),MAX(I$1:I1276)+1,"")</f>
        <v/>
      </c>
    </row>
    <row r="1278" customFormat="false" ht="15" hidden="false" customHeight="false" outlineLevel="0" collapsed="false">
      <c r="I1278" s="4" t="str">
        <f aca="false">IF(AND($A1278&lt;&gt;"",$A1278=Подбор!$C$4),MAX(I$1:I1277)+1,"")</f>
        <v/>
      </c>
    </row>
    <row r="1279" customFormat="false" ht="15" hidden="false" customHeight="false" outlineLevel="0" collapsed="false">
      <c r="I1279" s="4" t="str">
        <f aca="false">IF(AND($A1279&lt;&gt;"",$A1279=Подбор!$C$4),MAX(I$1:I1278)+1,"")</f>
        <v/>
      </c>
    </row>
    <row r="1280" customFormat="false" ht="15" hidden="false" customHeight="false" outlineLevel="0" collapsed="false">
      <c r="I1280" s="4" t="str">
        <f aca="false">IF(AND($A1280&lt;&gt;"",$A1280=Подбор!$C$4),MAX(I$1:I1279)+1,"")</f>
        <v/>
      </c>
    </row>
    <row r="1281" customFormat="false" ht="15" hidden="false" customHeight="false" outlineLevel="0" collapsed="false">
      <c r="I1281" s="4" t="str">
        <f aca="false">IF(AND($A1281&lt;&gt;"",$A1281=Подбор!$C$4),MAX(I$1:I1280)+1,"")</f>
        <v/>
      </c>
    </row>
    <row r="1282" customFormat="false" ht="15" hidden="false" customHeight="false" outlineLevel="0" collapsed="false">
      <c r="I1282" s="4" t="str">
        <f aca="false">IF(AND($A1282&lt;&gt;"",$A1282=Подбор!$C$4),MAX(I$1:I1281)+1,"")</f>
        <v/>
      </c>
    </row>
    <row r="1283" customFormat="false" ht="15" hidden="false" customHeight="false" outlineLevel="0" collapsed="false">
      <c r="I1283" s="4" t="str">
        <f aca="false">IF(AND($A1283&lt;&gt;"",$A1283=Подбор!$C$4),MAX(I$1:I1282)+1,"")</f>
        <v/>
      </c>
    </row>
    <row r="1284" customFormat="false" ht="15" hidden="false" customHeight="false" outlineLevel="0" collapsed="false">
      <c r="I1284" s="4" t="str">
        <f aca="false">IF(AND($A1284&lt;&gt;"",$A1284=Подбор!$C$4),MAX(I$1:I1283)+1,"")</f>
        <v/>
      </c>
    </row>
    <row r="1285" customFormat="false" ht="15" hidden="false" customHeight="false" outlineLevel="0" collapsed="false">
      <c r="I1285" s="4" t="str">
        <f aca="false">IF(AND($A1285&lt;&gt;"",$A1285=Подбор!$C$4),MAX(I$1:I1284)+1,"")</f>
        <v/>
      </c>
    </row>
    <row r="1286" customFormat="false" ht="15" hidden="false" customHeight="false" outlineLevel="0" collapsed="false">
      <c r="I1286" s="4" t="str">
        <f aca="false">IF(AND($A1286&lt;&gt;"",$A1286=Подбор!$C$4),MAX(I$1:I1285)+1,"")</f>
        <v/>
      </c>
    </row>
    <row r="1287" customFormat="false" ht="15" hidden="false" customHeight="false" outlineLevel="0" collapsed="false">
      <c r="I1287" s="4" t="str">
        <f aca="false">IF(AND($A1287&lt;&gt;"",$A1287=Подбор!$C$4),MAX(I$1:I1286)+1,"")</f>
        <v/>
      </c>
    </row>
    <row r="1288" customFormat="false" ht="15" hidden="false" customHeight="false" outlineLevel="0" collapsed="false">
      <c r="I1288" s="4" t="str">
        <f aca="false">IF(AND($A1288&lt;&gt;"",$A1288=Подбор!$C$4),MAX(I$1:I1287)+1,"")</f>
        <v/>
      </c>
    </row>
    <row r="1289" customFormat="false" ht="15" hidden="false" customHeight="false" outlineLevel="0" collapsed="false">
      <c r="I1289" s="4" t="str">
        <f aca="false">IF(AND($A1289&lt;&gt;"",$A1289=Подбор!$C$4),MAX(I$1:I1288)+1,"")</f>
        <v/>
      </c>
    </row>
    <row r="1290" customFormat="false" ht="15" hidden="false" customHeight="false" outlineLevel="0" collapsed="false">
      <c r="I1290" s="4" t="str">
        <f aca="false">IF(AND($A1290&lt;&gt;"",$A1290=Подбор!$C$4),MAX(I$1:I1289)+1,"")</f>
        <v/>
      </c>
    </row>
    <row r="1291" customFormat="false" ht="15" hidden="false" customHeight="false" outlineLevel="0" collapsed="false">
      <c r="I1291" s="4" t="str">
        <f aca="false">IF(AND($A1291&lt;&gt;"",$A1291=Подбор!$C$4),MAX(I$1:I1290)+1,"")</f>
        <v/>
      </c>
    </row>
    <row r="1292" customFormat="false" ht="15" hidden="false" customHeight="false" outlineLevel="0" collapsed="false">
      <c r="I1292" s="4" t="str">
        <f aca="false">IF(AND($A1292&lt;&gt;"",$A1292=Подбор!$C$4),MAX(I$1:I1291)+1,"")</f>
        <v/>
      </c>
    </row>
    <row r="1293" customFormat="false" ht="15" hidden="false" customHeight="false" outlineLevel="0" collapsed="false">
      <c r="I1293" s="4" t="str">
        <f aca="false">IF(AND($A1293&lt;&gt;"",$A1293=Подбор!$C$4),MAX(I$1:I1292)+1,"")</f>
        <v/>
      </c>
    </row>
    <row r="1294" customFormat="false" ht="15" hidden="false" customHeight="false" outlineLevel="0" collapsed="false">
      <c r="I1294" s="4" t="str">
        <f aca="false">IF(AND($A1294&lt;&gt;"",$A1294=Подбор!$C$4),MAX(I$1:I1293)+1,"")</f>
        <v/>
      </c>
    </row>
    <row r="1295" customFormat="false" ht="15" hidden="false" customHeight="false" outlineLevel="0" collapsed="false">
      <c r="I1295" s="4" t="str">
        <f aca="false">IF(AND($A1295&lt;&gt;"",$A1295=Подбор!$C$4),MAX(I$1:I1294)+1,"")</f>
        <v/>
      </c>
    </row>
    <row r="1296" customFormat="false" ht="15" hidden="false" customHeight="false" outlineLevel="0" collapsed="false">
      <c r="I1296" s="4" t="str">
        <f aca="false">IF(AND($A1296&lt;&gt;"",$A1296=Подбор!$C$4),MAX(I$1:I1295)+1,"")</f>
        <v/>
      </c>
    </row>
    <row r="1297" customFormat="false" ht="15" hidden="false" customHeight="false" outlineLevel="0" collapsed="false">
      <c r="I1297" s="4" t="str">
        <f aca="false">IF(AND($A1297&lt;&gt;"",$A1297=Подбор!$C$4),MAX(I$1:I1296)+1,"")</f>
        <v/>
      </c>
    </row>
    <row r="1298" customFormat="false" ht="15" hidden="false" customHeight="false" outlineLevel="0" collapsed="false">
      <c r="I1298" s="4" t="str">
        <f aca="false">IF(AND($A1298&lt;&gt;"",$A1298=Подбор!$C$4),MAX(I$1:I1297)+1,"")</f>
        <v/>
      </c>
    </row>
    <row r="1299" customFormat="false" ht="15" hidden="false" customHeight="false" outlineLevel="0" collapsed="false">
      <c r="I1299" s="4" t="str">
        <f aca="false">IF(AND($A1299&lt;&gt;"",$A1299=Подбор!$C$4),MAX(I$1:I1298)+1,"")</f>
        <v/>
      </c>
    </row>
    <row r="1300" customFormat="false" ht="15" hidden="false" customHeight="false" outlineLevel="0" collapsed="false">
      <c r="I1300" s="4" t="str">
        <f aca="false">IF(AND($A1300&lt;&gt;"",$A1300=Подбор!$C$4),MAX(I$1:I1299)+1,"")</f>
        <v/>
      </c>
    </row>
    <row r="1301" customFormat="false" ht="15" hidden="false" customHeight="false" outlineLevel="0" collapsed="false">
      <c r="I1301" s="4" t="str">
        <f aca="false">IF(AND($A1301&lt;&gt;"",$A1301=Подбор!$C$4),MAX(I$1:I1300)+1,"")</f>
        <v/>
      </c>
    </row>
    <row r="1302" customFormat="false" ht="15" hidden="false" customHeight="false" outlineLevel="0" collapsed="false">
      <c r="I1302" s="4" t="str">
        <f aca="false">IF(AND($A1302&lt;&gt;"",$A1302=Подбор!$C$4),MAX(I$1:I1301)+1,"")</f>
        <v/>
      </c>
    </row>
    <row r="1303" customFormat="false" ht="15" hidden="false" customHeight="false" outlineLevel="0" collapsed="false">
      <c r="I1303" s="4" t="str">
        <f aca="false">IF(AND($A1303&lt;&gt;"",$A1303=Подбор!$C$4),MAX(I$1:I1302)+1,"")</f>
        <v/>
      </c>
    </row>
    <row r="1304" customFormat="false" ht="15" hidden="false" customHeight="false" outlineLevel="0" collapsed="false">
      <c r="I1304" s="4" t="str">
        <f aca="false">IF(AND($A1304&lt;&gt;"",$A1304=Подбор!$C$4),MAX(I$1:I1303)+1,"")</f>
        <v/>
      </c>
    </row>
    <row r="1305" customFormat="false" ht="15" hidden="false" customHeight="false" outlineLevel="0" collapsed="false">
      <c r="I1305" s="4" t="str">
        <f aca="false">IF(AND($A1305&lt;&gt;"",$A1305=Подбор!$C$4),MAX(I$1:I1304)+1,"")</f>
        <v/>
      </c>
    </row>
    <row r="1306" customFormat="false" ht="15" hidden="false" customHeight="false" outlineLevel="0" collapsed="false">
      <c r="I1306" s="4" t="str">
        <f aca="false">IF(AND($A1306&lt;&gt;"",$A1306=Подбор!$C$4),MAX(I$1:I1305)+1,"")</f>
        <v/>
      </c>
    </row>
    <row r="1307" customFormat="false" ht="15" hidden="false" customHeight="false" outlineLevel="0" collapsed="false">
      <c r="I1307" s="4" t="str">
        <f aca="false">IF(AND($A1307&lt;&gt;"",$A1307=Подбор!$C$4),MAX(I$1:I1306)+1,"")</f>
        <v/>
      </c>
    </row>
    <row r="1308" customFormat="false" ht="15" hidden="false" customHeight="false" outlineLevel="0" collapsed="false">
      <c r="I1308" s="4" t="str">
        <f aca="false">IF(AND($A1308&lt;&gt;"",$A1308=Подбор!$C$4),MAX(I$1:I1307)+1,"")</f>
        <v/>
      </c>
    </row>
    <row r="1309" customFormat="false" ht="15" hidden="false" customHeight="false" outlineLevel="0" collapsed="false">
      <c r="I1309" s="4" t="str">
        <f aca="false">IF(AND($A1309&lt;&gt;"",$A1309=Подбор!$C$4),MAX(I$1:I1308)+1,"")</f>
        <v/>
      </c>
    </row>
    <row r="1310" customFormat="false" ht="15" hidden="false" customHeight="false" outlineLevel="0" collapsed="false">
      <c r="I1310" s="4" t="str">
        <f aca="false">IF(AND($A1310&lt;&gt;"",$A1310=Подбор!$C$4),MAX(I$1:I1309)+1,"")</f>
        <v/>
      </c>
    </row>
    <row r="1311" customFormat="false" ht="15" hidden="false" customHeight="false" outlineLevel="0" collapsed="false">
      <c r="I1311" s="4" t="str">
        <f aca="false">IF(AND($A1311&lt;&gt;"",$A1311=Подбор!$C$4),MAX(I$1:I1310)+1,"")</f>
        <v/>
      </c>
    </row>
    <row r="1312" customFormat="false" ht="15" hidden="false" customHeight="false" outlineLevel="0" collapsed="false">
      <c r="I1312" s="4" t="str">
        <f aca="false">IF(AND($A1312&lt;&gt;"",$A1312=Подбор!$C$4),MAX(I$1:I1311)+1,"")</f>
        <v/>
      </c>
    </row>
    <row r="1313" customFormat="false" ht="15" hidden="false" customHeight="false" outlineLevel="0" collapsed="false">
      <c r="I1313" s="4" t="str">
        <f aca="false">IF(AND($A1313&lt;&gt;"",$A1313=Подбор!$C$4),MAX(I$1:I1312)+1,"")</f>
        <v/>
      </c>
    </row>
    <row r="1314" customFormat="false" ht="15" hidden="false" customHeight="false" outlineLevel="0" collapsed="false">
      <c r="I1314" s="4" t="str">
        <f aca="false">IF(AND($A1314&lt;&gt;"",$A1314=Подбор!$C$4),MAX(I$1:I1313)+1,"")</f>
        <v/>
      </c>
    </row>
    <row r="1315" customFormat="false" ht="15" hidden="false" customHeight="false" outlineLevel="0" collapsed="false">
      <c r="I1315" s="4" t="str">
        <f aca="false">IF(AND($A1315&lt;&gt;"",$A1315=Подбор!$C$4),MAX(I$1:I1314)+1,"")</f>
        <v/>
      </c>
    </row>
    <row r="1316" customFormat="false" ht="15" hidden="false" customHeight="false" outlineLevel="0" collapsed="false">
      <c r="I1316" s="4" t="str">
        <f aca="false">IF(AND($A1316&lt;&gt;"",$A1316=Подбор!$C$4),MAX(I$1:I1315)+1,"")</f>
        <v/>
      </c>
    </row>
    <row r="1317" customFormat="false" ht="15" hidden="false" customHeight="false" outlineLevel="0" collapsed="false">
      <c r="I1317" s="4" t="str">
        <f aca="false">IF(AND($A1317&lt;&gt;"",$A1317=Подбор!$C$4),MAX(I$1:I1316)+1,"")</f>
        <v/>
      </c>
    </row>
    <row r="1318" customFormat="false" ht="15" hidden="false" customHeight="false" outlineLevel="0" collapsed="false">
      <c r="I1318" s="4" t="str">
        <f aca="false">IF(AND($A1318&lt;&gt;"",$A1318=Подбор!$C$4),MAX(I$1:I1317)+1,"")</f>
        <v/>
      </c>
    </row>
    <row r="1319" customFormat="false" ht="15" hidden="false" customHeight="false" outlineLevel="0" collapsed="false">
      <c r="I1319" s="4" t="str">
        <f aca="false">IF(AND($A1319&lt;&gt;"",$A1319=Подбор!$C$4),MAX(I$1:I1318)+1,"")</f>
        <v/>
      </c>
    </row>
    <row r="1320" customFormat="false" ht="15" hidden="false" customHeight="false" outlineLevel="0" collapsed="false">
      <c r="I1320" s="4" t="str">
        <f aca="false">IF(AND($A1320&lt;&gt;"",$A1320=Подбор!$C$4),MAX(I$1:I1319)+1,"")</f>
        <v/>
      </c>
    </row>
    <row r="1321" customFormat="false" ht="15" hidden="false" customHeight="false" outlineLevel="0" collapsed="false">
      <c r="I1321" s="4" t="str">
        <f aca="false">IF(AND($A1321&lt;&gt;"",$A1321=Подбор!$C$4),MAX(I$1:I1320)+1,"")</f>
        <v/>
      </c>
    </row>
    <row r="1322" customFormat="false" ht="15" hidden="false" customHeight="false" outlineLevel="0" collapsed="false">
      <c r="I1322" s="4" t="str">
        <f aca="false">IF(AND($A1322&lt;&gt;"",$A1322=Подбор!$C$4),MAX(I$1:I1321)+1,"")</f>
        <v/>
      </c>
    </row>
    <row r="1323" customFormat="false" ht="15" hidden="false" customHeight="false" outlineLevel="0" collapsed="false">
      <c r="I1323" s="4" t="str">
        <f aca="false">IF(AND($A1323&lt;&gt;"",$A1323=Подбор!$C$4),MAX(I$1:I1322)+1,"")</f>
        <v/>
      </c>
    </row>
    <row r="1324" customFormat="false" ht="15" hidden="false" customHeight="false" outlineLevel="0" collapsed="false">
      <c r="I1324" s="4" t="str">
        <f aca="false">IF(AND($A1324&lt;&gt;"",$A1324=Подбор!$C$4),MAX(I$1:I1323)+1,"")</f>
        <v/>
      </c>
    </row>
    <row r="1325" customFormat="false" ht="15" hidden="false" customHeight="false" outlineLevel="0" collapsed="false">
      <c r="I1325" s="4" t="str">
        <f aca="false">IF(AND($A1325&lt;&gt;"",$A1325=Подбор!$C$4),MAX(I$1:I1324)+1,"")</f>
        <v/>
      </c>
    </row>
    <row r="1326" customFormat="false" ht="15" hidden="false" customHeight="false" outlineLevel="0" collapsed="false">
      <c r="I1326" s="4" t="str">
        <f aca="false">IF(AND($A1326&lt;&gt;"",$A1326=Подбор!$C$4),MAX(I$1:I1325)+1,"")</f>
        <v/>
      </c>
    </row>
    <row r="1327" customFormat="false" ht="15" hidden="false" customHeight="false" outlineLevel="0" collapsed="false">
      <c r="I1327" s="4" t="str">
        <f aca="false">IF(AND($A1327&lt;&gt;"",$A1327=Подбор!$C$4),MAX(I$1:I1326)+1,"")</f>
        <v/>
      </c>
    </row>
    <row r="1328" customFormat="false" ht="15" hidden="false" customHeight="false" outlineLevel="0" collapsed="false">
      <c r="I1328" s="4" t="str">
        <f aca="false">IF(AND($A1328&lt;&gt;"",$A1328=Подбор!$C$4),MAX(I$1:I1327)+1,"")</f>
        <v/>
      </c>
    </row>
    <row r="1329" customFormat="false" ht="15" hidden="false" customHeight="false" outlineLevel="0" collapsed="false">
      <c r="I1329" s="4" t="str">
        <f aca="false">IF(AND($A1329&lt;&gt;"",$A1329=Подбор!$C$4),MAX(I$1:I1328)+1,"")</f>
        <v/>
      </c>
    </row>
    <row r="1330" customFormat="false" ht="15" hidden="false" customHeight="false" outlineLevel="0" collapsed="false">
      <c r="I1330" s="4" t="str">
        <f aca="false">IF(AND($A1330&lt;&gt;"",$A1330=Подбор!$C$4),MAX(I$1:I1329)+1,"")</f>
        <v/>
      </c>
    </row>
    <row r="1331" customFormat="false" ht="15" hidden="false" customHeight="false" outlineLevel="0" collapsed="false">
      <c r="I1331" s="4" t="str">
        <f aca="false">IF(AND($A1331&lt;&gt;"",$A1331=Подбор!$C$4),MAX(I$1:I1330)+1,"")</f>
        <v/>
      </c>
    </row>
    <row r="1332" customFormat="false" ht="15" hidden="false" customHeight="false" outlineLevel="0" collapsed="false">
      <c r="I1332" s="4" t="str">
        <f aca="false">IF(AND($A1332&lt;&gt;"",$A1332=Подбор!$C$4),MAX(I$1:I1331)+1,"")</f>
        <v/>
      </c>
    </row>
    <row r="1333" customFormat="false" ht="15" hidden="false" customHeight="false" outlineLevel="0" collapsed="false">
      <c r="I1333" s="4" t="str">
        <f aca="false">IF(AND($A1333&lt;&gt;"",$A1333=Подбор!$C$4),MAX(I$1:I1332)+1,"")</f>
        <v/>
      </c>
    </row>
    <row r="1334" customFormat="false" ht="15" hidden="false" customHeight="false" outlineLevel="0" collapsed="false">
      <c r="I1334" s="4" t="str">
        <f aca="false">IF(AND($A1334&lt;&gt;"",$A1334=Подбор!$C$4),MAX(I$1:I1333)+1,"")</f>
        <v/>
      </c>
    </row>
    <row r="1335" customFormat="false" ht="15" hidden="false" customHeight="false" outlineLevel="0" collapsed="false">
      <c r="I1335" s="4" t="str">
        <f aca="false">IF(AND($A1335&lt;&gt;"",$A1335=Подбор!$C$4),MAX(I$1:I1334)+1,"")</f>
        <v/>
      </c>
    </row>
    <row r="1336" customFormat="false" ht="15" hidden="false" customHeight="false" outlineLevel="0" collapsed="false">
      <c r="I1336" s="4" t="str">
        <f aca="false">IF(AND($A1336&lt;&gt;"",$A1336=Подбор!$C$4),MAX(I$1:I1335)+1,"")</f>
        <v/>
      </c>
    </row>
    <row r="1337" customFormat="false" ht="15" hidden="false" customHeight="false" outlineLevel="0" collapsed="false">
      <c r="I1337" s="4" t="str">
        <f aca="false">IF(AND($A1337&lt;&gt;"",$A1337=Подбор!$C$4),MAX(I$1:I1336)+1,"")</f>
        <v/>
      </c>
    </row>
    <row r="1338" customFormat="false" ht="15" hidden="false" customHeight="false" outlineLevel="0" collapsed="false">
      <c r="I1338" s="4" t="str">
        <f aca="false">IF(AND($A1338&lt;&gt;"",$A1338=Подбор!$C$4),MAX(I$1:I1337)+1,"")</f>
        <v/>
      </c>
    </row>
    <row r="1339" customFormat="false" ht="15" hidden="false" customHeight="false" outlineLevel="0" collapsed="false">
      <c r="I1339" s="4" t="str">
        <f aca="false">IF(AND($A1339&lt;&gt;"",$A1339=Подбор!$C$4),MAX(I$1:I1338)+1,"")</f>
        <v/>
      </c>
    </row>
    <row r="1340" customFormat="false" ht="15" hidden="false" customHeight="false" outlineLevel="0" collapsed="false">
      <c r="I1340" s="4" t="str">
        <f aca="false">IF(AND($A1340&lt;&gt;"",$A1340=Подбор!$C$4),MAX(I$1:I1339)+1,"")</f>
        <v/>
      </c>
    </row>
    <row r="1341" customFormat="false" ht="15" hidden="false" customHeight="false" outlineLevel="0" collapsed="false">
      <c r="I1341" s="4" t="str">
        <f aca="false">IF(AND($A1341&lt;&gt;"",$A1341=Подбор!$C$4),MAX(I$1:I1340)+1,"")</f>
        <v/>
      </c>
    </row>
    <row r="1342" customFormat="false" ht="15" hidden="false" customHeight="false" outlineLevel="0" collapsed="false">
      <c r="I1342" s="4" t="str">
        <f aca="false">IF(AND($A1342&lt;&gt;"",$A1342=Подбор!$C$4),MAX(I$1:I1341)+1,"")</f>
        <v/>
      </c>
    </row>
    <row r="1343" customFormat="false" ht="15" hidden="false" customHeight="false" outlineLevel="0" collapsed="false">
      <c r="I1343" s="4" t="str">
        <f aca="false">IF(AND($A1343&lt;&gt;"",$A1343=Подбор!$C$4),MAX(I$1:I1342)+1,"")</f>
        <v/>
      </c>
    </row>
    <row r="1344" customFormat="false" ht="15" hidden="false" customHeight="false" outlineLevel="0" collapsed="false">
      <c r="I1344" s="4" t="str">
        <f aca="false">IF(AND($A1344&lt;&gt;"",$A1344=Подбор!$C$4),MAX(I$1:I1343)+1,"")</f>
        <v/>
      </c>
    </row>
    <row r="1345" customFormat="false" ht="15" hidden="false" customHeight="false" outlineLevel="0" collapsed="false">
      <c r="I1345" s="4" t="str">
        <f aca="false">IF(AND($A1345&lt;&gt;"",$A1345=Подбор!$C$4),MAX(I$1:I1344)+1,"")</f>
        <v/>
      </c>
    </row>
    <row r="1346" customFormat="false" ht="15" hidden="false" customHeight="false" outlineLevel="0" collapsed="false">
      <c r="I1346" s="4" t="str">
        <f aca="false">IF(AND($A1346&lt;&gt;"",$A1346=Подбор!$C$4),MAX(I$1:I1345)+1,"")</f>
        <v/>
      </c>
    </row>
    <row r="1347" customFormat="false" ht="15" hidden="false" customHeight="false" outlineLevel="0" collapsed="false">
      <c r="I1347" s="4" t="str">
        <f aca="false">IF(AND($A1347&lt;&gt;"",$A1347=Подбор!$C$4),MAX(I$1:I1346)+1,"")</f>
        <v/>
      </c>
    </row>
    <row r="1348" customFormat="false" ht="15" hidden="false" customHeight="false" outlineLevel="0" collapsed="false">
      <c r="I1348" s="4" t="str">
        <f aca="false">IF(AND($A1348&lt;&gt;"",$A1348=Подбор!$C$4),MAX(I$1:I1347)+1,"")</f>
        <v/>
      </c>
    </row>
    <row r="1349" customFormat="false" ht="15" hidden="false" customHeight="false" outlineLevel="0" collapsed="false">
      <c r="I1349" s="4" t="str">
        <f aca="false">IF(AND($A1349&lt;&gt;"",$A1349=Подбор!$C$4),MAX(I$1:I1348)+1,"")</f>
        <v/>
      </c>
    </row>
    <row r="1350" customFormat="false" ht="15" hidden="false" customHeight="false" outlineLevel="0" collapsed="false">
      <c r="I1350" s="4" t="str">
        <f aca="false">IF(AND($A1350&lt;&gt;"",$A1350=Подбор!$C$4),MAX(I$1:I1349)+1,"")</f>
        <v/>
      </c>
    </row>
    <row r="1351" customFormat="false" ht="15" hidden="false" customHeight="false" outlineLevel="0" collapsed="false">
      <c r="I1351" s="4" t="str">
        <f aca="false">IF(AND($A1351&lt;&gt;"",$A1351=Подбор!$C$4),MAX(I$1:I1350)+1,"")</f>
        <v/>
      </c>
    </row>
    <row r="1352" customFormat="false" ht="15" hidden="false" customHeight="false" outlineLevel="0" collapsed="false">
      <c r="I1352" s="4" t="str">
        <f aca="false">IF(AND($A1352&lt;&gt;"",$A1352=Подбор!$C$4),MAX(I$1:I1351)+1,"")</f>
        <v/>
      </c>
    </row>
    <row r="1353" customFormat="false" ht="15" hidden="false" customHeight="false" outlineLevel="0" collapsed="false">
      <c r="I1353" s="4" t="str">
        <f aca="false">IF(AND($A1353&lt;&gt;"",$A1353=Подбор!$C$4),MAX(I$1:I1352)+1,"")</f>
        <v/>
      </c>
    </row>
    <row r="1354" customFormat="false" ht="15" hidden="false" customHeight="false" outlineLevel="0" collapsed="false">
      <c r="I1354" s="4" t="str">
        <f aca="false">IF(AND($A1354&lt;&gt;"",$A1354=Подбор!$C$4),MAX(I$1:I1353)+1,"")</f>
        <v/>
      </c>
    </row>
    <row r="1355" customFormat="false" ht="15" hidden="false" customHeight="false" outlineLevel="0" collapsed="false">
      <c r="I1355" s="4" t="str">
        <f aca="false">IF(AND($A1355&lt;&gt;"",$A1355=Подбор!$C$4),MAX(I$1:I1354)+1,"")</f>
        <v/>
      </c>
    </row>
    <row r="1356" customFormat="false" ht="15" hidden="false" customHeight="false" outlineLevel="0" collapsed="false">
      <c r="I1356" s="4" t="str">
        <f aca="false">IF(AND($A1356&lt;&gt;"",$A1356=Подбор!$C$4),MAX(I$1:I1355)+1,"")</f>
        <v/>
      </c>
    </row>
    <row r="1357" customFormat="false" ht="15" hidden="false" customHeight="false" outlineLevel="0" collapsed="false">
      <c r="I1357" s="4" t="str">
        <f aca="false">IF(AND($A1357&lt;&gt;"",$A1357=Подбор!$C$4),MAX(I$1:I1356)+1,"")</f>
        <v/>
      </c>
    </row>
    <row r="1358" customFormat="false" ht="15" hidden="false" customHeight="false" outlineLevel="0" collapsed="false">
      <c r="I1358" s="4" t="str">
        <f aca="false">IF(AND($A1358&lt;&gt;"",$A1358=Подбор!$C$4),MAX(I$1:I1357)+1,"")</f>
        <v/>
      </c>
    </row>
    <row r="1359" customFormat="false" ht="15" hidden="false" customHeight="false" outlineLevel="0" collapsed="false">
      <c r="I1359" s="4" t="str">
        <f aca="false">IF(AND($A1359&lt;&gt;"",$A1359=Подбор!$C$4),MAX(I$1:I1358)+1,"")</f>
        <v/>
      </c>
    </row>
    <row r="1360" customFormat="false" ht="15" hidden="false" customHeight="false" outlineLevel="0" collapsed="false">
      <c r="I1360" s="4" t="str">
        <f aca="false">IF(AND($A1360&lt;&gt;"",$A1360=Подбор!$C$4),MAX(I$1:I1359)+1,"")</f>
        <v/>
      </c>
    </row>
    <row r="1361" customFormat="false" ht="15" hidden="false" customHeight="false" outlineLevel="0" collapsed="false">
      <c r="I1361" s="4" t="str">
        <f aca="false">IF(AND($A1361&lt;&gt;"",$A1361=Подбор!$C$4),MAX(I$1:I1360)+1,"")</f>
        <v/>
      </c>
    </row>
    <row r="1362" customFormat="false" ht="15" hidden="false" customHeight="false" outlineLevel="0" collapsed="false">
      <c r="I1362" s="4" t="str">
        <f aca="false">IF(AND($A1362&lt;&gt;"",$A1362=Подбор!$C$4),MAX(I$1:I1361)+1,"")</f>
        <v/>
      </c>
    </row>
    <row r="1363" customFormat="false" ht="15" hidden="false" customHeight="false" outlineLevel="0" collapsed="false">
      <c r="I1363" s="4" t="str">
        <f aca="false">IF(AND($A1363&lt;&gt;"",$A1363=Подбор!$C$4),MAX(I$1:I1362)+1,"")</f>
        <v/>
      </c>
    </row>
    <row r="1364" customFormat="false" ht="15" hidden="false" customHeight="false" outlineLevel="0" collapsed="false">
      <c r="I1364" s="4" t="str">
        <f aca="false">IF(AND($A1364&lt;&gt;"",$A1364=Подбор!$C$4),MAX(I$1:I1363)+1,"")</f>
        <v/>
      </c>
    </row>
    <row r="1365" customFormat="false" ht="15" hidden="false" customHeight="false" outlineLevel="0" collapsed="false">
      <c r="I1365" s="4" t="str">
        <f aca="false">IF(AND($A1365&lt;&gt;"",$A1365=Подбор!$C$4),MAX(I$1:I1364)+1,"")</f>
        <v/>
      </c>
    </row>
    <row r="1366" customFormat="false" ht="15" hidden="false" customHeight="false" outlineLevel="0" collapsed="false">
      <c r="I1366" s="4" t="str">
        <f aca="false">IF(AND($A1366&lt;&gt;"",$A1366=Подбор!$C$4),MAX(I$1:I1365)+1,"")</f>
        <v/>
      </c>
    </row>
    <row r="1367" customFormat="false" ht="15" hidden="false" customHeight="false" outlineLevel="0" collapsed="false">
      <c r="I1367" s="4" t="str">
        <f aca="false">IF(AND($A1367&lt;&gt;"",$A1367=Подбор!$C$4),MAX(I$1:I1366)+1,"")</f>
        <v/>
      </c>
    </row>
    <row r="1368" customFormat="false" ht="15" hidden="false" customHeight="false" outlineLevel="0" collapsed="false">
      <c r="I1368" s="4" t="str">
        <f aca="false">IF(AND($A1368&lt;&gt;"",$A1368=Подбор!$C$4),MAX(I$1:I1367)+1,"")</f>
        <v/>
      </c>
    </row>
    <row r="1369" customFormat="false" ht="15" hidden="false" customHeight="false" outlineLevel="0" collapsed="false">
      <c r="I1369" s="4" t="str">
        <f aca="false">IF(AND($A1369&lt;&gt;"",$A1369=Подбор!$C$4),MAX(I$1:I1368)+1,"")</f>
        <v/>
      </c>
    </row>
    <row r="1370" customFormat="false" ht="15" hidden="false" customHeight="false" outlineLevel="0" collapsed="false">
      <c r="I1370" s="4" t="str">
        <f aca="false">IF(AND($A1370&lt;&gt;"",$A1370=Подбор!$C$4),MAX(I$1:I1369)+1,"")</f>
        <v/>
      </c>
    </row>
    <row r="1371" customFormat="false" ht="15" hidden="false" customHeight="false" outlineLevel="0" collapsed="false">
      <c r="I1371" s="4" t="str">
        <f aca="false">IF(AND($A1371&lt;&gt;"",$A1371=Подбор!$C$4),MAX(I$1:I1370)+1,"")</f>
        <v/>
      </c>
    </row>
    <row r="1372" customFormat="false" ht="15" hidden="false" customHeight="false" outlineLevel="0" collapsed="false">
      <c r="I1372" s="4" t="str">
        <f aca="false">IF(AND($A1372&lt;&gt;"",$A1372=Подбор!$C$4),MAX(I$1:I1371)+1,"")</f>
        <v/>
      </c>
    </row>
    <row r="1373" customFormat="false" ht="15" hidden="false" customHeight="false" outlineLevel="0" collapsed="false">
      <c r="I1373" s="4" t="str">
        <f aca="false">IF(AND($A1373&lt;&gt;"",$A1373=Подбор!$C$4),MAX(I$1:I1372)+1,"")</f>
        <v/>
      </c>
    </row>
    <row r="1374" customFormat="false" ht="15" hidden="false" customHeight="false" outlineLevel="0" collapsed="false">
      <c r="I1374" s="4" t="str">
        <f aca="false">IF(AND($A1374&lt;&gt;"",$A1374=Подбор!$C$4),MAX(I$1:I1373)+1,"")</f>
        <v/>
      </c>
    </row>
    <row r="1375" customFormat="false" ht="15" hidden="false" customHeight="false" outlineLevel="0" collapsed="false">
      <c r="I1375" s="4" t="str">
        <f aca="false">IF(AND($A1375&lt;&gt;"",$A1375=Подбор!$C$4),MAX(I$1:I1374)+1,"")</f>
        <v/>
      </c>
    </row>
    <row r="1376" customFormat="false" ht="15" hidden="false" customHeight="false" outlineLevel="0" collapsed="false">
      <c r="I1376" s="4" t="str">
        <f aca="false">IF(AND($A1376&lt;&gt;"",$A1376=Подбор!$C$4),MAX(I$1:I1375)+1,"")</f>
        <v/>
      </c>
    </row>
    <row r="1377" customFormat="false" ht="15" hidden="false" customHeight="false" outlineLevel="0" collapsed="false">
      <c r="I1377" s="4" t="str">
        <f aca="false">IF(AND($A1377&lt;&gt;"",$A1377=Подбор!$C$4),MAX(I$1:I1376)+1,"")</f>
        <v/>
      </c>
    </row>
    <row r="1378" customFormat="false" ht="15" hidden="false" customHeight="false" outlineLevel="0" collapsed="false">
      <c r="I1378" s="4" t="str">
        <f aca="false">IF(AND($A1378&lt;&gt;"",$A1378=Подбор!$C$4),MAX(I$1:I1377)+1,"")</f>
        <v/>
      </c>
    </row>
    <row r="1379" customFormat="false" ht="15" hidden="false" customHeight="false" outlineLevel="0" collapsed="false">
      <c r="I1379" s="4" t="str">
        <f aca="false">IF(AND($A1379&lt;&gt;"",$A1379=Подбор!$C$4),MAX(I$1:I1378)+1,"")</f>
        <v/>
      </c>
    </row>
    <row r="1380" customFormat="false" ht="15" hidden="false" customHeight="false" outlineLevel="0" collapsed="false">
      <c r="I1380" s="4" t="str">
        <f aca="false">IF(AND($A1380&lt;&gt;"",$A1380=Подбор!$C$4),MAX(I$1:I1379)+1,"")</f>
        <v/>
      </c>
    </row>
    <row r="1381" customFormat="false" ht="15" hidden="false" customHeight="false" outlineLevel="0" collapsed="false">
      <c r="I1381" s="4" t="str">
        <f aca="false">IF(AND($A1381&lt;&gt;"",$A1381=Подбор!$C$4),MAX(I$1:I1380)+1,"")</f>
        <v/>
      </c>
    </row>
    <row r="1382" customFormat="false" ht="15" hidden="false" customHeight="false" outlineLevel="0" collapsed="false">
      <c r="I1382" s="4" t="str">
        <f aca="false">IF(AND($A1382&lt;&gt;"",$A1382=Подбор!$C$4),MAX(I$1:I1381)+1,"")</f>
        <v/>
      </c>
    </row>
    <row r="1383" customFormat="false" ht="15" hidden="false" customHeight="false" outlineLevel="0" collapsed="false">
      <c r="I1383" s="4" t="str">
        <f aca="false">IF(AND($A1383&lt;&gt;"",$A1383=Подбор!$C$4),MAX(I$1:I1382)+1,"")</f>
        <v/>
      </c>
    </row>
    <row r="1384" customFormat="false" ht="15" hidden="false" customHeight="false" outlineLevel="0" collapsed="false">
      <c r="I1384" s="4" t="str">
        <f aca="false">IF(AND($A1384&lt;&gt;"",$A1384=Подбор!$C$4),MAX(I$1:I1383)+1,"")</f>
        <v/>
      </c>
    </row>
    <row r="1385" customFormat="false" ht="15" hidden="false" customHeight="false" outlineLevel="0" collapsed="false">
      <c r="I1385" s="4" t="str">
        <f aca="false">IF(AND($A1385&lt;&gt;"",$A1385=Подбор!$C$4),MAX(I$1:I1384)+1,"")</f>
        <v/>
      </c>
    </row>
    <row r="1386" customFormat="false" ht="15" hidden="false" customHeight="false" outlineLevel="0" collapsed="false">
      <c r="I1386" s="4" t="str">
        <f aca="false">IF(AND($A1386&lt;&gt;"",$A1386=Подбор!$C$4),MAX(I$1:I1385)+1,"")</f>
        <v/>
      </c>
    </row>
    <row r="1387" customFormat="false" ht="15" hidden="false" customHeight="false" outlineLevel="0" collapsed="false">
      <c r="I1387" s="4" t="str">
        <f aca="false">IF(AND($A1387&lt;&gt;"",$A1387=Подбор!$C$4),MAX(I$1:I1386)+1,"")</f>
        <v/>
      </c>
    </row>
    <row r="1388" customFormat="false" ht="15" hidden="false" customHeight="false" outlineLevel="0" collapsed="false">
      <c r="I1388" s="4" t="str">
        <f aca="false">IF(AND($A1388&lt;&gt;"",$A1388=Подбор!$C$4),MAX(I$1:I1387)+1,"")</f>
        <v/>
      </c>
    </row>
    <row r="1389" customFormat="false" ht="15" hidden="false" customHeight="false" outlineLevel="0" collapsed="false">
      <c r="I1389" s="4" t="str">
        <f aca="false">IF(AND($A1389&lt;&gt;"",$A1389=Подбор!$C$4),MAX(I$1:I1388)+1,"")</f>
        <v/>
      </c>
    </row>
    <row r="1390" customFormat="false" ht="15" hidden="false" customHeight="false" outlineLevel="0" collapsed="false">
      <c r="I1390" s="4" t="str">
        <f aca="false">IF(AND($A1390&lt;&gt;"",$A1390=Подбор!$C$4),MAX(I$1:I1389)+1,"")</f>
        <v/>
      </c>
    </row>
    <row r="1391" customFormat="false" ht="15" hidden="false" customHeight="false" outlineLevel="0" collapsed="false">
      <c r="I1391" s="4" t="str">
        <f aca="false">IF(AND($A1391&lt;&gt;"",$A1391=Подбор!$C$4),MAX(I$1:I1390)+1,"")</f>
        <v/>
      </c>
    </row>
    <row r="1392" customFormat="false" ht="15" hidden="false" customHeight="false" outlineLevel="0" collapsed="false">
      <c r="I1392" s="4" t="str">
        <f aca="false">IF(AND($A1392&lt;&gt;"",$A1392=Подбор!$C$4),MAX(I$1:I1391)+1,"")</f>
        <v/>
      </c>
    </row>
    <row r="1393" customFormat="false" ht="15" hidden="false" customHeight="false" outlineLevel="0" collapsed="false">
      <c r="I1393" s="4" t="str">
        <f aca="false">IF(AND($A1393&lt;&gt;"",$A1393=Подбор!$C$4),MAX(I$1:I1392)+1,"")</f>
        <v/>
      </c>
    </row>
    <row r="1394" customFormat="false" ht="15" hidden="false" customHeight="false" outlineLevel="0" collapsed="false">
      <c r="I1394" s="4" t="str">
        <f aca="false">IF(AND($A1394&lt;&gt;"",$A1394=Подбор!$C$4),MAX(I$1:I1393)+1,"")</f>
        <v/>
      </c>
    </row>
    <row r="1395" customFormat="false" ht="15" hidden="false" customHeight="false" outlineLevel="0" collapsed="false">
      <c r="I1395" s="4" t="str">
        <f aca="false">IF(AND($A1395&lt;&gt;"",$A1395=Подбор!$C$4),MAX(I$1:I1394)+1,"")</f>
        <v/>
      </c>
    </row>
    <row r="1396" customFormat="false" ht="15" hidden="false" customHeight="false" outlineLevel="0" collapsed="false">
      <c r="I1396" s="4" t="str">
        <f aca="false">IF(AND($A1396&lt;&gt;"",$A1396=Подбор!$C$4),MAX(I$1:I1395)+1,"")</f>
        <v/>
      </c>
    </row>
    <row r="1397" customFormat="false" ht="15" hidden="false" customHeight="false" outlineLevel="0" collapsed="false">
      <c r="I1397" s="4" t="str">
        <f aca="false">IF(AND($A1397&lt;&gt;"",$A1397=Подбор!$C$4),MAX(I$1:I1396)+1,"")</f>
        <v/>
      </c>
    </row>
    <row r="1398" customFormat="false" ht="15" hidden="false" customHeight="false" outlineLevel="0" collapsed="false">
      <c r="I1398" s="4" t="str">
        <f aca="false">IF(AND($A1398&lt;&gt;"",$A1398=Подбор!$C$4),MAX(I$1:I1397)+1,"")</f>
        <v/>
      </c>
    </row>
    <row r="1399" customFormat="false" ht="15" hidden="false" customHeight="false" outlineLevel="0" collapsed="false">
      <c r="I1399" s="4" t="str">
        <f aca="false">IF(AND($A1399&lt;&gt;"",$A1399=Подбор!$C$4),MAX(I$1:I1398)+1,"")</f>
        <v/>
      </c>
    </row>
    <row r="1400" customFormat="false" ht="15" hidden="false" customHeight="false" outlineLevel="0" collapsed="false">
      <c r="I1400" s="4" t="str">
        <f aca="false">IF(AND($A1400&lt;&gt;"",$A1400=Подбор!$C$4),MAX(I$1:I1399)+1,"")</f>
        <v/>
      </c>
    </row>
    <row r="1401" customFormat="false" ht="15" hidden="false" customHeight="false" outlineLevel="0" collapsed="false">
      <c r="I1401" s="4" t="str">
        <f aca="false">IF(AND($A1401&lt;&gt;"",$A1401=Подбор!$C$4),MAX(I$1:I1400)+1,"")</f>
        <v/>
      </c>
    </row>
    <row r="1402" customFormat="false" ht="15" hidden="false" customHeight="false" outlineLevel="0" collapsed="false">
      <c r="I1402" s="4" t="str">
        <f aca="false">IF(AND($A1402&lt;&gt;"",$A1402=Подбор!$C$4),MAX(I$1:I1401)+1,"")</f>
        <v/>
      </c>
    </row>
    <row r="1403" customFormat="false" ht="15" hidden="false" customHeight="false" outlineLevel="0" collapsed="false">
      <c r="I1403" s="4" t="str">
        <f aca="false">IF(AND($A1403&lt;&gt;"",$A1403=Подбор!$C$4),MAX(I$1:I1402)+1,"")</f>
        <v/>
      </c>
    </row>
    <row r="1404" customFormat="false" ht="15" hidden="false" customHeight="false" outlineLevel="0" collapsed="false">
      <c r="I1404" s="4" t="str">
        <f aca="false">IF(AND($A1404&lt;&gt;"",$A1404=Подбор!$C$4),MAX(I$1:I1403)+1,"")</f>
        <v/>
      </c>
    </row>
    <row r="1405" customFormat="false" ht="15" hidden="false" customHeight="false" outlineLevel="0" collapsed="false">
      <c r="I1405" s="4" t="str">
        <f aca="false">IF(AND($A1405&lt;&gt;"",$A1405=Подбор!$C$4),MAX(I$1:I1404)+1,"")</f>
        <v/>
      </c>
    </row>
    <row r="1406" customFormat="false" ht="15" hidden="false" customHeight="false" outlineLevel="0" collapsed="false">
      <c r="I1406" s="4" t="str">
        <f aca="false">IF(AND($A1406&lt;&gt;"",$A1406=Подбор!$C$4),MAX(I$1:I1405)+1,"")</f>
        <v/>
      </c>
    </row>
    <row r="1407" customFormat="false" ht="15" hidden="false" customHeight="false" outlineLevel="0" collapsed="false">
      <c r="I1407" s="4" t="str">
        <f aca="false">IF(AND($A1407&lt;&gt;"",$A1407=Подбор!$C$4),MAX(I$1:I1406)+1,"")</f>
        <v/>
      </c>
    </row>
    <row r="1408" customFormat="false" ht="15" hidden="false" customHeight="false" outlineLevel="0" collapsed="false">
      <c r="I1408" s="4" t="str">
        <f aca="false">IF(AND($A1408&lt;&gt;"",$A1408=Подбор!$C$4),MAX(I$1:I1407)+1,"")</f>
        <v/>
      </c>
    </row>
    <row r="1409" customFormat="false" ht="15" hidden="false" customHeight="false" outlineLevel="0" collapsed="false">
      <c r="I1409" s="4" t="str">
        <f aca="false">IF(AND($A1409&lt;&gt;"",$A1409=Подбор!$C$4),MAX(I$1:I1408)+1,"")</f>
        <v/>
      </c>
    </row>
    <row r="1410" customFormat="false" ht="15" hidden="false" customHeight="false" outlineLevel="0" collapsed="false">
      <c r="I1410" s="4" t="str">
        <f aca="false">IF(AND($A1410&lt;&gt;"",$A1410=Подбор!$C$4),MAX(I$1:I1409)+1,"")</f>
        <v/>
      </c>
    </row>
    <row r="1411" customFormat="false" ht="15" hidden="false" customHeight="false" outlineLevel="0" collapsed="false">
      <c r="I1411" s="4" t="str">
        <f aca="false">IF(AND($A1411&lt;&gt;"",$A1411=Подбор!$C$4),MAX(I$1:I1410)+1,"")</f>
        <v/>
      </c>
    </row>
    <row r="1412" customFormat="false" ht="15" hidden="false" customHeight="false" outlineLevel="0" collapsed="false">
      <c r="I1412" s="4" t="str">
        <f aca="false">IF(AND($A1412&lt;&gt;"",$A1412=Подбор!$C$4),MAX(I$1:I1411)+1,"")</f>
        <v/>
      </c>
    </row>
    <row r="1413" customFormat="false" ht="15" hidden="false" customHeight="false" outlineLevel="0" collapsed="false">
      <c r="I1413" s="4" t="str">
        <f aca="false">IF(AND($A1413&lt;&gt;"",$A1413=Подбор!$C$4),MAX(I$1:I1412)+1,"")</f>
        <v/>
      </c>
    </row>
    <row r="1414" customFormat="false" ht="15" hidden="false" customHeight="false" outlineLevel="0" collapsed="false">
      <c r="I1414" s="4" t="str">
        <f aca="false">IF(AND($A1414&lt;&gt;"",$A1414=Подбор!$C$4),MAX(I$1:I1413)+1,"")</f>
        <v/>
      </c>
    </row>
    <row r="1415" customFormat="false" ht="15" hidden="false" customHeight="false" outlineLevel="0" collapsed="false">
      <c r="I1415" s="4" t="str">
        <f aca="false">IF(AND($A1415&lt;&gt;"",$A1415=Подбор!$C$4),MAX(I$1:I1414)+1,"")</f>
        <v/>
      </c>
    </row>
    <row r="1416" customFormat="false" ht="15" hidden="false" customHeight="false" outlineLevel="0" collapsed="false">
      <c r="I1416" s="4" t="str">
        <f aca="false">IF(AND($A1416&lt;&gt;"",$A1416=Подбор!$C$4),MAX(I$1:I1415)+1,"")</f>
        <v/>
      </c>
    </row>
    <row r="1417" customFormat="false" ht="15" hidden="false" customHeight="false" outlineLevel="0" collapsed="false">
      <c r="I1417" s="4" t="str">
        <f aca="false">IF(AND($A1417&lt;&gt;"",$A1417=Подбор!$C$4),MAX(I$1:I1416)+1,"")</f>
        <v/>
      </c>
    </row>
    <row r="1418" customFormat="false" ht="15" hidden="false" customHeight="false" outlineLevel="0" collapsed="false">
      <c r="I1418" s="4" t="str">
        <f aca="false">IF(AND($A1418&lt;&gt;"",$A1418=Подбор!$C$4),MAX(I$1:I1417)+1,"")</f>
        <v/>
      </c>
    </row>
    <row r="1419" customFormat="false" ht="15" hidden="false" customHeight="false" outlineLevel="0" collapsed="false">
      <c r="I1419" s="4" t="str">
        <f aca="false">IF(AND($A1419&lt;&gt;"",$A1419=Подбор!$C$4),MAX(I$1:I1418)+1,"")</f>
        <v/>
      </c>
    </row>
    <row r="1420" customFormat="false" ht="15" hidden="false" customHeight="false" outlineLevel="0" collapsed="false">
      <c r="I1420" s="4" t="str">
        <f aca="false">IF(AND($A1420&lt;&gt;"",$A1420=Подбор!$C$4),MAX(I$1:I1419)+1,"")</f>
        <v/>
      </c>
    </row>
    <row r="1421" customFormat="false" ht="15" hidden="false" customHeight="false" outlineLevel="0" collapsed="false">
      <c r="I1421" s="4" t="str">
        <f aca="false">IF(AND($A1421&lt;&gt;"",$A1421=Подбор!$C$4),MAX(I$1:I1420)+1,"")</f>
        <v/>
      </c>
    </row>
    <row r="1422" customFormat="false" ht="15" hidden="false" customHeight="false" outlineLevel="0" collapsed="false">
      <c r="I1422" s="4" t="str">
        <f aca="false">IF(AND($A1422&lt;&gt;"",$A1422=Подбор!$C$4),MAX(I$1:I1421)+1,"")</f>
        <v/>
      </c>
    </row>
    <row r="1423" customFormat="false" ht="15" hidden="false" customHeight="false" outlineLevel="0" collapsed="false">
      <c r="I1423" s="4" t="str">
        <f aca="false">IF(AND($A1423&lt;&gt;"",$A1423=Подбор!$C$4),MAX(I$1:I1422)+1,"")</f>
        <v/>
      </c>
    </row>
    <row r="1424" customFormat="false" ht="15" hidden="false" customHeight="false" outlineLevel="0" collapsed="false">
      <c r="I1424" s="4" t="str">
        <f aca="false">IF(AND($A1424&lt;&gt;"",$A1424=Подбор!$C$4),MAX(I$1:I1423)+1,"")</f>
        <v/>
      </c>
    </row>
    <row r="1425" customFormat="false" ht="15" hidden="false" customHeight="false" outlineLevel="0" collapsed="false">
      <c r="I1425" s="4" t="str">
        <f aca="false">IF(AND($A1425&lt;&gt;"",$A1425=Подбор!$C$4),MAX(I$1:I1424)+1,"")</f>
        <v/>
      </c>
    </row>
    <row r="1426" customFormat="false" ht="15" hidden="false" customHeight="false" outlineLevel="0" collapsed="false">
      <c r="I1426" s="4" t="str">
        <f aca="false">IF(AND($A1426&lt;&gt;"",$A1426=Подбор!$C$4),MAX(I$1:I1425)+1,"")</f>
        <v/>
      </c>
    </row>
    <row r="1427" customFormat="false" ht="15" hidden="false" customHeight="false" outlineLevel="0" collapsed="false">
      <c r="I1427" s="4" t="str">
        <f aca="false">IF(AND($A1427&lt;&gt;"",$A1427=Подбор!$C$4),MAX(I$1:I1426)+1,"")</f>
        <v/>
      </c>
    </row>
    <row r="1428" customFormat="false" ht="15" hidden="false" customHeight="false" outlineLevel="0" collapsed="false">
      <c r="I1428" s="4" t="str">
        <f aca="false">IF(AND($A1428&lt;&gt;"",$A1428=Подбор!$C$4),MAX(I$1:I1427)+1,"")</f>
        <v/>
      </c>
    </row>
    <row r="1429" customFormat="false" ht="15" hidden="false" customHeight="false" outlineLevel="0" collapsed="false">
      <c r="I1429" s="4" t="str">
        <f aca="false">IF(AND($A1429&lt;&gt;"",$A1429=Подбор!$C$4),MAX(I$1:I1428)+1,"")</f>
        <v/>
      </c>
    </row>
    <row r="1430" customFormat="false" ht="15" hidden="false" customHeight="false" outlineLevel="0" collapsed="false">
      <c r="I1430" s="4" t="str">
        <f aca="false">IF(AND($A1430&lt;&gt;"",$A1430=Подбор!$C$4),MAX(I$1:I1429)+1,"")</f>
        <v/>
      </c>
    </row>
    <row r="1431" customFormat="false" ht="15" hidden="false" customHeight="false" outlineLevel="0" collapsed="false">
      <c r="I1431" s="4" t="str">
        <f aca="false">IF(AND($A1431&lt;&gt;"",$A1431=Подбор!$C$4),MAX(I$1:I1430)+1,"")</f>
        <v/>
      </c>
    </row>
    <row r="1432" customFormat="false" ht="15" hidden="false" customHeight="false" outlineLevel="0" collapsed="false">
      <c r="I1432" s="4" t="str">
        <f aca="false">IF(AND($A1432&lt;&gt;"",$A1432=Подбор!$C$4),MAX(I$1:I1431)+1,"")</f>
        <v/>
      </c>
    </row>
    <row r="1433" customFormat="false" ht="15" hidden="false" customHeight="false" outlineLevel="0" collapsed="false">
      <c r="I1433" s="4" t="str">
        <f aca="false">IF(AND($A1433&lt;&gt;"",$A1433=Подбор!$C$4),MAX(I$1:I1432)+1,"")</f>
        <v/>
      </c>
    </row>
    <row r="1434" customFormat="false" ht="15" hidden="false" customHeight="false" outlineLevel="0" collapsed="false">
      <c r="I1434" s="4" t="str">
        <f aca="false">IF(AND($A1434&lt;&gt;"",$A1434=Подбор!$C$4),MAX(I$1:I1433)+1,"")</f>
        <v/>
      </c>
    </row>
    <row r="1435" customFormat="false" ht="15" hidden="false" customHeight="false" outlineLevel="0" collapsed="false">
      <c r="I1435" s="4" t="str">
        <f aca="false">IF(AND($A1435&lt;&gt;"",$A1435=Подбор!$C$4),MAX(I$1:I1434)+1,"")</f>
        <v/>
      </c>
    </row>
    <row r="1436" customFormat="false" ht="15" hidden="false" customHeight="false" outlineLevel="0" collapsed="false">
      <c r="I1436" s="4" t="str">
        <f aca="false">IF(AND($A1436&lt;&gt;"",$A1436=Подбор!$C$4),MAX(I$1:I1435)+1,"")</f>
        <v/>
      </c>
    </row>
    <row r="1437" customFormat="false" ht="15" hidden="false" customHeight="false" outlineLevel="0" collapsed="false">
      <c r="I1437" s="4" t="str">
        <f aca="false">IF(AND($A1437&lt;&gt;"",$A1437=Подбор!$C$4),MAX(I$1:I1436)+1,"")</f>
        <v/>
      </c>
    </row>
    <row r="1438" customFormat="false" ht="15" hidden="false" customHeight="false" outlineLevel="0" collapsed="false">
      <c r="I1438" s="4" t="str">
        <f aca="false">IF(AND($A1438&lt;&gt;"",$A1438=Подбор!$C$4),MAX(I$1:I1437)+1,"")</f>
        <v/>
      </c>
    </row>
    <row r="1439" customFormat="false" ht="15" hidden="false" customHeight="false" outlineLevel="0" collapsed="false">
      <c r="I1439" s="4" t="str">
        <f aca="false">IF(AND($A1439&lt;&gt;"",$A1439=Подбор!$C$4),MAX(I$1:I1438)+1,"")</f>
        <v/>
      </c>
    </row>
    <row r="1440" customFormat="false" ht="15" hidden="false" customHeight="false" outlineLevel="0" collapsed="false">
      <c r="I1440" s="4" t="str">
        <f aca="false">IF(AND($A1440&lt;&gt;"",$A1440=Подбор!$C$4),MAX(I$1:I1439)+1,"")</f>
        <v/>
      </c>
    </row>
    <row r="1441" customFormat="false" ht="15" hidden="false" customHeight="false" outlineLevel="0" collapsed="false">
      <c r="I1441" s="4" t="str">
        <f aca="false">IF(AND($A1441&lt;&gt;"",$A1441=Подбор!$C$4),MAX(I$1:I1440)+1,"")</f>
        <v/>
      </c>
    </row>
    <row r="1442" customFormat="false" ht="15" hidden="false" customHeight="false" outlineLevel="0" collapsed="false">
      <c r="I1442" s="4" t="str">
        <f aca="false">IF(AND($A1442&lt;&gt;"",$A1442=Подбор!$C$4),MAX(I$1:I1441)+1,"")</f>
        <v/>
      </c>
    </row>
    <row r="1443" customFormat="false" ht="15" hidden="false" customHeight="false" outlineLevel="0" collapsed="false">
      <c r="I1443" s="4" t="str">
        <f aca="false">IF(AND($A1443&lt;&gt;"",$A1443=Подбор!$C$4),MAX(I$1:I1442)+1,"")</f>
        <v/>
      </c>
    </row>
    <row r="1444" customFormat="false" ht="15" hidden="false" customHeight="false" outlineLevel="0" collapsed="false">
      <c r="I1444" s="4" t="str">
        <f aca="false">IF(AND($A1444&lt;&gt;"",$A1444=Подбор!$C$4),MAX(I$1:I1443)+1,"")</f>
        <v/>
      </c>
    </row>
    <row r="1445" customFormat="false" ht="15" hidden="false" customHeight="false" outlineLevel="0" collapsed="false">
      <c r="I1445" s="4" t="str">
        <f aca="false">IF(AND($A1445&lt;&gt;"",$A1445=Подбор!$C$4),MAX(I$1:I1444)+1,"")</f>
        <v/>
      </c>
    </row>
    <row r="1446" customFormat="false" ht="15" hidden="false" customHeight="false" outlineLevel="0" collapsed="false">
      <c r="I1446" s="4" t="str">
        <f aca="false">IF(AND($A1446&lt;&gt;"",$A1446=Подбор!$C$4),MAX(I$1:I1445)+1,"")</f>
        <v/>
      </c>
    </row>
    <row r="1447" customFormat="false" ht="15" hidden="false" customHeight="false" outlineLevel="0" collapsed="false">
      <c r="I1447" s="4" t="str">
        <f aca="false">IF(AND($A1447&lt;&gt;"",$A1447=Подбор!$C$4),MAX(I$1:I1446)+1,"")</f>
        <v/>
      </c>
    </row>
    <row r="1448" customFormat="false" ht="15" hidden="false" customHeight="false" outlineLevel="0" collapsed="false">
      <c r="I1448" s="4" t="str">
        <f aca="false">IF(AND($A1448&lt;&gt;"",$A1448=Подбор!$C$4),MAX(I$1:I1447)+1,"")</f>
        <v/>
      </c>
    </row>
    <row r="1449" customFormat="false" ht="15" hidden="false" customHeight="false" outlineLevel="0" collapsed="false">
      <c r="I1449" s="4" t="str">
        <f aca="false">IF(AND($A1449&lt;&gt;"",$A1449=Подбор!$C$4),MAX(I$1:I1448)+1,"")</f>
        <v/>
      </c>
    </row>
    <row r="1450" customFormat="false" ht="15" hidden="false" customHeight="false" outlineLevel="0" collapsed="false">
      <c r="I1450" s="4" t="str">
        <f aca="false">IF(AND($A1450&lt;&gt;"",$A1450=Подбор!$C$4),MAX(I$1:I1449)+1,"")</f>
        <v/>
      </c>
    </row>
    <row r="1451" customFormat="false" ht="15" hidden="false" customHeight="false" outlineLevel="0" collapsed="false">
      <c r="I1451" s="4" t="str">
        <f aca="false">IF(AND($A1451&lt;&gt;"",$A1451=Подбор!$C$4),MAX(I$1:I1450)+1,"")</f>
        <v/>
      </c>
    </row>
    <row r="1452" customFormat="false" ht="15" hidden="false" customHeight="false" outlineLevel="0" collapsed="false">
      <c r="I1452" s="4" t="str">
        <f aca="false">IF(AND($A1452&lt;&gt;"",$A1452=Подбор!$C$4),MAX(I$1:I1451)+1,"")</f>
        <v/>
      </c>
    </row>
    <row r="1453" customFormat="false" ht="15" hidden="false" customHeight="false" outlineLevel="0" collapsed="false">
      <c r="I1453" s="4" t="str">
        <f aca="false">IF(AND($A1453&lt;&gt;"",$A1453=Подбор!$C$4),MAX(I$1:I1452)+1,"")</f>
        <v/>
      </c>
    </row>
    <row r="1454" customFormat="false" ht="15" hidden="false" customHeight="false" outlineLevel="0" collapsed="false">
      <c r="I1454" s="4" t="str">
        <f aca="false">IF(AND($A1454&lt;&gt;"",$A1454=Подбор!$C$4),MAX(I$1:I1453)+1,"")</f>
        <v/>
      </c>
    </row>
    <row r="1455" customFormat="false" ht="15" hidden="false" customHeight="false" outlineLevel="0" collapsed="false">
      <c r="I1455" s="4" t="str">
        <f aca="false">IF(AND($A1455&lt;&gt;"",$A1455=Подбор!$C$4),MAX(I$1:I1454)+1,"")</f>
        <v/>
      </c>
    </row>
    <row r="1456" customFormat="false" ht="15" hidden="false" customHeight="false" outlineLevel="0" collapsed="false">
      <c r="I1456" s="4" t="str">
        <f aca="false">IF(AND($A1456&lt;&gt;"",$A1456=Подбор!$C$4),MAX(I$1:I1455)+1,"")</f>
        <v/>
      </c>
    </row>
    <row r="1457" customFormat="false" ht="15" hidden="false" customHeight="false" outlineLevel="0" collapsed="false">
      <c r="I1457" s="4" t="str">
        <f aca="false">IF(AND($A1457&lt;&gt;"",$A1457=Подбор!$C$4),MAX(I$1:I1456)+1,"")</f>
        <v/>
      </c>
    </row>
    <row r="1458" customFormat="false" ht="15" hidden="false" customHeight="false" outlineLevel="0" collapsed="false">
      <c r="I1458" s="4" t="str">
        <f aca="false">IF(AND($A1458&lt;&gt;"",$A1458=Подбор!$C$4),MAX(I$1:I1457)+1,"")</f>
        <v/>
      </c>
    </row>
    <row r="1459" customFormat="false" ht="15" hidden="false" customHeight="false" outlineLevel="0" collapsed="false">
      <c r="I1459" s="4" t="str">
        <f aca="false">IF(AND($A1459&lt;&gt;"",$A1459=Подбор!$C$4),MAX(I$1:I1458)+1,"")</f>
        <v/>
      </c>
    </row>
    <row r="1460" customFormat="false" ht="15" hidden="false" customHeight="false" outlineLevel="0" collapsed="false">
      <c r="I1460" s="4" t="str">
        <f aca="false">IF(AND($A1460&lt;&gt;"",$A1460=Подбор!$C$4),MAX(I$1:I1459)+1,"")</f>
        <v/>
      </c>
    </row>
    <row r="1461" customFormat="false" ht="15" hidden="false" customHeight="false" outlineLevel="0" collapsed="false">
      <c r="I1461" s="4" t="str">
        <f aca="false">IF(AND($A1461&lt;&gt;"",$A1461=Подбор!$C$4),MAX(I$1:I1460)+1,"")</f>
        <v/>
      </c>
    </row>
    <row r="1462" customFormat="false" ht="15" hidden="false" customHeight="false" outlineLevel="0" collapsed="false">
      <c r="I1462" s="4" t="str">
        <f aca="false">IF(AND($A1462&lt;&gt;"",$A1462=Подбор!$C$4),MAX(I$1:I1461)+1,"")</f>
        <v/>
      </c>
    </row>
    <row r="1463" customFormat="false" ht="15" hidden="false" customHeight="false" outlineLevel="0" collapsed="false">
      <c r="I1463" s="4" t="str">
        <f aca="false">IF(AND($A1463&lt;&gt;"",$A1463=Подбор!$C$4),MAX(I$1:I1462)+1,"")</f>
        <v/>
      </c>
    </row>
    <row r="1464" customFormat="false" ht="15" hidden="false" customHeight="false" outlineLevel="0" collapsed="false">
      <c r="I1464" s="4" t="str">
        <f aca="false">IF(AND($A1464&lt;&gt;"",$A1464=Подбор!$C$4),MAX(I$1:I1463)+1,"")</f>
        <v/>
      </c>
    </row>
    <row r="1465" customFormat="false" ht="15" hidden="false" customHeight="false" outlineLevel="0" collapsed="false">
      <c r="I1465" s="4" t="str">
        <f aca="false">IF(AND($A1465&lt;&gt;"",$A1465=Подбор!$C$4),MAX(I$1:I1464)+1,"")</f>
        <v/>
      </c>
    </row>
    <row r="1466" customFormat="false" ht="15" hidden="false" customHeight="false" outlineLevel="0" collapsed="false">
      <c r="I1466" s="4" t="str">
        <f aca="false">IF(AND($A1466&lt;&gt;"",$A1466=Подбор!$C$4),MAX(I$1:I1465)+1,"")</f>
        <v/>
      </c>
    </row>
    <row r="1467" customFormat="false" ht="15" hidden="false" customHeight="false" outlineLevel="0" collapsed="false">
      <c r="I1467" s="4" t="str">
        <f aca="false">IF(AND($A1467&lt;&gt;"",$A1467=Подбор!$C$4),MAX(I$1:I1466)+1,"")</f>
        <v/>
      </c>
    </row>
    <row r="1468" customFormat="false" ht="15" hidden="false" customHeight="false" outlineLevel="0" collapsed="false">
      <c r="I1468" s="4" t="str">
        <f aca="false">IF(AND($A1468&lt;&gt;"",$A1468=Подбор!$C$4),MAX(I$1:I1467)+1,"")</f>
        <v/>
      </c>
    </row>
    <row r="1469" customFormat="false" ht="15" hidden="false" customHeight="false" outlineLevel="0" collapsed="false">
      <c r="I1469" s="4" t="str">
        <f aca="false">IF(AND($A1469&lt;&gt;"",$A1469=Подбор!$C$4),MAX(I$1:I1468)+1,"")</f>
        <v/>
      </c>
    </row>
    <row r="1470" customFormat="false" ht="15" hidden="false" customHeight="false" outlineLevel="0" collapsed="false">
      <c r="I1470" s="4" t="str">
        <f aca="false">IF(AND($A1470&lt;&gt;"",$A1470=Подбор!$C$4),MAX(I$1:I1469)+1,"")</f>
        <v/>
      </c>
    </row>
    <row r="1471" customFormat="false" ht="15" hidden="false" customHeight="false" outlineLevel="0" collapsed="false">
      <c r="I1471" s="4" t="str">
        <f aca="false">IF(AND($A1471&lt;&gt;"",$A1471=Подбор!$C$4),MAX(I$1:I1470)+1,"")</f>
        <v/>
      </c>
    </row>
    <row r="1472" customFormat="false" ht="15" hidden="false" customHeight="false" outlineLevel="0" collapsed="false">
      <c r="I1472" s="4" t="str">
        <f aca="false">IF(AND($A1472&lt;&gt;"",$A1472=Подбор!$C$4),MAX(I$1:I1471)+1,"")</f>
        <v/>
      </c>
    </row>
    <row r="1473" customFormat="false" ht="15" hidden="false" customHeight="false" outlineLevel="0" collapsed="false">
      <c r="I1473" s="4" t="str">
        <f aca="false">IF(AND($A1473&lt;&gt;"",$A1473=Подбор!$C$4),MAX(I$1:I1472)+1,"")</f>
        <v/>
      </c>
    </row>
    <row r="1474" customFormat="false" ht="15" hidden="false" customHeight="false" outlineLevel="0" collapsed="false">
      <c r="I1474" s="4" t="str">
        <f aca="false">IF(AND($A1474&lt;&gt;"",$A1474=Подбор!$C$4),MAX(I$1:I1473)+1,"")</f>
        <v/>
      </c>
    </row>
    <row r="1475" customFormat="false" ht="15" hidden="false" customHeight="false" outlineLevel="0" collapsed="false">
      <c r="I1475" s="4" t="str">
        <f aca="false">IF(AND($A1475&lt;&gt;"",$A1475=Подбор!$C$4),MAX(I$1:I1474)+1,"")</f>
        <v/>
      </c>
    </row>
    <row r="1476" customFormat="false" ht="15" hidden="false" customHeight="false" outlineLevel="0" collapsed="false">
      <c r="I1476" s="4" t="str">
        <f aca="false">IF(AND($A1476&lt;&gt;"",$A1476=Подбор!$C$4),MAX(I$1:I1475)+1,"")</f>
        <v/>
      </c>
    </row>
    <row r="1477" customFormat="false" ht="15" hidden="false" customHeight="false" outlineLevel="0" collapsed="false">
      <c r="I1477" s="4" t="str">
        <f aca="false">IF(AND($A1477&lt;&gt;"",$A1477=Подбор!$C$4),MAX(I$1:I1476)+1,"")</f>
        <v/>
      </c>
    </row>
    <row r="1478" customFormat="false" ht="15" hidden="false" customHeight="false" outlineLevel="0" collapsed="false">
      <c r="I1478" s="4" t="str">
        <f aca="false">IF(AND($A1478&lt;&gt;"",$A1478=Подбор!$C$4),MAX(I$1:I1477)+1,"")</f>
        <v/>
      </c>
    </row>
    <row r="1479" customFormat="false" ht="15" hidden="false" customHeight="false" outlineLevel="0" collapsed="false">
      <c r="I1479" s="4" t="str">
        <f aca="false">IF(AND($A1479&lt;&gt;"",$A1479=Подбор!$C$4),MAX(I$1:I1478)+1,"")</f>
        <v/>
      </c>
    </row>
    <row r="1480" customFormat="false" ht="15" hidden="false" customHeight="false" outlineLevel="0" collapsed="false">
      <c r="I1480" s="4" t="str">
        <f aca="false">IF(AND($A1480&lt;&gt;"",$A1480=Подбор!$C$4),MAX(I$1:I1479)+1,"")</f>
        <v/>
      </c>
    </row>
    <row r="1481" customFormat="false" ht="15" hidden="false" customHeight="false" outlineLevel="0" collapsed="false">
      <c r="I1481" s="4" t="str">
        <f aca="false">IF(AND($A1481&lt;&gt;"",$A1481=Подбор!$C$4),MAX(I$1:I1480)+1,"")</f>
        <v/>
      </c>
    </row>
    <row r="1482" customFormat="false" ht="15" hidden="false" customHeight="false" outlineLevel="0" collapsed="false">
      <c r="I1482" s="4" t="str">
        <f aca="false">IF(AND($A1482&lt;&gt;"",$A1482=Подбор!$C$4),MAX(I$1:I1481)+1,"")</f>
        <v/>
      </c>
    </row>
    <row r="1483" customFormat="false" ht="15" hidden="false" customHeight="false" outlineLevel="0" collapsed="false">
      <c r="I1483" s="4" t="str">
        <f aca="false">IF(AND($A1483&lt;&gt;"",$A1483=Подбор!$C$4),MAX(I$1:I1482)+1,"")</f>
        <v/>
      </c>
    </row>
    <row r="1484" customFormat="false" ht="15" hidden="false" customHeight="false" outlineLevel="0" collapsed="false">
      <c r="I1484" s="4" t="str">
        <f aca="false">IF(AND($A1484&lt;&gt;"",$A1484=Подбор!$C$4),MAX(I$1:I1483)+1,"")</f>
        <v/>
      </c>
    </row>
    <row r="1485" customFormat="false" ht="15" hidden="false" customHeight="false" outlineLevel="0" collapsed="false">
      <c r="I1485" s="4" t="str">
        <f aca="false">IF(AND($A1485&lt;&gt;"",$A1485=Подбор!$C$4),MAX(I$1:I1484)+1,"")</f>
        <v/>
      </c>
    </row>
    <row r="1486" customFormat="false" ht="15" hidden="false" customHeight="false" outlineLevel="0" collapsed="false">
      <c r="I1486" s="4" t="str">
        <f aca="false">IF(AND($A1486&lt;&gt;"",$A1486=Подбор!$C$4),MAX(I$1:I1485)+1,"")</f>
        <v/>
      </c>
    </row>
    <row r="1487" customFormat="false" ht="15" hidden="false" customHeight="false" outlineLevel="0" collapsed="false">
      <c r="I1487" s="4" t="str">
        <f aca="false">IF(AND($A1487&lt;&gt;"",$A1487=Подбор!$C$4),MAX(I$1:I1486)+1,"")</f>
        <v/>
      </c>
    </row>
    <row r="1488" customFormat="false" ht="15" hidden="false" customHeight="false" outlineLevel="0" collapsed="false">
      <c r="I1488" s="4" t="str">
        <f aca="false">IF(AND($A1488&lt;&gt;"",$A1488=Подбор!$C$4),MAX(I$1:I1487)+1,"")</f>
        <v/>
      </c>
    </row>
    <row r="1489" customFormat="false" ht="15" hidden="false" customHeight="false" outlineLevel="0" collapsed="false">
      <c r="I1489" s="4" t="str">
        <f aca="false">IF(AND($A1489&lt;&gt;"",$A1489=Подбор!$C$4),MAX(I$1:I1488)+1,"")</f>
        <v/>
      </c>
    </row>
    <row r="1490" customFormat="false" ht="15" hidden="false" customHeight="false" outlineLevel="0" collapsed="false">
      <c r="I1490" s="4" t="str">
        <f aca="false">IF(AND($A1490&lt;&gt;"",$A1490=Подбор!$C$4),MAX(I$1:I1489)+1,"")</f>
        <v/>
      </c>
    </row>
    <row r="1491" customFormat="false" ht="15" hidden="false" customHeight="false" outlineLevel="0" collapsed="false">
      <c r="I1491" s="4" t="str">
        <f aca="false">IF(AND($A1491&lt;&gt;"",$A1491=Подбор!$C$4),MAX(I$1:I1490)+1,"")</f>
        <v/>
      </c>
    </row>
    <row r="1492" customFormat="false" ht="15" hidden="false" customHeight="false" outlineLevel="0" collapsed="false">
      <c r="I1492" s="4" t="str">
        <f aca="false">IF(AND($A1492&lt;&gt;"",$A1492=Подбор!$C$4),MAX(I$1:I1491)+1,"")</f>
        <v/>
      </c>
    </row>
    <row r="1493" customFormat="false" ht="15" hidden="false" customHeight="false" outlineLevel="0" collapsed="false">
      <c r="I1493" s="4" t="str">
        <f aca="false">IF(AND($A1493&lt;&gt;"",$A1493=Подбор!$C$4),MAX(I$1:I1492)+1,"")</f>
        <v/>
      </c>
    </row>
    <row r="1494" customFormat="false" ht="15" hidden="false" customHeight="false" outlineLevel="0" collapsed="false">
      <c r="I1494" s="4" t="str">
        <f aca="false">IF(AND($A1494&lt;&gt;"",$A1494=Подбор!$C$4),MAX(I$1:I1493)+1,"")</f>
        <v/>
      </c>
    </row>
    <row r="1495" customFormat="false" ht="15" hidden="false" customHeight="false" outlineLevel="0" collapsed="false">
      <c r="I1495" s="4" t="str">
        <f aca="false">IF(AND($A1495&lt;&gt;"",$A1495=Подбор!$C$4),MAX(I$1:I1494)+1,"")</f>
        <v/>
      </c>
    </row>
    <row r="1496" customFormat="false" ht="15" hidden="false" customHeight="false" outlineLevel="0" collapsed="false">
      <c r="I1496" s="4" t="str">
        <f aca="false">IF(AND($A1496&lt;&gt;"",$A1496=Подбор!$C$4),MAX(I$1:I1495)+1,"")</f>
        <v/>
      </c>
    </row>
  </sheetData>
  <autoFilter ref="A1:H1196"/>
  <conditionalFormatting sqref="A2:H1496">
    <cfRule type="expression" priority="2" aboveAverage="0" equalAverage="0" bottom="0" percent="0" rank="0" text="" dxfId="3">
      <formula>AND($A2&lt;&gt;"",$E2="")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1401</v>
      </c>
      <c r="G1" s="1" t="s">
        <v>5</v>
      </c>
      <c r="H1" s="1" t="s">
        <v>6</v>
      </c>
      <c r="I1" s="1" t="s">
        <v>7</v>
      </c>
      <c r="J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1402</v>
      </c>
      <c r="F2" s="3" t="s">
        <v>1403</v>
      </c>
      <c r="G2" s="3"/>
      <c r="H2" s="3"/>
      <c r="I2" s="3"/>
      <c r="J2" s="4" t="str">
        <f aca="false">IF(AND($A2&lt;&gt;"",$A2=Подбор!$C$4),MAX(J$1:J1)+1,"")</f>
        <v/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14</v>
      </c>
      <c r="D3" s="3" t="s">
        <v>15</v>
      </c>
      <c r="E3" s="3" t="s">
        <v>1404</v>
      </c>
      <c r="F3" s="3" t="s">
        <v>1403</v>
      </c>
      <c r="G3" s="3"/>
      <c r="H3" s="3"/>
      <c r="I3" s="3"/>
      <c r="J3" s="4" t="str">
        <f aca="false">IF(AND($A3&lt;&gt;"",$A3=Подбор!$C$4),MAX(J$1:J2)+1,"")</f>
        <v/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17</v>
      </c>
      <c r="D4" s="3" t="s">
        <v>15</v>
      </c>
      <c r="E4" s="3" t="s">
        <v>1405</v>
      </c>
      <c r="F4" s="3" t="s">
        <v>1403</v>
      </c>
      <c r="G4" s="3"/>
      <c r="H4" s="3"/>
      <c r="I4" s="3"/>
      <c r="J4" s="4" t="str">
        <f aca="false">IF(AND($A4&lt;&gt;"",$A4=Подбор!$C$4),MAX(J$1:J3)+1,"")</f>
        <v/>
      </c>
    </row>
    <row r="5" customFormat="false" ht="15" hidden="false" customHeight="false" outlineLevel="0" collapsed="false">
      <c r="A5" s="3" t="s">
        <v>19</v>
      </c>
      <c r="B5" s="3" t="s">
        <v>10</v>
      </c>
      <c r="C5" s="3" t="s">
        <v>11</v>
      </c>
      <c r="D5" s="3" t="s">
        <v>12</v>
      </c>
      <c r="E5" s="3" t="s">
        <v>1406</v>
      </c>
      <c r="F5" s="3" t="s">
        <v>1403</v>
      </c>
      <c r="G5" s="3"/>
      <c r="H5" s="3"/>
      <c r="I5" s="3"/>
      <c r="J5" s="4" t="n">
        <f aca="false">IF(AND($A5&lt;&gt;"",$A5=Подбор!$C$4),MAX(J$1:J4)+1,"")</f>
        <v>1</v>
      </c>
    </row>
    <row r="6" customFormat="false" ht="15" hidden="false" customHeight="false" outlineLevel="0" collapsed="false">
      <c r="A6" s="3" t="s">
        <v>19</v>
      </c>
      <c r="B6" s="3" t="s">
        <v>10</v>
      </c>
      <c r="C6" s="3" t="s">
        <v>11</v>
      </c>
      <c r="D6" s="3" t="s">
        <v>21</v>
      </c>
      <c r="E6" s="3" t="s">
        <v>1407</v>
      </c>
      <c r="F6" s="3" t="s">
        <v>1403</v>
      </c>
      <c r="G6" s="3"/>
      <c r="H6" s="3"/>
      <c r="I6" s="3"/>
      <c r="J6" s="4" t="n">
        <f aca="false">IF(AND($A6&lt;&gt;"",$A6=Подбор!$C$4),MAX(J$1:J5)+1,"")</f>
        <v>2</v>
      </c>
    </row>
    <row r="7" customFormat="false" ht="15" hidden="false" customHeight="false" outlineLevel="0" collapsed="false">
      <c r="A7" s="3" t="s">
        <v>19</v>
      </c>
      <c r="B7" s="3" t="s">
        <v>10</v>
      </c>
      <c r="C7" s="3" t="s">
        <v>11</v>
      </c>
      <c r="D7" s="3" t="s">
        <v>23</v>
      </c>
      <c r="E7" s="3" t="s">
        <v>1408</v>
      </c>
      <c r="F7" s="3" t="s">
        <v>1403</v>
      </c>
      <c r="G7" s="3"/>
      <c r="H7" s="3"/>
      <c r="I7" s="3"/>
      <c r="J7" s="4" t="n">
        <f aca="false">IF(AND($A7&lt;&gt;"",$A7=Подбор!$C$4),MAX(J$1:J6)+1,"")</f>
        <v>3</v>
      </c>
    </row>
    <row r="8" customFormat="false" ht="15" hidden="false" customHeight="false" outlineLevel="0" collapsed="false">
      <c r="A8" s="3" t="s">
        <v>19</v>
      </c>
      <c r="B8" s="3" t="s">
        <v>10</v>
      </c>
      <c r="C8" s="3" t="s">
        <v>11</v>
      </c>
      <c r="D8" s="3" t="s">
        <v>25</v>
      </c>
      <c r="E8" s="3" t="s">
        <v>1409</v>
      </c>
      <c r="F8" s="3" t="s">
        <v>1403</v>
      </c>
      <c r="G8" s="3"/>
      <c r="H8" s="3"/>
      <c r="I8" s="3"/>
      <c r="J8" s="4" t="n">
        <f aca="false">IF(AND($A8&lt;&gt;"",$A8=Подбор!$C$4),MAX(J$1:J7)+1,"")</f>
        <v>4</v>
      </c>
    </row>
    <row r="9" customFormat="false" ht="15" hidden="false" customHeight="false" outlineLevel="0" collapsed="false">
      <c r="A9" s="3" t="s">
        <v>19</v>
      </c>
      <c r="B9" s="3" t="s">
        <v>10</v>
      </c>
      <c r="C9" s="3" t="s">
        <v>14</v>
      </c>
      <c r="D9" s="3" t="s">
        <v>15</v>
      </c>
      <c r="E9" s="3" t="s">
        <v>1410</v>
      </c>
      <c r="F9" s="3" t="s">
        <v>1403</v>
      </c>
      <c r="G9" s="3"/>
      <c r="H9" s="3"/>
      <c r="I9" s="3"/>
      <c r="J9" s="4" t="n">
        <f aca="false">IF(AND($A9&lt;&gt;"",$A9=Подбор!$C$4),MAX(J$1:J8)+1,"")</f>
        <v>5</v>
      </c>
    </row>
    <row r="10" customFormat="false" ht="15" hidden="false" customHeight="false" outlineLevel="0" collapsed="false">
      <c r="A10" s="3" t="s">
        <v>19</v>
      </c>
      <c r="B10" s="3" t="s">
        <v>10</v>
      </c>
      <c r="C10" s="3" t="s">
        <v>28</v>
      </c>
      <c r="D10" s="3" t="s">
        <v>15</v>
      </c>
      <c r="E10" s="3" t="s">
        <v>1411</v>
      </c>
      <c r="F10" s="3" t="s">
        <v>1403</v>
      </c>
      <c r="G10" s="3"/>
      <c r="H10" s="3"/>
      <c r="I10" s="3"/>
      <c r="J10" s="4" t="n">
        <f aca="false">IF(AND($A10&lt;&gt;"",$A10=Подбор!$C$4),MAX(J$1:J9)+1,"")</f>
        <v>6</v>
      </c>
    </row>
    <row r="11" customFormat="false" ht="15" hidden="false" customHeight="false" outlineLevel="0" collapsed="false">
      <c r="A11" s="3" t="s">
        <v>19</v>
      </c>
      <c r="B11" s="3" t="s">
        <v>10</v>
      </c>
      <c r="C11" s="3" t="s">
        <v>30</v>
      </c>
      <c r="D11" s="3" t="s">
        <v>15</v>
      </c>
      <c r="E11" s="3" t="s">
        <v>1412</v>
      </c>
      <c r="F11" s="3" t="s">
        <v>1403</v>
      </c>
      <c r="G11" s="3"/>
      <c r="H11" s="3"/>
      <c r="I11" s="3"/>
      <c r="J11" s="4" t="n">
        <f aca="false">IF(AND($A11&lt;&gt;"",$A11=Подбор!$C$4),MAX(J$1:J10)+1,"")</f>
        <v>7</v>
      </c>
    </row>
    <row r="12" customFormat="false" ht="15" hidden="false" customHeight="false" outlineLevel="0" collapsed="false">
      <c r="A12" s="3" t="s">
        <v>19</v>
      </c>
      <c r="B12" s="3" t="s">
        <v>10</v>
      </c>
      <c r="C12" s="3" t="s">
        <v>17</v>
      </c>
      <c r="D12" s="3" t="s">
        <v>15</v>
      </c>
      <c r="E12" s="3" t="s">
        <v>1413</v>
      </c>
      <c r="F12" s="3" t="s">
        <v>1403</v>
      </c>
      <c r="G12" s="3"/>
      <c r="H12" s="3"/>
      <c r="I12" s="3"/>
      <c r="J12" s="4" t="n">
        <f aca="false">IF(AND($A12&lt;&gt;"",$A12=Подбор!$C$4),MAX(J$1:J11)+1,"")</f>
        <v>8</v>
      </c>
    </row>
    <row r="13" customFormat="false" ht="15" hidden="false" customHeight="false" outlineLevel="0" collapsed="false">
      <c r="A13" s="3" t="s">
        <v>33</v>
      </c>
      <c r="B13" s="3" t="s">
        <v>34</v>
      </c>
      <c r="C13" s="3" t="s">
        <v>11</v>
      </c>
      <c r="D13" s="3" t="s">
        <v>12</v>
      </c>
      <c r="E13" s="3" t="s">
        <v>1414</v>
      </c>
      <c r="F13" s="3" t="s">
        <v>1403</v>
      </c>
      <c r="G13" s="3" t="n">
        <v>6000</v>
      </c>
      <c r="H13" s="3"/>
      <c r="I13" s="3" t="s">
        <v>1415</v>
      </c>
      <c r="J13" s="4" t="str">
        <f aca="false">IF(AND($A13&lt;&gt;"",$A13=Подбор!$C$4),MAX(J$1:J12)+1,"")</f>
        <v/>
      </c>
    </row>
    <row r="14" customFormat="false" ht="15" hidden="false" customHeight="false" outlineLevel="0" collapsed="false">
      <c r="A14" s="3" t="s">
        <v>33</v>
      </c>
      <c r="B14" s="3" t="s">
        <v>34</v>
      </c>
      <c r="C14" s="3" t="s">
        <v>11</v>
      </c>
      <c r="D14" s="3" t="s">
        <v>12</v>
      </c>
      <c r="E14" s="3" t="s">
        <v>1416</v>
      </c>
      <c r="F14" s="3" t="s">
        <v>1417</v>
      </c>
      <c r="G14" s="3" t="n">
        <v>6000</v>
      </c>
      <c r="H14" s="3"/>
      <c r="I14" s="3" t="s">
        <v>1415</v>
      </c>
      <c r="J14" s="4" t="str">
        <f aca="false">IF(AND($A14&lt;&gt;"",$A14=Подбор!$C$4),MAX(J$1:J13)+1,"")</f>
        <v/>
      </c>
    </row>
    <row r="15" customFormat="false" ht="15" hidden="false" customHeight="false" outlineLevel="0" collapsed="false">
      <c r="A15" s="3" t="s">
        <v>33</v>
      </c>
      <c r="B15" s="3" t="s">
        <v>34</v>
      </c>
      <c r="C15" s="3" t="s">
        <v>36</v>
      </c>
      <c r="D15" s="3" t="s">
        <v>15</v>
      </c>
      <c r="E15" s="3" t="s">
        <v>1418</v>
      </c>
      <c r="F15" s="3" t="s">
        <v>1403</v>
      </c>
      <c r="G15" s="3" t="n">
        <v>30000</v>
      </c>
      <c r="H15" s="3"/>
      <c r="I15" s="3" t="s">
        <v>1415</v>
      </c>
      <c r="J15" s="4" t="str">
        <f aca="false">IF(AND($A15&lt;&gt;"",$A15=Подбор!$C$4),MAX(J$1:J14)+1,"")</f>
        <v/>
      </c>
    </row>
    <row r="16" customFormat="false" ht="15" hidden="false" customHeight="false" outlineLevel="0" collapsed="false">
      <c r="A16" s="3" t="s">
        <v>33</v>
      </c>
      <c r="B16" s="3" t="s">
        <v>34</v>
      </c>
      <c r="C16" s="3" t="s">
        <v>36</v>
      </c>
      <c r="D16" s="3" t="s">
        <v>15</v>
      </c>
      <c r="E16" s="3" t="s">
        <v>1419</v>
      </c>
      <c r="F16" s="3" t="s">
        <v>1417</v>
      </c>
      <c r="G16" s="3" t="n">
        <v>30000</v>
      </c>
      <c r="H16" s="3"/>
      <c r="I16" s="3" t="s">
        <v>1415</v>
      </c>
      <c r="J16" s="4" t="str">
        <f aca="false">IF(AND($A16&lt;&gt;"",$A16=Подбор!$C$4),MAX(J$1:J15)+1,"")</f>
        <v/>
      </c>
    </row>
    <row r="17" customFormat="false" ht="15" hidden="false" customHeight="false" outlineLevel="0" collapsed="false">
      <c r="A17" s="3" t="s">
        <v>33</v>
      </c>
      <c r="B17" s="3" t="s">
        <v>34</v>
      </c>
      <c r="C17" s="3" t="s">
        <v>36</v>
      </c>
      <c r="D17" s="3" t="s">
        <v>15</v>
      </c>
      <c r="E17" s="3" t="s">
        <v>1420</v>
      </c>
      <c r="F17" s="3" t="s">
        <v>1421</v>
      </c>
      <c r="G17" s="3" t="n">
        <v>30000</v>
      </c>
      <c r="H17" s="3"/>
      <c r="I17" s="3" t="s">
        <v>1415</v>
      </c>
      <c r="J17" s="4" t="str">
        <f aca="false">IF(AND($A17&lt;&gt;"",$A17=Подбор!$C$4),MAX(J$1:J16)+1,"")</f>
        <v/>
      </c>
    </row>
    <row r="18" customFormat="false" ht="15" hidden="false" customHeight="false" outlineLevel="0" collapsed="false">
      <c r="A18" s="3" t="s">
        <v>33</v>
      </c>
      <c r="B18" s="3" t="s">
        <v>34</v>
      </c>
      <c r="C18" s="3" t="s">
        <v>36</v>
      </c>
      <c r="D18" s="3" t="s">
        <v>15</v>
      </c>
      <c r="E18" s="3" t="s">
        <v>1422</v>
      </c>
      <c r="F18" s="3" t="s">
        <v>1423</v>
      </c>
      <c r="G18" s="3" t="n">
        <v>30000</v>
      </c>
      <c r="H18" s="3"/>
      <c r="I18" s="3" t="s">
        <v>1415</v>
      </c>
      <c r="J18" s="4" t="str">
        <f aca="false">IF(AND($A18&lt;&gt;"",$A18=Подбор!$C$4),MAX(J$1:J17)+1,"")</f>
        <v/>
      </c>
    </row>
    <row r="19" customFormat="false" ht="15" hidden="false" customHeight="false" outlineLevel="0" collapsed="false">
      <c r="A19" s="3" t="s">
        <v>33</v>
      </c>
      <c r="B19" s="3" t="s">
        <v>34</v>
      </c>
      <c r="C19" s="3" t="s">
        <v>17</v>
      </c>
      <c r="D19" s="3" t="s">
        <v>15</v>
      </c>
      <c r="E19" s="3" t="s">
        <v>15</v>
      </c>
      <c r="F19" s="3"/>
      <c r="G19" s="3"/>
      <c r="H19" s="3"/>
      <c r="I19" s="3"/>
      <c r="J19" s="4" t="str">
        <f aca="false">IF(AND($A19&lt;&gt;"",$A19=Подбор!$C$4),MAX(J$1:J18)+1,"")</f>
        <v/>
      </c>
    </row>
    <row r="20" customFormat="false" ht="15" hidden="false" customHeight="false" outlineLevel="0" collapsed="false">
      <c r="A20" s="3" t="s">
        <v>39</v>
      </c>
      <c r="B20" s="3" t="s">
        <v>40</v>
      </c>
      <c r="C20" s="3" t="s">
        <v>11</v>
      </c>
      <c r="D20" s="3" t="s">
        <v>12</v>
      </c>
      <c r="E20" s="3" t="s">
        <v>1424</v>
      </c>
      <c r="F20" s="3" t="s">
        <v>1403</v>
      </c>
      <c r="G20" s="3" t="n">
        <v>30000</v>
      </c>
      <c r="H20" s="3"/>
      <c r="I20" s="3" t="s">
        <v>1415</v>
      </c>
      <c r="J20" s="4" t="str">
        <f aca="false">IF(AND($A20&lt;&gt;"",$A20=Подбор!$C$4),MAX(J$1:J19)+1,"")</f>
        <v/>
      </c>
    </row>
    <row r="21" customFormat="false" ht="15" hidden="false" customHeight="false" outlineLevel="0" collapsed="false">
      <c r="A21" s="3" t="s">
        <v>39</v>
      </c>
      <c r="B21" s="3" t="s">
        <v>40</v>
      </c>
      <c r="C21" s="3" t="s">
        <v>11</v>
      </c>
      <c r="D21" s="3" t="s">
        <v>21</v>
      </c>
      <c r="E21" s="3" t="s">
        <v>1425</v>
      </c>
      <c r="F21" s="3" t="s">
        <v>1403</v>
      </c>
      <c r="G21" s="3"/>
      <c r="H21" s="3"/>
      <c r="I21" s="3"/>
      <c r="J21" s="4" t="str">
        <f aca="false">IF(AND($A21&lt;&gt;"",$A21=Подбор!$C$4),MAX(J$1:J20)+1,"")</f>
        <v/>
      </c>
    </row>
    <row r="22" customFormat="false" ht="15" hidden="false" customHeight="false" outlineLevel="0" collapsed="false">
      <c r="A22" s="3" t="s">
        <v>39</v>
      </c>
      <c r="B22" s="3" t="s">
        <v>40</v>
      </c>
      <c r="C22" s="3" t="s">
        <v>11</v>
      </c>
      <c r="D22" s="3" t="s">
        <v>23</v>
      </c>
      <c r="E22" s="3" t="s">
        <v>1426</v>
      </c>
      <c r="F22" s="3" t="s">
        <v>1403</v>
      </c>
      <c r="G22" s="3"/>
      <c r="H22" s="3"/>
      <c r="I22" s="3"/>
      <c r="J22" s="4" t="str">
        <f aca="false">IF(AND($A22&lt;&gt;"",$A22=Подбор!$C$4),MAX(J$1:J21)+1,"")</f>
        <v/>
      </c>
    </row>
    <row r="23" customFormat="false" ht="15" hidden="false" customHeight="false" outlineLevel="0" collapsed="false">
      <c r="A23" s="3" t="s">
        <v>39</v>
      </c>
      <c r="B23" s="3" t="s">
        <v>40</v>
      </c>
      <c r="C23" s="3" t="s">
        <v>11</v>
      </c>
      <c r="D23" s="3" t="s">
        <v>25</v>
      </c>
      <c r="E23" s="3" t="s">
        <v>1427</v>
      </c>
      <c r="F23" s="3" t="s">
        <v>1403</v>
      </c>
      <c r="G23" s="3"/>
      <c r="H23" s="3"/>
      <c r="I23" s="3"/>
      <c r="J23" s="4" t="str">
        <f aca="false">IF(AND($A23&lt;&gt;"",$A23=Подбор!$C$4),MAX(J$1:J22)+1,"")</f>
        <v/>
      </c>
    </row>
    <row r="24" customFormat="false" ht="15" hidden="false" customHeight="false" outlineLevel="0" collapsed="false">
      <c r="A24" s="3" t="s">
        <v>39</v>
      </c>
      <c r="B24" s="3" t="s">
        <v>40</v>
      </c>
      <c r="C24" s="3" t="s">
        <v>14</v>
      </c>
      <c r="D24" s="3" t="s">
        <v>15</v>
      </c>
      <c r="E24" s="3" t="s">
        <v>1428</v>
      </c>
      <c r="F24" s="3"/>
      <c r="G24" s="3"/>
      <c r="H24" s="3"/>
      <c r="I24" s="3"/>
      <c r="J24" s="4" t="str">
        <f aca="false">IF(AND($A24&lt;&gt;"",$A24=Подбор!$C$4),MAX(J$1:J23)+1,"")</f>
        <v/>
      </c>
    </row>
    <row r="25" customFormat="false" ht="15" hidden="false" customHeight="false" outlineLevel="0" collapsed="false">
      <c r="A25" s="3" t="s">
        <v>46</v>
      </c>
      <c r="B25" s="3" t="s">
        <v>47</v>
      </c>
      <c r="C25" s="3" t="s">
        <v>11</v>
      </c>
      <c r="D25" s="3" t="s">
        <v>12</v>
      </c>
      <c r="E25" s="3" t="s">
        <v>1429</v>
      </c>
      <c r="F25" s="3" t="s">
        <v>1417</v>
      </c>
      <c r="G25" s="3"/>
      <c r="H25" s="3"/>
      <c r="I25" s="3"/>
      <c r="J25" s="4" t="str">
        <f aca="false">IF(AND($A25&lt;&gt;"",$A25=Подбор!$C$4),MAX(J$1:J24)+1,"")</f>
        <v/>
      </c>
    </row>
    <row r="26" customFormat="false" ht="15" hidden="false" customHeight="false" outlineLevel="0" collapsed="false">
      <c r="A26" s="3" t="s">
        <v>46</v>
      </c>
      <c r="B26" s="3" t="s">
        <v>47</v>
      </c>
      <c r="C26" s="3" t="s">
        <v>11</v>
      </c>
      <c r="D26" s="3" t="s">
        <v>12</v>
      </c>
      <c r="E26" s="3" t="s">
        <v>1430</v>
      </c>
      <c r="F26" s="3" t="s">
        <v>1423</v>
      </c>
      <c r="G26" s="3"/>
      <c r="H26" s="3"/>
      <c r="I26" s="3"/>
      <c r="J26" s="4" t="str">
        <f aca="false">IF(AND($A26&lt;&gt;"",$A26=Подбор!$C$4),MAX(J$1:J25)+1,"")</f>
        <v/>
      </c>
    </row>
    <row r="27" customFormat="false" ht="15" hidden="false" customHeight="false" outlineLevel="0" collapsed="false">
      <c r="A27" s="3" t="s">
        <v>46</v>
      </c>
      <c r="B27" s="3" t="s">
        <v>47</v>
      </c>
      <c r="C27" s="3" t="s">
        <v>14</v>
      </c>
      <c r="D27" s="3" t="s">
        <v>15</v>
      </c>
      <c r="E27" s="3" t="s">
        <v>1431</v>
      </c>
      <c r="F27" s="3" t="s">
        <v>1432</v>
      </c>
      <c r="G27" s="3" t="n">
        <v>60000</v>
      </c>
      <c r="H27" s="3"/>
      <c r="I27" s="3" t="s">
        <v>1415</v>
      </c>
      <c r="J27" s="4" t="str">
        <f aca="false">IF(AND($A27&lt;&gt;"",$A27=Подбор!$C$4),MAX(J$1:J26)+1,"")</f>
        <v/>
      </c>
    </row>
    <row r="28" customFormat="false" ht="15" hidden="false" customHeight="false" outlineLevel="0" collapsed="false">
      <c r="A28" s="3" t="s">
        <v>50</v>
      </c>
      <c r="B28" s="3" t="s">
        <v>51</v>
      </c>
      <c r="C28" s="3" t="s">
        <v>11</v>
      </c>
      <c r="D28" s="3" t="s">
        <v>12</v>
      </c>
      <c r="E28" s="3" t="s">
        <v>15</v>
      </c>
      <c r="F28" s="3"/>
      <c r="G28" s="3"/>
      <c r="H28" s="3"/>
      <c r="I28" s="3"/>
      <c r="J28" s="4" t="str">
        <f aca="false">IF(AND($A28&lt;&gt;"",$A28=Подбор!$C$4),MAX(J$1:J27)+1,"")</f>
        <v/>
      </c>
    </row>
    <row r="29" customFormat="false" ht="15" hidden="false" customHeight="false" outlineLevel="0" collapsed="false">
      <c r="A29" s="3" t="s">
        <v>50</v>
      </c>
      <c r="B29" s="3" t="s">
        <v>51</v>
      </c>
      <c r="C29" s="3" t="s">
        <v>14</v>
      </c>
      <c r="D29" s="3" t="s">
        <v>15</v>
      </c>
      <c r="E29" s="3" t="s">
        <v>15</v>
      </c>
      <c r="F29" s="3"/>
      <c r="G29" s="3"/>
      <c r="H29" s="3"/>
      <c r="I29" s="3"/>
      <c r="J29" s="4" t="str">
        <f aca="false">IF(AND($A29&lt;&gt;"",$A29=Подбор!$C$4),MAX(J$1:J28)+1,"")</f>
        <v/>
      </c>
    </row>
    <row r="30" customFormat="false" ht="15" hidden="false" customHeight="false" outlineLevel="0" collapsed="false">
      <c r="A30" s="3" t="s">
        <v>50</v>
      </c>
      <c r="B30" s="3" t="s">
        <v>51</v>
      </c>
      <c r="C30" s="3" t="s">
        <v>30</v>
      </c>
      <c r="D30" s="3" t="s">
        <v>15</v>
      </c>
      <c r="E30" s="3" t="s">
        <v>15</v>
      </c>
      <c r="F30" s="3"/>
      <c r="G30" s="3"/>
      <c r="H30" s="3"/>
      <c r="I30" s="3"/>
      <c r="J30" s="4" t="str">
        <f aca="false">IF(AND($A30&lt;&gt;"",$A30=Подбор!$C$4),MAX(J$1:J29)+1,"")</f>
        <v/>
      </c>
    </row>
    <row r="31" customFormat="false" ht="15" hidden="false" customHeight="false" outlineLevel="0" collapsed="false">
      <c r="A31" s="3" t="s">
        <v>50</v>
      </c>
      <c r="B31" s="3" t="s">
        <v>51</v>
      </c>
      <c r="C31" s="3" t="s">
        <v>17</v>
      </c>
      <c r="D31" s="3" t="s">
        <v>15</v>
      </c>
      <c r="E31" s="3" t="s">
        <v>15</v>
      </c>
      <c r="F31" s="3"/>
      <c r="G31" s="3"/>
      <c r="H31" s="3"/>
      <c r="I31" s="3"/>
      <c r="J31" s="4" t="str">
        <f aca="false">IF(AND($A31&lt;&gt;"",$A31=Подбор!$C$4),MAX(J$1:J30)+1,"")</f>
        <v/>
      </c>
    </row>
    <row r="32" customFormat="false" ht="15" hidden="false" customHeight="false" outlineLevel="0" collapsed="false">
      <c r="A32" s="3" t="s">
        <v>56</v>
      </c>
      <c r="B32" s="3" t="s">
        <v>57</v>
      </c>
      <c r="C32" s="3" t="s">
        <v>11</v>
      </c>
      <c r="D32" s="3" t="s">
        <v>12</v>
      </c>
      <c r="E32" s="3" t="s">
        <v>1433</v>
      </c>
      <c r="F32" s="3" t="s">
        <v>1403</v>
      </c>
      <c r="G32" s="3"/>
      <c r="H32" s="3"/>
      <c r="I32" s="3"/>
      <c r="J32" s="4" t="str">
        <f aca="false">IF(AND($A32&lt;&gt;"",$A32=Подбор!$C$4),MAX(J$1:J31)+1,"")</f>
        <v/>
      </c>
    </row>
    <row r="33" customFormat="false" ht="15" hidden="false" customHeight="false" outlineLevel="0" collapsed="false">
      <c r="A33" s="3" t="s">
        <v>56</v>
      </c>
      <c r="B33" s="3" t="s">
        <v>57</v>
      </c>
      <c r="C33" s="3" t="s">
        <v>11</v>
      </c>
      <c r="D33" s="3" t="s">
        <v>12</v>
      </c>
      <c r="E33" s="3" t="s">
        <v>1434</v>
      </c>
      <c r="F33" s="3" t="s">
        <v>1421</v>
      </c>
      <c r="G33" s="3"/>
      <c r="H33" s="3"/>
      <c r="I33" s="3"/>
      <c r="J33" s="4" t="str">
        <f aca="false">IF(AND($A33&lt;&gt;"",$A33=Подбор!$C$4),MAX(J$1:J32)+1,"")</f>
        <v/>
      </c>
    </row>
    <row r="34" customFormat="false" ht="15" hidden="false" customHeight="false" outlineLevel="0" collapsed="false">
      <c r="A34" s="3" t="s">
        <v>56</v>
      </c>
      <c r="B34" s="3" t="s">
        <v>57</v>
      </c>
      <c r="C34" s="3" t="s">
        <v>11</v>
      </c>
      <c r="D34" s="3" t="s">
        <v>12</v>
      </c>
      <c r="E34" s="3" t="s">
        <v>1435</v>
      </c>
      <c r="F34" s="3" t="s">
        <v>1417</v>
      </c>
      <c r="G34" s="3"/>
      <c r="H34" s="3"/>
      <c r="I34" s="3"/>
      <c r="J34" s="4" t="str">
        <f aca="false">IF(AND($A34&lt;&gt;"",$A34=Подбор!$C$4),MAX(J$1:J33)+1,"")</f>
        <v/>
      </c>
    </row>
    <row r="35" customFormat="false" ht="15" hidden="false" customHeight="false" outlineLevel="0" collapsed="false">
      <c r="A35" s="3" t="s">
        <v>56</v>
      </c>
      <c r="B35" s="3" t="s">
        <v>57</v>
      </c>
      <c r="C35" s="3" t="s">
        <v>14</v>
      </c>
      <c r="D35" s="3" t="s">
        <v>15</v>
      </c>
      <c r="E35" s="3" t="s">
        <v>1436</v>
      </c>
      <c r="F35" s="3" t="s">
        <v>1403</v>
      </c>
      <c r="G35" s="3" t="n">
        <v>23000</v>
      </c>
      <c r="H35" s="3"/>
      <c r="I35" s="3" t="s">
        <v>1415</v>
      </c>
      <c r="J35" s="4" t="str">
        <f aca="false">IF(AND($A35&lt;&gt;"",$A35=Подбор!$C$4),MAX(J$1:J34)+1,"")</f>
        <v/>
      </c>
    </row>
    <row r="36" customFormat="false" ht="15" hidden="false" customHeight="false" outlineLevel="0" collapsed="false">
      <c r="A36" s="3" t="s">
        <v>56</v>
      </c>
      <c r="B36" s="3" t="s">
        <v>57</v>
      </c>
      <c r="C36" s="3" t="s">
        <v>14</v>
      </c>
      <c r="D36" s="3" t="s">
        <v>15</v>
      </c>
      <c r="E36" s="3" t="s">
        <v>1437</v>
      </c>
      <c r="F36" s="3" t="s">
        <v>1421</v>
      </c>
      <c r="G36" s="3" t="n">
        <v>23000</v>
      </c>
      <c r="H36" s="3"/>
      <c r="I36" s="3" t="s">
        <v>1415</v>
      </c>
      <c r="J36" s="4" t="str">
        <f aca="false">IF(AND($A36&lt;&gt;"",$A36=Подбор!$C$4),MAX(J$1:J35)+1,"")</f>
        <v/>
      </c>
    </row>
    <row r="37" customFormat="false" ht="15" hidden="false" customHeight="false" outlineLevel="0" collapsed="false">
      <c r="A37" s="3" t="s">
        <v>56</v>
      </c>
      <c r="B37" s="3" t="s">
        <v>57</v>
      </c>
      <c r="C37" s="3" t="s">
        <v>17</v>
      </c>
      <c r="D37" s="3" t="s">
        <v>15</v>
      </c>
      <c r="E37" s="3" t="s">
        <v>1438</v>
      </c>
      <c r="F37" s="3" t="s">
        <v>1403</v>
      </c>
      <c r="G37" s="3"/>
      <c r="H37" s="3"/>
      <c r="I37" s="3"/>
      <c r="J37" s="4" t="str">
        <f aca="false">IF(AND($A37&lt;&gt;"",$A37=Подбор!$C$4),MAX(J$1:J36)+1,"")</f>
        <v/>
      </c>
    </row>
    <row r="38" customFormat="false" ht="15" hidden="false" customHeight="false" outlineLevel="0" collapsed="false">
      <c r="A38" s="3" t="s">
        <v>61</v>
      </c>
      <c r="B38" s="3" t="s">
        <v>62</v>
      </c>
      <c r="C38" s="3" t="s">
        <v>11</v>
      </c>
      <c r="D38" s="3" t="s">
        <v>12</v>
      </c>
      <c r="E38" s="3" t="s">
        <v>15</v>
      </c>
      <c r="F38" s="3"/>
      <c r="G38" s="3"/>
      <c r="H38" s="3"/>
      <c r="I38" s="3"/>
      <c r="J38" s="4" t="str">
        <f aca="false">IF(AND($A38&lt;&gt;"",$A38=Подбор!$C$4),MAX(J$1:J37)+1,"")</f>
        <v/>
      </c>
    </row>
    <row r="39" customFormat="false" ht="15" hidden="false" customHeight="false" outlineLevel="0" collapsed="false">
      <c r="A39" s="3" t="s">
        <v>61</v>
      </c>
      <c r="B39" s="3" t="s">
        <v>62</v>
      </c>
      <c r="C39" s="3" t="s">
        <v>14</v>
      </c>
      <c r="D39" s="3" t="s">
        <v>15</v>
      </c>
      <c r="E39" s="3" t="s">
        <v>15</v>
      </c>
      <c r="F39" s="3"/>
      <c r="G39" s="3"/>
      <c r="H39" s="3"/>
      <c r="I39" s="3"/>
      <c r="J39" s="4" t="str">
        <f aca="false">IF(AND($A39&lt;&gt;"",$A39=Подбор!$C$4),MAX(J$1:J38)+1,"")</f>
        <v/>
      </c>
    </row>
    <row r="40" customFormat="false" ht="15" hidden="false" customHeight="false" outlineLevel="0" collapsed="false">
      <c r="A40" s="3" t="s">
        <v>61</v>
      </c>
      <c r="B40" s="3" t="s">
        <v>62</v>
      </c>
      <c r="C40" s="3" t="s">
        <v>65</v>
      </c>
      <c r="D40" s="3" t="s">
        <v>15</v>
      </c>
      <c r="E40" s="3" t="s">
        <v>15</v>
      </c>
      <c r="F40" s="3"/>
      <c r="G40" s="3"/>
      <c r="H40" s="3"/>
      <c r="I40" s="3"/>
      <c r="J40" s="4" t="str">
        <f aca="false">IF(AND($A40&lt;&gt;"",$A40=Подбор!$C$4),MAX(J$1:J39)+1,"")</f>
        <v/>
      </c>
    </row>
    <row r="41" customFormat="false" ht="15" hidden="false" customHeight="false" outlineLevel="0" collapsed="false">
      <c r="A41" s="3" t="s">
        <v>67</v>
      </c>
      <c r="B41" s="3" t="s">
        <v>68</v>
      </c>
      <c r="C41" s="3" t="s">
        <v>11</v>
      </c>
      <c r="D41" s="3" t="s">
        <v>12</v>
      </c>
      <c r="E41" s="3" t="s">
        <v>1439</v>
      </c>
      <c r="F41" s="3" t="s">
        <v>1403</v>
      </c>
      <c r="G41" s="3" t="n">
        <v>55000</v>
      </c>
      <c r="H41" s="3"/>
      <c r="I41" s="3" t="s">
        <v>1415</v>
      </c>
      <c r="J41" s="4" t="str">
        <f aca="false">IF(AND($A41&lt;&gt;"",$A41=Подбор!$C$4),MAX(J$1:J40)+1,"")</f>
        <v/>
      </c>
    </row>
    <row r="42" customFormat="false" ht="15" hidden="false" customHeight="false" outlineLevel="0" collapsed="false">
      <c r="A42" s="3" t="s">
        <v>67</v>
      </c>
      <c r="B42" s="3" t="s">
        <v>68</v>
      </c>
      <c r="C42" s="3" t="s">
        <v>14</v>
      </c>
      <c r="D42" s="3" t="s">
        <v>15</v>
      </c>
      <c r="E42" s="3"/>
      <c r="F42" s="3"/>
      <c r="G42" s="3"/>
      <c r="H42" s="3"/>
      <c r="I42" s="3" t="s">
        <v>1440</v>
      </c>
      <c r="J42" s="4" t="str">
        <f aca="false">IF(AND($A42&lt;&gt;"",$A42=Подбор!$C$4),MAX(J$1:J41)+1,"")</f>
        <v/>
      </c>
    </row>
    <row r="43" customFormat="false" ht="15" hidden="false" customHeight="false" outlineLevel="0" collapsed="false">
      <c r="A43" s="3" t="s">
        <v>67</v>
      </c>
      <c r="B43" s="3" t="s">
        <v>68</v>
      </c>
      <c r="C43" s="3" t="s">
        <v>28</v>
      </c>
      <c r="D43" s="3" t="s">
        <v>15</v>
      </c>
      <c r="E43" s="3"/>
      <c r="F43" s="3"/>
      <c r="G43" s="3"/>
      <c r="H43" s="3"/>
      <c r="I43" s="3" t="s">
        <v>1440</v>
      </c>
      <c r="J43" s="4" t="str">
        <f aca="false">IF(AND($A43&lt;&gt;"",$A43=Подбор!$C$4),MAX(J$1:J42)+1,"")</f>
        <v/>
      </c>
    </row>
    <row r="44" customFormat="false" ht="15" hidden="false" customHeight="false" outlineLevel="0" collapsed="false">
      <c r="A44" s="3" t="s">
        <v>67</v>
      </c>
      <c r="B44" s="3" t="s">
        <v>68</v>
      </c>
      <c r="C44" s="3" t="s">
        <v>30</v>
      </c>
      <c r="D44" s="3" t="s">
        <v>15</v>
      </c>
      <c r="E44" s="3"/>
      <c r="F44" s="3"/>
      <c r="G44" s="3"/>
      <c r="H44" s="3"/>
      <c r="I44" s="3" t="s">
        <v>1440</v>
      </c>
      <c r="J44" s="4" t="str">
        <f aca="false">IF(AND($A44&lt;&gt;"",$A44=Подбор!$C$4),MAX(J$1:J43)+1,"")</f>
        <v/>
      </c>
    </row>
    <row r="45" customFormat="false" ht="15" hidden="false" customHeight="false" outlineLevel="0" collapsed="false">
      <c r="A45" s="3" t="s">
        <v>67</v>
      </c>
      <c r="B45" s="3" t="s">
        <v>68</v>
      </c>
      <c r="C45" s="3" t="s">
        <v>17</v>
      </c>
      <c r="D45" s="3" t="s">
        <v>15</v>
      </c>
      <c r="E45" s="3"/>
      <c r="F45" s="3"/>
      <c r="G45" s="3"/>
      <c r="H45" s="3"/>
      <c r="I45" s="3" t="s">
        <v>1440</v>
      </c>
      <c r="J45" s="4" t="str">
        <f aca="false">IF(AND($A45&lt;&gt;"",$A45=Подбор!$C$4),MAX(J$1:J44)+1,"")</f>
        <v/>
      </c>
    </row>
    <row r="46" customFormat="false" ht="15" hidden="false" customHeight="false" outlineLevel="0" collapsed="false">
      <c r="A46" s="3" t="s">
        <v>74</v>
      </c>
      <c r="B46" s="3" t="s">
        <v>10</v>
      </c>
      <c r="C46" s="3" t="s">
        <v>11</v>
      </c>
      <c r="D46" s="3" t="s">
        <v>12</v>
      </c>
      <c r="E46" s="3" t="s">
        <v>1441</v>
      </c>
      <c r="F46" s="3" t="s">
        <v>1421</v>
      </c>
      <c r="G46" s="3" t="n">
        <v>35000</v>
      </c>
      <c r="H46" s="3"/>
      <c r="I46" s="3" t="s">
        <v>1415</v>
      </c>
      <c r="J46" s="4" t="str">
        <f aca="false">IF(AND($A46&lt;&gt;"",$A46=Подбор!$C$4),MAX(J$1:J45)+1,"")</f>
        <v/>
      </c>
    </row>
    <row r="47" customFormat="false" ht="15" hidden="false" customHeight="false" outlineLevel="0" collapsed="false">
      <c r="A47" s="3" t="s">
        <v>74</v>
      </c>
      <c r="B47" s="3" t="s">
        <v>10</v>
      </c>
      <c r="C47" s="3" t="s">
        <v>14</v>
      </c>
      <c r="D47" s="3" t="s">
        <v>15</v>
      </c>
      <c r="E47" s="3"/>
      <c r="F47" s="3"/>
      <c r="G47" s="3"/>
      <c r="H47" s="3"/>
      <c r="I47" s="3" t="s">
        <v>1440</v>
      </c>
      <c r="J47" s="4" t="str">
        <f aca="false">IF(AND($A47&lt;&gt;"",$A47=Подбор!$C$4),MAX(J$1:J46)+1,"")</f>
        <v/>
      </c>
    </row>
    <row r="48" customFormat="false" ht="15" hidden="false" customHeight="false" outlineLevel="0" collapsed="false">
      <c r="A48" s="3" t="s">
        <v>77</v>
      </c>
      <c r="B48" s="3" t="s">
        <v>57</v>
      </c>
      <c r="C48" s="3" t="s">
        <v>11</v>
      </c>
      <c r="D48" s="3" t="s">
        <v>12</v>
      </c>
      <c r="E48" s="3" t="s">
        <v>1442</v>
      </c>
      <c r="F48" s="3" t="s">
        <v>1403</v>
      </c>
      <c r="G48" s="3" t="n">
        <v>1500</v>
      </c>
      <c r="H48" s="3"/>
      <c r="I48" s="3" t="s">
        <v>1415</v>
      </c>
      <c r="J48" s="4" t="str">
        <f aca="false">IF(AND($A48&lt;&gt;"",$A48=Подбор!$C$4),MAX(J$1:J47)+1,"")</f>
        <v/>
      </c>
    </row>
    <row r="49" customFormat="false" ht="15" hidden="false" customHeight="false" outlineLevel="0" collapsed="false">
      <c r="A49" s="3" t="s">
        <v>77</v>
      </c>
      <c r="B49" s="3" t="s">
        <v>57</v>
      </c>
      <c r="C49" s="3" t="s">
        <v>11</v>
      </c>
      <c r="D49" s="3" t="s">
        <v>12</v>
      </c>
      <c r="E49" s="3" t="s">
        <v>1443</v>
      </c>
      <c r="F49" s="3" t="s">
        <v>1421</v>
      </c>
      <c r="G49" s="3"/>
      <c r="H49" s="3"/>
      <c r="I49" s="3"/>
      <c r="J49" s="4" t="str">
        <f aca="false">IF(AND($A49&lt;&gt;"",$A49=Подбор!$C$4),MAX(J$1:J48)+1,"")</f>
        <v/>
      </c>
    </row>
    <row r="50" customFormat="false" ht="15" hidden="false" customHeight="false" outlineLevel="0" collapsed="false">
      <c r="A50" s="3" t="s">
        <v>77</v>
      </c>
      <c r="B50" s="3" t="s">
        <v>57</v>
      </c>
      <c r="C50" s="3" t="s">
        <v>11</v>
      </c>
      <c r="D50" s="3" t="s">
        <v>21</v>
      </c>
      <c r="E50" s="3" t="s">
        <v>1444</v>
      </c>
      <c r="F50" s="3" t="s">
        <v>1403</v>
      </c>
      <c r="G50" s="3" t="n">
        <v>1400</v>
      </c>
      <c r="H50" s="3"/>
      <c r="I50" s="3" t="s">
        <v>1415</v>
      </c>
      <c r="J50" s="4" t="str">
        <f aca="false">IF(AND($A50&lt;&gt;"",$A50=Подбор!$C$4),MAX(J$1:J49)+1,"")</f>
        <v/>
      </c>
    </row>
    <row r="51" customFormat="false" ht="15" hidden="false" customHeight="false" outlineLevel="0" collapsed="false">
      <c r="A51" s="3" t="s">
        <v>77</v>
      </c>
      <c r="B51" s="3" t="s">
        <v>57</v>
      </c>
      <c r="C51" s="3" t="s">
        <v>11</v>
      </c>
      <c r="D51" s="3" t="s">
        <v>23</v>
      </c>
      <c r="E51" s="3" t="s">
        <v>1445</v>
      </c>
      <c r="F51" s="3" t="s">
        <v>1403</v>
      </c>
      <c r="G51" s="3" t="n">
        <v>1400</v>
      </c>
      <c r="H51" s="3"/>
      <c r="I51" s="3" t="s">
        <v>1415</v>
      </c>
      <c r="J51" s="4" t="str">
        <f aca="false">IF(AND($A51&lt;&gt;"",$A51=Подбор!$C$4),MAX(J$1:J50)+1,"")</f>
        <v/>
      </c>
    </row>
    <row r="52" customFormat="false" ht="15" hidden="false" customHeight="false" outlineLevel="0" collapsed="false">
      <c r="A52" s="3" t="s">
        <v>77</v>
      </c>
      <c r="B52" s="3" t="s">
        <v>57</v>
      </c>
      <c r="C52" s="3" t="s">
        <v>11</v>
      </c>
      <c r="D52" s="3" t="s">
        <v>25</v>
      </c>
      <c r="E52" s="3" t="s">
        <v>1446</v>
      </c>
      <c r="F52" s="3" t="s">
        <v>1403</v>
      </c>
      <c r="G52" s="3" t="n">
        <v>1400</v>
      </c>
      <c r="H52" s="3"/>
      <c r="I52" s="3" t="s">
        <v>1415</v>
      </c>
      <c r="J52" s="4" t="str">
        <f aca="false">IF(AND($A52&lt;&gt;"",$A52=Подбор!$C$4),MAX(J$1:J51)+1,"")</f>
        <v/>
      </c>
    </row>
    <row r="53" customFormat="false" ht="15" hidden="false" customHeight="false" outlineLevel="0" collapsed="false">
      <c r="A53" s="3" t="s">
        <v>77</v>
      </c>
      <c r="B53" s="3" t="s">
        <v>57</v>
      </c>
      <c r="C53" s="3" t="s">
        <v>17</v>
      </c>
      <c r="D53" s="3" t="s">
        <v>15</v>
      </c>
      <c r="E53" s="3" t="s">
        <v>1447</v>
      </c>
      <c r="F53" s="3" t="s">
        <v>1403</v>
      </c>
      <c r="G53" s="3"/>
      <c r="H53" s="3"/>
      <c r="I53" s="3"/>
      <c r="J53" s="4" t="str">
        <f aca="false">IF(AND($A53&lt;&gt;"",$A53=Подбор!$C$4),MAX(J$1:J52)+1,"")</f>
        <v/>
      </c>
    </row>
    <row r="54" customFormat="false" ht="15" hidden="false" customHeight="false" outlineLevel="0" collapsed="false">
      <c r="A54" s="3" t="s">
        <v>83</v>
      </c>
      <c r="B54" s="3" t="s">
        <v>84</v>
      </c>
      <c r="C54" s="3" t="s">
        <v>11</v>
      </c>
      <c r="D54" s="3" t="s">
        <v>12</v>
      </c>
      <c r="E54" s="3" t="s">
        <v>1448</v>
      </c>
      <c r="F54" s="3" t="s">
        <v>1403</v>
      </c>
      <c r="G54" s="3"/>
      <c r="H54" s="3"/>
      <c r="I54" s="3"/>
      <c r="J54" s="4" t="str">
        <f aca="false">IF(AND($A54&lt;&gt;"",$A54=Подбор!$C$4),MAX(J$1:J53)+1,"")</f>
        <v/>
      </c>
    </row>
    <row r="55" customFormat="false" ht="15" hidden="false" customHeight="false" outlineLevel="0" collapsed="false">
      <c r="A55" s="3" t="s">
        <v>83</v>
      </c>
      <c r="B55" s="3" t="s">
        <v>84</v>
      </c>
      <c r="C55" s="3" t="s">
        <v>11</v>
      </c>
      <c r="D55" s="3" t="s">
        <v>12</v>
      </c>
      <c r="E55" s="3" t="s">
        <v>1449</v>
      </c>
      <c r="F55" s="3" t="s">
        <v>1450</v>
      </c>
      <c r="G55" s="3"/>
      <c r="H55" s="3"/>
      <c r="I55" s="3"/>
      <c r="J55" s="4" t="str">
        <f aca="false">IF(AND($A55&lt;&gt;"",$A55=Подбор!$C$4),MAX(J$1:J54)+1,"")</f>
        <v/>
      </c>
    </row>
    <row r="56" customFormat="false" ht="15" hidden="false" customHeight="false" outlineLevel="0" collapsed="false">
      <c r="A56" s="3" t="s">
        <v>86</v>
      </c>
      <c r="B56" s="3" t="s">
        <v>57</v>
      </c>
      <c r="C56" s="3" t="s">
        <v>11</v>
      </c>
      <c r="D56" s="3" t="s">
        <v>12</v>
      </c>
      <c r="E56" s="3" t="s">
        <v>1451</v>
      </c>
      <c r="F56" s="3" t="s">
        <v>1421</v>
      </c>
      <c r="G56" s="3" t="n">
        <v>18000</v>
      </c>
      <c r="H56" s="3"/>
      <c r="I56" s="3" t="s">
        <v>1415</v>
      </c>
      <c r="J56" s="4" t="str">
        <f aca="false">IF(AND($A56&lt;&gt;"",$A56=Подбор!$C$4),MAX(J$1:J55)+1,"")</f>
        <v/>
      </c>
    </row>
    <row r="57" customFormat="false" ht="15" hidden="false" customHeight="false" outlineLevel="0" collapsed="false">
      <c r="A57" s="3" t="s">
        <v>88</v>
      </c>
      <c r="B57" s="3" t="s">
        <v>57</v>
      </c>
      <c r="C57" s="3" t="s">
        <v>11</v>
      </c>
      <c r="D57" s="3" t="s">
        <v>12</v>
      </c>
      <c r="E57" s="3" t="s">
        <v>1452</v>
      </c>
      <c r="F57" s="3" t="s">
        <v>1403</v>
      </c>
      <c r="G57" s="3" t="n">
        <v>2000</v>
      </c>
      <c r="H57" s="3"/>
      <c r="I57" s="3" t="s">
        <v>1415</v>
      </c>
      <c r="J57" s="4" t="str">
        <f aca="false">IF(AND($A57&lt;&gt;"",$A57=Подбор!$C$4),MAX(J$1:J56)+1,"")</f>
        <v/>
      </c>
    </row>
    <row r="58" customFormat="false" ht="15" hidden="false" customHeight="false" outlineLevel="0" collapsed="false">
      <c r="A58" s="3" t="s">
        <v>88</v>
      </c>
      <c r="B58" s="3" t="s">
        <v>57</v>
      </c>
      <c r="C58" s="3" t="s">
        <v>11</v>
      </c>
      <c r="D58" s="3" t="s">
        <v>12</v>
      </c>
      <c r="E58" s="3" t="s">
        <v>1453</v>
      </c>
      <c r="F58" s="3" t="s">
        <v>1421</v>
      </c>
      <c r="G58" s="3" t="n">
        <v>2000</v>
      </c>
      <c r="H58" s="3"/>
      <c r="I58" s="3" t="s">
        <v>1415</v>
      </c>
      <c r="J58" s="4" t="str">
        <f aca="false">IF(AND($A58&lt;&gt;"",$A58=Подбор!$C$4),MAX(J$1:J57)+1,"")</f>
        <v/>
      </c>
    </row>
    <row r="59" customFormat="false" ht="15" hidden="false" customHeight="false" outlineLevel="0" collapsed="false">
      <c r="A59" s="3" t="s">
        <v>88</v>
      </c>
      <c r="B59" s="3" t="s">
        <v>57</v>
      </c>
      <c r="C59" s="3" t="s">
        <v>11</v>
      </c>
      <c r="D59" s="3" t="s">
        <v>12</v>
      </c>
      <c r="E59" s="3" t="s">
        <v>1454</v>
      </c>
      <c r="F59" s="3" t="s">
        <v>1423</v>
      </c>
      <c r="G59" s="3" t="n">
        <v>2000</v>
      </c>
      <c r="H59" s="3"/>
      <c r="I59" s="3" t="s">
        <v>1415</v>
      </c>
      <c r="J59" s="4" t="str">
        <f aca="false">IF(AND($A59&lt;&gt;"",$A59=Подбор!$C$4),MAX(J$1:J58)+1,"")</f>
        <v/>
      </c>
    </row>
    <row r="60" customFormat="false" ht="15" hidden="false" customHeight="false" outlineLevel="0" collapsed="false">
      <c r="A60" s="3" t="s">
        <v>88</v>
      </c>
      <c r="B60" s="3" t="s">
        <v>57</v>
      </c>
      <c r="C60" s="3" t="s">
        <v>11</v>
      </c>
      <c r="D60" s="3" t="s">
        <v>12</v>
      </c>
      <c r="E60" s="3" t="s">
        <v>1455</v>
      </c>
      <c r="F60" s="3" t="s">
        <v>1417</v>
      </c>
      <c r="G60" s="3" t="n">
        <v>2000</v>
      </c>
      <c r="H60" s="3"/>
      <c r="I60" s="3" t="s">
        <v>1415</v>
      </c>
      <c r="J60" s="4" t="str">
        <f aca="false">IF(AND($A60&lt;&gt;"",$A60=Подбор!$C$4),MAX(J$1:J59)+1,"")</f>
        <v/>
      </c>
    </row>
    <row r="61" customFormat="false" ht="15" hidden="false" customHeight="false" outlineLevel="0" collapsed="false">
      <c r="A61" s="3" t="s">
        <v>90</v>
      </c>
      <c r="B61" s="3" t="s">
        <v>57</v>
      </c>
      <c r="C61" s="3" t="s">
        <v>11</v>
      </c>
      <c r="D61" s="3" t="s">
        <v>12</v>
      </c>
      <c r="E61" s="3" t="s">
        <v>1456</v>
      </c>
      <c r="F61" s="3" t="s">
        <v>1403</v>
      </c>
      <c r="G61" s="3" t="n">
        <v>2200</v>
      </c>
      <c r="H61" s="3"/>
      <c r="I61" s="3" t="s">
        <v>1415</v>
      </c>
      <c r="J61" s="4" t="str">
        <f aca="false">IF(AND($A61&lt;&gt;"",$A61=Подбор!$C$4),MAX(J$1:J60)+1,"")</f>
        <v/>
      </c>
    </row>
    <row r="62" customFormat="false" ht="15" hidden="false" customHeight="false" outlineLevel="0" collapsed="false">
      <c r="A62" s="3" t="s">
        <v>90</v>
      </c>
      <c r="B62" s="3" t="s">
        <v>57</v>
      </c>
      <c r="C62" s="3" t="s">
        <v>11</v>
      </c>
      <c r="D62" s="3" t="s">
        <v>12</v>
      </c>
      <c r="E62" s="3" t="s">
        <v>1457</v>
      </c>
      <c r="F62" s="3" t="s">
        <v>1421</v>
      </c>
      <c r="G62" s="3" t="n">
        <v>2200</v>
      </c>
      <c r="H62" s="3"/>
      <c r="I62" s="3" t="s">
        <v>1415</v>
      </c>
      <c r="J62" s="4" t="str">
        <f aca="false">IF(AND($A62&lt;&gt;"",$A62=Подбор!$C$4),MAX(J$1:J61)+1,"")</f>
        <v/>
      </c>
    </row>
    <row r="63" customFormat="false" ht="15" hidden="false" customHeight="false" outlineLevel="0" collapsed="false">
      <c r="A63" s="3" t="s">
        <v>90</v>
      </c>
      <c r="B63" s="3" t="s">
        <v>57</v>
      </c>
      <c r="C63" s="3" t="s">
        <v>11</v>
      </c>
      <c r="D63" s="3" t="s">
        <v>21</v>
      </c>
      <c r="E63" s="3" t="s">
        <v>1458</v>
      </c>
      <c r="F63" s="3" t="s">
        <v>1403</v>
      </c>
      <c r="G63" s="3" t="n">
        <v>1400</v>
      </c>
      <c r="H63" s="3"/>
      <c r="I63" s="3" t="s">
        <v>1415</v>
      </c>
      <c r="J63" s="4" t="str">
        <f aca="false">IF(AND($A63&lt;&gt;"",$A63=Подбор!$C$4),MAX(J$1:J62)+1,"")</f>
        <v/>
      </c>
    </row>
    <row r="64" customFormat="false" ht="15" hidden="false" customHeight="false" outlineLevel="0" collapsed="false">
      <c r="A64" s="3" t="s">
        <v>90</v>
      </c>
      <c r="B64" s="3" t="s">
        <v>57</v>
      </c>
      <c r="C64" s="3" t="s">
        <v>11</v>
      </c>
      <c r="D64" s="3" t="s">
        <v>23</v>
      </c>
      <c r="E64" s="3" t="s">
        <v>1459</v>
      </c>
      <c r="F64" s="3" t="s">
        <v>1403</v>
      </c>
      <c r="G64" s="3" t="n">
        <v>1400</v>
      </c>
      <c r="H64" s="3"/>
      <c r="I64" s="3" t="s">
        <v>1415</v>
      </c>
      <c r="J64" s="4" t="str">
        <f aca="false">IF(AND($A64&lt;&gt;"",$A64=Подбор!$C$4),MAX(J$1:J63)+1,"")</f>
        <v/>
      </c>
    </row>
    <row r="65" customFormat="false" ht="15" hidden="false" customHeight="false" outlineLevel="0" collapsed="false">
      <c r="A65" s="3" t="s">
        <v>90</v>
      </c>
      <c r="B65" s="3" t="s">
        <v>57</v>
      </c>
      <c r="C65" s="3" t="s">
        <v>11</v>
      </c>
      <c r="D65" s="3" t="s">
        <v>25</v>
      </c>
      <c r="E65" s="3" t="s">
        <v>1460</v>
      </c>
      <c r="F65" s="3" t="s">
        <v>1403</v>
      </c>
      <c r="G65" s="3" t="n">
        <v>1400</v>
      </c>
      <c r="H65" s="3"/>
      <c r="I65" s="3" t="s">
        <v>1415</v>
      </c>
      <c r="J65" s="4" t="str">
        <f aca="false">IF(AND($A65&lt;&gt;"",$A65=Подбор!$C$4),MAX(J$1:J64)+1,"")</f>
        <v/>
      </c>
    </row>
    <row r="66" customFormat="false" ht="15" hidden="false" customHeight="false" outlineLevel="0" collapsed="false">
      <c r="A66" s="3" t="s">
        <v>90</v>
      </c>
      <c r="B66" s="3" t="s">
        <v>57</v>
      </c>
      <c r="C66" s="3" t="s">
        <v>17</v>
      </c>
      <c r="D66" s="3" t="s">
        <v>15</v>
      </c>
      <c r="E66" s="3" t="s">
        <v>1461</v>
      </c>
      <c r="F66" s="3" t="s">
        <v>1403</v>
      </c>
      <c r="G66" s="3"/>
      <c r="H66" s="3"/>
      <c r="I66" s="3"/>
      <c r="J66" s="4" t="str">
        <f aca="false">IF(AND($A66&lt;&gt;"",$A66=Подбор!$C$4),MAX(J$1:J65)+1,"")</f>
        <v/>
      </c>
    </row>
    <row r="67" customFormat="false" ht="15" hidden="false" customHeight="false" outlineLevel="0" collapsed="false">
      <c r="A67" s="3" t="s">
        <v>96</v>
      </c>
      <c r="B67" s="3" t="s">
        <v>57</v>
      </c>
      <c r="C67" s="3" t="s">
        <v>11</v>
      </c>
      <c r="D67" s="3" t="s">
        <v>12</v>
      </c>
      <c r="E67" s="3" t="s">
        <v>1462</v>
      </c>
      <c r="F67" s="3" t="s">
        <v>1403</v>
      </c>
      <c r="G67" s="3" t="n">
        <v>1600</v>
      </c>
      <c r="H67" s="3"/>
      <c r="I67" s="3" t="s">
        <v>1415</v>
      </c>
      <c r="J67" s="4" t="str">
        <f aca="false">IF(AND($A67&lt;&gt;"",$A67=Подбор!$C$4),MAX(J$1:J66)+1,"")</f>
        <v/>
      </c>
    </row>
    <row r="68" customFormat="false" ht="15" hidden="false" customHeight="false" outlineLevel="0" collapsed="false">
      <c r="A68" s="3" t="s">
        <v>96</v>
      </c>
      <c r="B68" s="3" t="s">
        <v>57</v>
      </c>
      <c r="C68" s="3" t="s">
        <v>11</v>
      </c>
      <c r="D68" s="3" t="s">
        <v>12</v>
      </c>
      <c r="E68" s="3" t="s">
        <v>1463</v>
      </c>
      <c r="F68" s="3" t="s">
        <v>1421</v>
      </c>
      <c r="G68" s="3" t="n">
        <v>1600</v>
      </c>
      <c r="H68" s="3"/>
      <c r="I68" s="3" t="s">
        <v>1415</v>
      </c>
      <c r="J68" s="4" t="str">
        <f aca="false">IF(AND($A68&lt;&gt;"",$A68=Подбор!$C$4),MAX(J$1:J67)+1,"")</f>
        <v/>
      </c>
    </row>
    <row r="69" customFormat="false" ht="15" hidden="false" customHeight="false" outlineLevel="0" collapsed="false">
      <c r="A69" s="3" t="s">
        <v>96</v>
      </c>
      <c r="B69" s="3" t="s">
        <v>57</v>
      </c>
      <c r="C69" s="3" t="s">
        <v>11</v>
      </c>
      <c r="D69" s="3" t="s">
        <v>12</v>
      </c>
      <c r="E69" s="3" t="s">
        <v>1464</v>
      </c>
      <c r="F69" s="3" t="s">
        <v>1423</v>
      </c>
      <c r="G69" s="3" t="n">
        <v>1600</v>
      </c>
      <c r="H69" s="3"/>
      <c r="I69" s="3" t="s">
        <v>1415</v>
      </c>
      <c r="J69" s="4" t="str">
        <f aca="false">IF(AND($A69&lt;&gt;"",$A69=Подбор!$C$4),MAX(J$1:J68)+1,"")</f>
        <v/>
      </c>
    </row>
    <row r="70" customFormat="false" ht="15" hidden="false" customHeight="false" outlineLevel="0" collapsed="false">
      <c r="A70" s="3" t="s">
        <v>96</v>
      </c>
      <c r="B70" s="3" t="s">
        <v>57</v>
      </c>
      <c r="C70" s="3" t="s">
        <v>11</v>
      </c>
      <c r="D70" s="3" t="s">
        <v>12</v>
      </c>
      <c r="E70" s="3" t="s">
        <v>1465</v>
      </c>
      <c r="F70" s="3" t="s">
        <v>1417</v>
      </c>
      <c r="G70" s="3" t="n">
        <v>1600</v>
      </c>
      <c r="H70" s="3"/>
      <c r="I70" s="3" t="s">
        <v>1415</v>
      </c>
      <c r="J70" s="4" t="str">
        <f aca="false">IF(AND($A70&lt;&gt;"",$A70=Подбор!$C$4),MAX(J$1:J69)+1,"")</f>
        <v/>
      </c>
    </row>
    <row r="71" customFormat="false" ht="15" hidden="false" customHeight="false" outlineLevel="0" collapsed="false">
      <c r="A71" s="3" t="s">
        <v>96</v>
      </c>
      <c r="B71" s="3" t="s">
        <v>57</v>
      </c>
      <c r="C71" s="3" t="s">
        <v>17</v>
      </c>
      <c r="D71" s="3" t="s">
        <v>15</v>
      </c>
      <c r="E71" s="3" t="s">
        <v>1466</v>
      </c>
      <c r="F71" s="3" t="s">
        <v>1403</v>
      </c>
      <c r="G71" s="3"/>
      <c r="H71" s="3"/>
      <c r="I71" s="3"/>
      <c r="J71" s="4" t="str">
        <f aca="false">IF(AND($A71&lt;&gt;"",$A71=Подбор!$C$4),MAX(J$1:J70)+1,"")</f>
        <v/>
      </c>
    </row>
    <row r="72" customFormat="false" ht="15" hidden="false" customHeight="false" outlineLevel="0" collapsed="false">
      <c r="A72" s="3" t="s">
        <v>99</v>
      </c>
      <c r="B72" s="3" t="s">
        <v>10</v>
      </c>
      <c r="C72" s="3" t="s">
        <v>11</v>
      </c>
      <c r="D72" s="3" t="s">
        <v>12</v>
      </c>
      <c r="E72" s="3" t="s">
        <v>1467</v>
      </c>
      <c r="F72" s="3" t="s">
        <v>1403</v>
      </c>
      <c r="G72" s="3"/>
      <c r="H72" s="3"/>
      <c r="I72" s="3"/>
      <c r="J72" s="4" t="str">
        <f aca="false">IF(AND($A72&lt;&gt;"",$A72=Подбор!$C$4),MAX(J$1:J71)+1,"")</f>
        <v/>
      </c>
    </row>
    <row r="73" customFormat="false" ht="15" hidden="false" customHeight="false" outlineLevel="0" collapsed="false">
      <c r="A73" s="3" t="s">
        <v>99</v>
      </c>
      <c r="B73" s="3" t="s">
        <v>10</v>
      </c>
      <c r="C73" s="3" t="s">
        <v>11</v>
      </c>
      <c r="D73" s="3" t="s">
        <v>21</v>
      </c>
      <c r="E73" s="3" t="s">
        <v>1468</v>
      </c>
      <c r="F73" s="3" t="s">
        <v>1403</v>
      </c>
      <c r="G73" s="3"/>
      <c r="H73" s="3"/>
      <c r="I73" s="3"/>
      <c r="J73" s="4" t="str">
        <f aca="false">IF(AND($A73&lt;&gt;"",$A73=Подбор!$C$4),MAX(J$1:J72)+1,"")</f>
        <v/>
      </c>
    </row>
    <row r="74" customFormat="false" ht="15" hidden="false" customHeight="false" outlineLevel="0" collapsed="false">
      <c r="A74" s="3" t="s">
        <v>99</v>
      </c>
      <c r="B74" s="3" t="s">
        <v>10</v>
      </c>
      <c r="C74" s="3" t="s">
        <v>11</v>
      </c>
      <c r="D74" s="3" t="s">
        <v>23</v>
      </c>
      <c r="E74" s="3" t="s">
        <v>1469</v>
      </c>
      <c r="F74" s="3" t="s">
        <v>1403</v>
      </c>
      <c r="G74" s="3"/>
      <c r="H74" s="3"/>
      <c r="I74" s="3"/>
      <c r="J74" s="4" t="str">
        <f aca="false">IF(AND($A74&lt;&gt;"",$A74=Подбор!$C$4),MAX(J$1:J73)+1,"")</f>
        <v/>
      </c>
    </row>
    <row r="75" customFormat="false" ht="15" hidden="false" customHeight="false" outlineLevel="0" collapsed="false">
      <c r="A75" s="3" t="s">
        <v>99</v>
      </c>
      <c r="B75" s="3" t="s">
        <v>10</v>
      </c>
      <c r="C75" s="3" t="s">
        <v>11</v>
      </c>
      <c r="D75" s="3" t="s">
        <v>25</v>
      </c>
      <c r="E75" s="3" t="s">
        <v>1470</v>
      </c>
      <c r="F75" s="3" t="s">
        <v>1403</v>
      </c>
      <c r="G75" s="3"/>
      <c r="H75" s="3"/>
      <c r="I75" s="3"/>
      <c r="J75" s="4" t="str">
        <f aca="false">IF(AND($A75&lt;&gt;"",$A75=Подбор!$C$4),MAX(J$1:J74)+1,"")</f>
        <v/>
      </c>
    </row>
    <row r="76" customFormat="false" ht="15" hidden="false" customHeight="false" outlineLevel="0" collapsed="false">
      <c r="A76" s="3" t="s">
        <v>99</v>
      </c>
      <c r="B76" s="3" t="s">
        <v>10</v>
      </c>
      <c r="C76" s="3" t="s">
        <v>14</v>
      </c>
      <c r="D76" s="3" t="s">
        <v>15</v>
      </c>
      <c r="E76" s="3" t="s">
        <v>1471</v>
      </c>
      <c r="F76" s="3" t="s">
        <v>1472</v>
      </c>
      <c r="G76" s="3"/>
      <c r="H76" s="3"/>
      <c r="I76" s="3"/>
      <c r="J76" s="4" t="str">
        <f aca="false">IF(AND($A76&lt;&gt;"",$A76=Подбор!$C$4),MAX(J$1:J75)+1,"")</f>
        <v/>
      </c>
    </row>
    <row r="77" customFormat="false" ht="15" hidden="false" customHeight="false" outlineLevel="0" collapsed="false">
      <c r="A77" s="3" t="s">
        <v>99</v>
      </c>
      <c r="B77" s="3" t="s">
        <v>10</v>
      </c>
      <c r="C77" s="3" t="s">
        <v>28</v>
      </c>
      <c r="D77" s="3" t="s">
        <v>15</v>
      </c>
      <c r="E77" s="3"/>
      <c r="F77" s="3"/>
      <c r="G77" s="3"/>
      <c r="H77" s="3"/>
      <c r="I77" s="3" t="s">
        <v>1440</v>
      </c>
      <c r="J77" s="4" t="str">
        <f aca="false">IF(AND($A77&lt;&gt;"",$A77=Подбор!$C$4),MAX(J$1:J76)+1,"")</f>
        <v/>
      </c>
    </row>
    <row r="78" customFormat="false" ht="15" hidden="false" customHeight="false" outlineLevel="0" collapsed="false">
      <c r="A78" s="3" t="s">
        <v>99</v>
      </c>
      <c r="B78" s="3" t="s">
        <v>10</v>
      </c>
      <c r="C78" s="3" t="s">
        <v>30</v>
      </c>
      <c r="D78" s="3" t="s">
        <v>15</v>
      </c>
      <c r="E78" s="3" t="s">
        <v>1473</v>
      </c>
      <c r="F78" s="3" t="s">
        <v>1403</v>
      </c>
      <c r="G78" s="3"/>
      <c r="H78" s="3"/>
      <c r="I78" s="3"/>
      <c r="J78" s="4" t="str">
        <f aca="false">IF(AND($A78&lt;&gt;"",$A78=Подбор!$C$4),MAX(J$1:J77)+1,"")</f>
        <v/>
      </c>
    </row>
    <row r="79" customFormat="false" ht="15" hidden="false" customHeight="false" outlineLevel="0" collapsed="false">
      <c r="A79" s="3" t="s">
        <v>99</v>
      </c>
      <c r="B79" s="3" t="s">
        <v>10</v>
      </c>
      <c r="C79" s="3" t="s">
        <v>17</v>
      </c>
      <c r="D79" s="3" t="s">
        <v>15</v>
      </c>
      <c r="E79" s="3" t="s">
        <v>1474</v>
      </c>
      <c r="F79" s="3" t="s">
        <v>1475</v>
      </c>
      <c r="G79" s="3"/>
      <c r="H79" s="3"/>
      <c r="I79" s="3"/>
      <c r="J79" s="4" t="str">
        <f aca="false">IF(AND($A79&lt;&gt;"",$A79=Подбор!$C$4),MAX(J$1:J78)+1,"")</f>
        <v/>
      </c>
    </row>
    <row r="80" customFormat="false" ht="15" hidden="false" customHeight="false" outlineLevel="0" collapsed="false">
      <c r="A80" s="3" t="s">
        <v>107</v>
      </c>
      <c r="B80" s="3" t="s">
        <v>57</v>
      </c>
      <c r="C80" s="3" t="s">
        <v>11</v>
      </c>
      <c r="D80" s="3" t="s">
        <v>12</v>
      </c>
      <c r="E80" s="3" t="s">
        <v>1476</v>
      </c>
      <c r="F80" s="3" t="s">
        <v>1403</v>
      </c>
      <c r="G80" s="3" t="n">
        <v>24000</v>
      </c>
      <c r="H80" s="3"/>
      <c r="I80" s="3" t="s">
        <v>1415</v>
      </c>
      <c r="J80" s="4" t="str">
        <f aca="false">IF(AND($A80&lt;&gt;"",$A80=Подбор!$C$4),MAX(J$1:J79)+1,"")</f>
        <v/>
      </c>
    </row>
    <row r="81" customFormat="false" ht="15" hidden="false" customHeight="false" outlineLevel="0" collapsed="false">
      <c r="A81" s="3" t="s">
        <v>107</v>
      </c>
      <c r="B81" s="3" t="s">
        <v>57</v>
      </c>
      <c r="C81" s="3" t="s">
        <v>11</v>
      </c>
      <c r="D81" s="3" t="s">
        <v>12</v>
      </c>
      <c r="E81" s="3" t="s">
        <v>1477</v>
      </c>
      <c r="F81" s="3" t="s">
        <v>1421</v>
      </c>
      <c r="G81" s="3" t="n">
        <v>24000</v>
      </c>
      <c r="H81" s="3"/>
      <c r="I81" s="3" t="s">
        <v>1415</v>
      </c>
      <c r="J81" s="4" t="str">
        <f aca="false">IF(AND($A81&lt;&gt;"",$A81=Подбор!$C$4),MAX(J$1:J80)+1,"")</f>
        <v/>
      </c>
    </row>
    <row r="82" customFormat="false" ht="15" hidden="false" customHeight="false" outlineLevel="0" collapsed="false">
      <c r="A82" s="3" t="s">
        <v>107</v>
      </c>
      <c r="B82" s="3" t="s">
        <v>57</v>
      </c>
      <c r="C82" s="3" t="s">
        <v>11</v>
      </c>
      <c r="D82" s="3" t="s">
        <v>12</v>
      </c>
      <c r="E82" s="3" t="s">
        <v>1478</v>
      </c>
      <c r="F82" s="3" t="s">
        <v>1417</v>
      </c>
      <c r="G82" s="3" t="n">
        <v>10000</v>
      </c>
      <c r="H82" s="3"/>
      <c r="I82" s="3" t="s">
        <v>1415</v>
      </c>
      <c r="J82" s="4" t="str">
        <f aca="false">IF(AND($A82&lt;&gt;"",$A82=Подбор!$C$4),MAX(J$1:J81)+1,"")</f>
        <v/>
      </c>
    </row>
    <row r="83" customFormat="false" ht="15" hidden="false" customHeight="false" outlineLevel="0" collapsed="false">
      <c r="A83" s="3" t="s">
        <v>109</v>
      </c>
      <c r="B83" s="3" t="s">
        <v>110</v>
      </c>
      <c r="C83" s="3" t="s">
        <v>11</v>
      </c>
      <c r="D83" s="3" t="s">
        <v>12</v>
      </c>
      <c r="E83" s="3" t="s">
        <v>1479</v>
      </c>
      <c r="F83" s="3" t="s">
        <v>1403</v>
      </c>
      <c r="G83" s="3"/>
      <c r="H83" s="3"/>
      <c r="I83" s="3"/>
      <c r="J83" s="4" t="str">
        <f aca="false">IF(AND($A83&lt;&gt;"",$A83=Подбор!$C$4),MAX(J$1:J82)+1,"")</f>
        <v/>
      </c>
    </row>
    <row r="84" customFormat="false" ht="15" hidden="false" customHeight="false" outlineLevel="0" collapsed="false">
      <c r="A84" s="3" t="s">
        <v>109</v>
      </c>
      <c r="B84" s="3" t="s">
        <v>110</v>
      </c>
      <c r="C84" s="3" t="s">
        <v>11</v>
      </c>
      <c r="D84" s="3" t="s">
        <v>12</v>
      </c>
      <c r="E84" s="3" t="s">
        <v>1480</v>
      </c>
      <c r="F84" s="3" t="s">
        <v>1421</v>
      </c>
      <c r="G84" s="3" t="n">
        <v>3000</v>
      </c>
      <c r="H84" s="3"/>
      <c r="I84" s="3" t="s">
        <v>1415</v>
      </c>
      <c r="J84" s="4" t="str">
        <f aca="false">IF(AND($A84&lt;&gt;"",$A84=Подбор!$C$4),MAX(J$1:J83)+1,"")</f>
        <v/>
      </c>
    </row>
    <row r="85" customFormat="false" ht="15" hidden="false" customHeight="false" outlineLevel="0" collapsed="false">
      <c r="A85" s="3" t="s">
        <v>109</v>
      </c>
      <c r="B85" s="3" t="s">
        <v>110</v>
      </c>
      <c r="C85" s="3" t="s">
        <v>11</v>
      </c>
      <c r="D85" s="3" t="s">
        <v>12</v>
      </c>
      <c r="E85" s="3" t="s">
        <v>1481</v>
      </c>
      <c r="F85" s="3" t="s">
        <v>1417</v>
      </c>
      <c r="G85" s="3"/>
      <c r="H85" s="3"/>
      <c r="I85" s="3"/>
      <c r="J85" s="4" t="str">
        <f aca="false">IF(AND($A85&lt;&gt;"",$A85=Подбор!$C$4),MAX(J$1:J84)+1,"")</f>
        <v/>
      </c>
    </row>
    <row r="86" customFormat="false" ht="15" hidden="false" customHeight="false" outlineLevel="0" collapsed="false">
      <c r="A86" s="3" t="s">
        <v>109</v>
      </c>
      <c r="B86" s="3" t="s">
        <v>110</v>
      </c>
      <c r="C86" s="3" t="s">
        <v>17</v>
      </c>
      <c r="D86" s="3" t="s">
        <v>15</v>
      </c>
      <c r="E86" s="3" t="s">
        <v>1482</v>
      </c>
      <c r="F86" s="3" t="s">
        <v>1472</v>
      </c>
      <c r="G86" s="3"/>
      <c r="H86" s="3"/>
      <c r="I86" s="3"/>
      <c r="J86" s="4" t="str">
        <f aca="false">IF(AND($A86&lt;&gt;"",$A86=Подбор!$C$4),MAX(J$1:J85)+1,"")</f>
        <v/>
      </c>
    </row>
    <row r="87" customFormat="false" ht="15" hidden="false" customHeight="false" outlineLevel="0" collapsed="false">
      <c r="A87" s="3" t="s">
        <v>113</v>
      </c>
      <c r="B87" s="3" t="s">
        <v>57</v>
      </c>
      <c r="C87" s="3" t="s">
        <v>11</v>
      </c>
      <c r="D87" s="3" t="s">
        <v>12</v>
      </c>
      <c r="E87" s="3" t="s">
        <v>1483</v>
      </c>
      <c r="F87" s="3" t="s">
        <v>1403</v>
      </c>
      <c r="G87" s="3" t="n">
        <v>3100</v>
      </c>
      <c r="H87" s="3"/>
      <c r="I87" s="3" t="s">
        <v>1415</v>
      </c>
      <c r="J87" s="4" t="str">
        <f aca="false">IF(AND($A87&lt;&gt;"",$A87=Подбор!$C$4),MAX(J$1:J86)+1,"")</f>
        <v/>
      </c>
    </row>
    <row r="88" customFormat="false" ht="15" hidden="false" customHeight="false" outlineLevel="0" collapsed="false">
      <c r="A88" s="3" t="s">
        <v>113</v>
      </c>
      <c r="B88" s="3" t="s">
        <v>57</v>
      </c>
      <c r="C88" s="3" t="s">
        <v>11</v>
      </c>
      <c r="D88" s="3" t="s">
        <v>12</v>
      </c>
      <c r="E88" s="3" t="s">
        <v>1484</v>
      </c>
      <c r="F88" s="3" t="s">
        <v>1403</v>
      </c>
      <c r="G88" s="3"/>
      <c r="H88" s="3"/>
      <c r="I88" s="3"/>
      <c r="J88" s="4" t="str">
        <f aca="false">IF(AND($A88&lt;&gt;"",$A88=Подбор!$C$4),MAX(J$1:J87)+1,"")</f>
        <v/>
      </c>
    </row>
    <row r="89" customFormat="false" ht="15" hidden="false" customHeight="false" outlineLevel="0" collapsed="false">
      <c r="A89" s="3" t="s">
        <v>113</v>
      </c>
      <c r="B89" s="3" t="s">
        <v>57</v>
      </c>
      <c r="C89" s="3" t="s">
        <v>11</v>
      </c>
      <c r="D89" s="3" t="s">
        <v>12</v>
      </c>
      <c r="E89" s="3" t="s">
        <v>1485</v>
      </c>
      <c r="F89" s="3" t="s">
        <v>1421</v>
      </c>
      <c r="G89" s="3"/>
      <c r="H89" s="3"/>
      <c r="I89" s="3"/>
      <c r="J89" s="4" t="str">
        <f aca="false">IF(AND($A89&lt;&gt;"",$A89=Подбор!$C$4),MAX(J$1:J88)+1,"")</f>
        <v/>
      </c>
    </row>
    <row r="90" customFormat="false" ht="15" hidden="false" customHeight="false" outlineLevel="0" collapsed="false">
      <c r="A90" s="3" t="s">
        <v>113</v>
      </c>
      <c r="B90" s="3" t="s">
        <v>57</v>
      </c>
      <c r="C90" s="3" t="s">
        <v>11</v>
      </c>
      <c r="D90" s="3" t="s">
        <v>12</v>
      </c>
      <c r="E90" s="3" t="s">
        <v>1486</v>
      </c>
      <c r="F90" s="3" t="s">
        <v>1417</v>
      </c>
      <c r="G90" s="3"/>
      <c r="H90" s="3"/>
      <c r="I90" s="3"/>
      <c r="J90" s="4" t="str">
        <f aca="false">IF(AND($A90&lt;&gt;"",$A90=Подбор!$C$4),MAX(J$1:J89)+1,"")</f>
        <v/>
      </c>
    </row>
    <row r="91" customFormat="false" ht="15" hidden="false" customHeight="false" outlineLevel="0" collapsed="false">
      <c r="A91" s="3" t="s">
        <v>113</v>
      </c>
      <c r="B91" s="3" t="s">
        <v>57</v>
      </c>
      <c r="C91" s="3" t="s">
        <v>14</v>
      </c>
      <c r="D91" s="3" t="s">
        <v>15</v>
      </c>
      <c r="E91" s="3" t="s">
        <v>1436</v>
      </c>
      <c r="F91" s="3" t="s">
        <v>1403</v>
      </c>
      <c r="G91" s="3" t="n">
        <v>23000</v>
      </c>
      <c r="H91" s="3"/>
      <c r="I91" s="3" t="s">
        <v>1415</v>
      </c>
      <c r="J91" s="4" t="str">
        <f aca="false">IF(AND($A91&lt;&gt;"",$A91=Подбор!$C$4),MAX(J$1:J90)+1,"")</f>
        <v/>
      </c>
    </row>
    <row r="92" customFormat="false" ht="15" hidden="false" customHeight="false" outlineLevel="0" collapsed="false">
      <c r="A92" s="3" t="s">
        <v>113</v>
      </c>
      <c r="B92" s="3" t="s">
        <v>57</v>
      </c>
      <c r="C92" s="3" t="s">
        <v>17</v>
      </c>
      <c r="D92" s="3" t="s">
        <v>15</v>
      </c>
      <c r="E92" s="3" t="s">
        <v>1487</v>
      </c>
      <c r="F92" s="3" t="s">
        <v>1403</v>
      </c>
      <c r="G92" s="3"/>
      <c r="H92" s="3"/>
      <c r="I92" s="3"/>
      <c r="J92" s="4" t="str">
        <f aca="false">IF(AND($A92&lt;&gt;"",$A92=Подбор!$C$4),MAX(J$1:J91)+1,"")</f>
        <v/>
      </c>
    </row>
    <row r="93" customFormat="false" ht="15" hidden="false" customHeight="false" outlineLevel="0" collapsed="false">
      <c r="A93" s="3" t="s">
        <v>115</v>
      </c>
      <c r="B93" s="3" t="s">
        <v>57</v>
      </c>
      <c r="C93" s="3" t="s">
        <v>11</v>
      </c>
      <c r="D93" s="3" t="s">
        <v>12</v>
      </c>
      <c r="E93" s="3" t="s">
        <v>1488</v>
      </c>
      <c r="F93" s="3" t="s">
        <v>1403</v>
      </c>
      <c r="G93" s="3" t="n">
        <v>25000</v>
      </c>
      <c r="H93" s="3"/>
      <c r="I93" s="3" t="s">
        <v>1415</v>
      </c>
      <c r="J93" s="4" t="str">
        <f aca="false">IF(AND($A93&lt;&gt;"",$A93=Подбор!$C$4),MAX(J$1:J92)+1,"")</f>
        <v/>
      </c>
    </row>
    <row r="94" customFormat="false" ht="15" hidden="false" customHeight="false" outlineLevel="0" collapsed="false">
      <c r="A94" s="3" t="s">
        <v>115</v>
      </c>
      <c r="B94" s="3" t="s">
        <v>57</v>
      </c>
      <c r="C94" s="3" t="s">
        <v>11</v>
      </c>
      <c r="D94" s="3" t="s">
        <v>12</v>
      </c>
      <c r="E94" s="3" t="s">
        <v>1489</v>
      </c>
      <c r="F94" s="3" t="s">
        <v>1421</v>
      </c>
      <c r="G94" s="3" t="n">
        <v>25000</v>
      </c>
      <c r="H94" s="3"/>
      <c r="I94" s="3" t="s">
        <v>1415</v>
      </c>
      <c r="J94" s="4" t="str">
        <f aca="false">IF(AND($A94&lt;&gt;"",$A94=Подбор!$C$4),MAX(J$1:J93)+1,"")</f>
        <v/>
      </c>
    </row>
    <row r="95" customFormat="false" ht="15" hidden="false" customHeight="false" outlineLevel="0" collapsed="false">
      <c r="A95" s="3" t="s">
        <v>115</v>
      </c>
      <c r="B95" s="3" t="s">
        <v>57</v>
      </c>
      <c r="C95" s="3" t="s">
        <v>11</v>
      </c>
      <c r="D95" s="3" t="s">
        <v>12</v>
      </c>
      <c r="E95" s="3" t="s">
        <v>1490</v>
      </c>
      <c r="F95" s="3" t="s">
        <v>1417</v>
      </c>
      <c r="G95" s="3" t="n">
        <v>10500</v>
      </c>
      <c r="H95" s="3"/>
      <c r="I95" s="3" t="s">
        <v>1415</v>
      </c>
      <c r="J95" s="4" t="str">
        <f aca="false">IF(AND($A95&lt;&gt;"",$A95=Подбор!$C$4),MAX(J$1:J94)+1,"")</f>
        <v/>
      </c>
    </row>
    <row r="96" customFormat="false" ht="15" hidden="false" customHeight="false" outlineLevel="0" collapsed="false">
      <c r="A96" s="3" t="s">
        <v>117</v>
      </c>
      <c r="B96" s="3" t="s">
        <v>10</v>
      </c>
      <c r="C96" s="3" t="s">
        <v>11</v>
      </c>
      <c r="D96" s="3" t="s">
        <v>12</v>
      </c>
      <c r="E96" s="3" t="s">
        <v>1491</v>
      </c>
      <c r="F96" s="3" t="s">
        <v>1403</v>
      </c>
      <c r="G96" s="3"/>
      <c r="H96" s="3"/>
      <c r="I96" s="3"/>
      <c r="J96" s="4" t="str">
        <f aca="false">IF(AND($A96&lt;&gt;"",$A96=Подбор!$C$4),MAX(J$1:J95)+1,"")</f>
        <v/>
      </c>
    </row>
    <row r="97" customFormat="false" ht="15" hidden="false" customHeight="false" outlineLevel="0" collapsed="false">
      <c r="A97" s="3" t="s">
        <v>119</v>
      </c>
      <c r="B97" s="3" t="s">
        <v>57</v>
      </c>
      <c r="C97" s="3" t="s">
        <v>11</v>
      </c>
      <c r="D97" s="3" t="s">
        <v>12</v>
      </c>
      <c r="E97" s="3" t="s">
        <v>1492</v>
      </c>
      <c r="F97" s="3" t="s">
        <v>1403</v>
      </c>
      <c r="G97" s="3" t="n">
        <v>3000</v>
      </c>
      <c r="H97" s="3"/>
      <c r="I97" s="3" t="s">
        <v>1415</v>
      </c>
      <c r="J97" s="4" t="str">
        <f aca="false">IF(AND($A97&lt;&gt;"",$A97=Подбор!$C$4),MAX(J$1:J96)+1,"")</f>
        <v/>
      </c>
    </row>
    <row r="98" customFormat="false" ht="15" hidden="false" customHeight="false" outlineLevel="0" collapsed="false">
      <c r="A98" s="3" t="s">
        <v>119</v>
      </c>
      <c r="B98" s="3" t="s">
        <v>57</v>
      </c>
      <c r="C98" s="3" t="s">
        <v>11</v>
      </c>
      <c r="D98" s="3" t="s">
        <v>12</v>
      </c>
      <c r="E98" s="3" t="s">
        <v>1493</v>
      </c>
      <c r="F98" s="3" t="s">
        <v>1421</v>
      </c>
      <c r="G98" s="3" t="n">
        <v>3000</v>
      </c>
      <c r="H98" s="3"/>
      <c r="I98" s="3" t="s">
        <v>1415</v>
      </c>
      <c r="J98" s="4" t="str">
        <f aca="false">IF(AND($A98&lt;&gt;"",$A98=Подбор!$C$4),MAX(J$1:J97)+1,"")</f>
        <v/>
      </c>
    </row>
    <row r="99" customFormat="false" ht="15" hidden="false" customHeight="false" outlineLevel="0" collapsed="false">
      <c r="A99" s="3" t="s">
        <v>119</v>
      </c>
      <c r="B99" s="3" t="s">
        <v>57</v>
      </c>
      <c r="C99" s="3" t="s">
        <v>11</v>
      </c>
      <c r="D99" s="3" t="s">
        <v>12</v>
      </c>
      <c r="E99" s="3" t="s">
        <v>1494</v>
      </c>
      <c r="F99" s="3" t="s">
        <v>1423</v>
      </c>
      <c r="G99" s="3" t="n">
        <v>3000</v>
      </c>
      <c r="H99" s="3"/>
      <c r="I99" s="3" t="s">
        <v>1415</v>
      </c>
      <c r="J99" s="4" t="str">
        <f aca="false">IF(AND($A99&lt;&gt;"",$A99=Подбор!$C$4),MAX(J$1:J98)+1,"")</f>
        <v/>
      </c>
    </row>
    <row r="100" customFormat="false" ht="15" hidden="false" customHeight="false" outlineLevel="0" collapsed="false">
      <c r="A100" s="3" t="s">
        <v>121</v>
      </c>
      <c r="B100" s="3" t="s">
        <v>110</v>
      </c>
      <c r="C100" s="3" t="s">
        <v>11</v>
      </c>
      <c r="D100" s="3" t="s">
        <v>12</v>
      </c>
      <c r="E100" s="3" t="s">
        <v>1495</v>
      </c>
      <c r="F100" s="3" t="s">
        <v>1403</v>
      </c>
      <c r="G100" s="3"/>
      <c r="H100" s="3"/>
      <c r="I100" s="3"/>
      <c r="J100" s="4" t="str">
        <f aca="false">IF(AND($A100&lt;&gt;"",$A100=Подбор!$C$4),MAX(J$1:J99)+1,"")</f>
        <v/>
      </c>
    </row>
    <row r="101" customFormat="false" ht="15" hidden="false" customHeight="false" outlineLevel="0" collapsed="false">
      <c r="A101" s="3" t="s">
        <v>121</v>
      </c>
      <c r="B101" s="3" t="s">
        <v>110</v>
      </c>
      <c r="C101" s="3" t="s">
        <v>11</v>
      </c>
      <c r="D101" s="3" t="s">
        <v>12</v>
      </c>
      <c r="E101" s="3" t="s">
        <v>1496</v>
      </c>
      <c r="F101" s="3" t="s">
        <v>1421</v>
      </c>
      <c r="G101" s="3"/>
      <c r="H101" s="3"/>
      <c r="I101" s="3"/>
      <c r="J101" s="4" t="str">
        <f aca="false">IF(AND($A101&lt;&gt;"",$A101=Подбор!$C$4),MAX(J$1:J100)+1,"")</f>
        <v/>
      </c>
    </row>
    <row r="102" customFormat="false" ht="15" hidden="false" customHeight="false" outlineLevel="0" collapsed="false">
      <c r="A102" s="3" t="s">
        <v>123</v>
      </c>
      <c r="B102" s="3" t="s">
        <v>57</v>
      </c>
      <c r="C102" s="3" t="s">
        <v>11</v>
      </c>
      <c r="D102" s="3" t="s">
        <v>12</v>
      </c>
      <c r="E102" s="3" t="s">
        <v>1497</v>
      </c>
      <c r="F102" s="3" t="s">
        <v>1403</v>
      </c>
      <c r="G102" s="3" t="n">
        <v>20000</v>
      </c>
      <c r="H102" s="3"/>
      <c r="I102" s="3" t="s">
        <v>1415</v>
      </c>
      <c r="J102" s="4" t="str">
        <f aca="false">IF(AND($A102&lt;&gt;"",$A102=Подбор!$C$4),MAX(J$1:J101)+1,"")</f>
        <v/>
      </c>
    </row>
    <row r="103" customFormat="false" ht="15" hidden="false" customHeight="false" outlineLevel="0" collapsed="false">
      <c r="A103" s="3" t="s">
        <v>125</v>
      </c>
      <c r="B103" s="3" t="s">
        <v>57</v>
      </c>
      <c r="C103" s="3" t="s">
        <v>11</v>
      </c>
      <c r="D103" s="3" t="s">
        <v>12</v>
      </c>
      <c r="E103" s="3" t="s">
        <v>1452</v>
      </c>
      <c r="F103" s="3" t="s">
        <v>1403</v>
      </c>
      <c r="G103" s="3" t="n">
        <v>2000</v>
      </c>
      <c r="H103" s="3"/>
      <c r="I103" s="3" t="s">
        <v>1415</v>
      </c>
      <c r="J103" s="4" t="str">
        <f aca="false">IF(AND($A103&lt;&gt;"",$A103=Подбор!$C$4),MAX(J$1:J102)+1,"")</f>
        <v/>
      </c>
    </row>
    <row r="104" customFormat="false" ht="15" hidden="false" customHeight="false" outlineLevel="0" collapsed="false">
      <c r="A104" s="3" t="s">
        <v>125</v>
      </c>
      <c r="B104" s="3" t="s">
        <v>57</v>
      </c>
      <c r="C104" s="3" t="s">
        <v>11</v>
      </c>
      <c r="D104" s="3" t="s">
        <v>12</v>
      </c>
      <c r="E104" s="3" t="s">
        <v>1453</v>
      </c>
      <c r="F104" s="3" t="s">
        <v>1421</v>
      </c>
      <c r="G104" s="3" t="n">
        <v>2000</v>
      </c>
      <c r="H104" s="3"/>
      <c r="I104" s="3" t="s">
        <v>1415</v>
      </c>
      <c r="J104" s="4" t="str">
        <f aca="false">IF(AND($A104&lt;&gt;"",$A104=Подбор!$C$4),MAX(J$1:J103)+1,"")</f>
        <v/>
      </c>
    </row>
    <row r="105" customFormat="false" ht="15" hidden="false" customHeight="false" outlineLevel="0" collapsed="false">
      <c r="A105" s="3" t="s">
        <v>126</v>
      </c>
      <c r="B105" s="3" t="s">
        <v>57</v>
      </c>
      <c r="C105" s="3" t="s">
        <v>11</v>
      </c>
      <c r="D105" s="3" t="s">
        <v>12</v>
      </c>
      <c r="E105" s="3" t="s">
        <v>1498</v>
      </c>
      <c r="F105" s="3" t="s">
        <v>1403</v>
      </c>
      <c r="G105" s="3" t="n">
        <v>6500</v>
      </c>
      <c r="H105" s="3"/>
      <c r="I105" s="3" t="s">
        <v>1415</v>
      </c>
      <c r="J105" s="4" t="str">
        <f aca="false">IF(AND($A105&lt;&gt;"",$A105=Подбор!$C$4),MAX(J$1:J104)+1,"")</f>
        <v/>
      </c>
    </row>
    <row r="106" customFormat="false" ht="15" hidden="false" customHeight="false" outlineLevel="0" collapsed="false">
      <c r="A106" s="3" t="s">
        <v>126</v>
      </c>
      <c r="B106" s="3" t="s">
        <v>57</v>
      </c>
      <c r="C106" s="3" t="s">
        <v>11</v>
      </c>
      <c r="D106" s="3" t="s">
        <v>12</v>
      </c>
      <c r="E106" s="3" t="s">
        <v>1499</v>
      </c>
      <c r="F106" s="3" t="s">
        <v>1421</v>
      </c>
      <c r="G106" s="3"/>
      <c r="H106" s="3"/>
      <c r="I106" s="3"/>
      <c r="J106" s="4" t="str">
        <f aca="false">IF(AND($A106&lt;&gt;"",$A106=Подбор!$C$4),MAX(J$1:J105)+1,"")</f>
        <v/>
      </c>
    </row>
    <row r="107" customFormat="false" ht="15" hidden="false" customHeight="false" outlineLevel="0" collapsed="false">
      <c r="A107" s="3" t="s">
        <v>128</v>
      </c>
      <c r="B107" s="3" t="s">
        <v>57</v>
      </c>
      <c r="C107" s="3" t="s">
        <v>11</v>
      </c>
      <c r="D107" s="3" t="s">
        <v>12</v>
      </c>
      <c r="E107" s="3" t="s">
        <v>1500</v>
      </c>
      <c r="F107" s="3" t="s">
        <v>1403</v>
      </c>
      <c r="G107" s="3" t="n">
        <v>13000</v>
      </c>
      <c r="H107" s="3"/>
      <c r="I107" s="3" t="s">
        <v>1415</v>
      </c>
      <c r="J107" s="4" t="str">
        <f aca="false">IF(AND($A107&lt;&gt;"",$A107=Подбор!$C$4),MAX(J$1:J106)+1,"")</f>
        <v/>
      </c>
    </row>
    <row r="108" customFormat="false" ht="15" hidden="false" customHeight="false" outlineLevel="0" collapsed="false">
      <c r="A108" s="3" t="s">
        <v>128</v>
      </c>
      <c r="B108" s="3" t="s">
        <v>57</v>
      </c>
      <c r="C108" s="3" t="s">
        <v>11</v>
      </c>
      <c r="D108" s="3" t="s">
        <v>21</v>
      </c>
      <c r="E108" s="3" t="s">
        <v>1501</v>
      </c>
      <c r="F108" s="3" t="s">
        <v>1403</v>
      </c>
      <c r="G108" s="3" t="n">
        <v>12000</v>
      </c>
      <c r="H108" s="3"/>
      <c r="I108" s="3" t="s">
        <v>1415</v>
      </c>
      <c r="J108" s="4" t="str">
        <f aca="false">IF(AND($A108&lt;&gt;"",$A108=Подбор!$C$4),MAX(J$1:J107)+1,"")</f>
        <v/>
      </c>
    </row>
    <row r="109" customFormat="false" ht="15" hidden="false" customHeight="false" outlineLevel="0" collapsed="false">
      <c r="A109" s="3" t="s">
        <v>128</v>
      </c>
      <c r="B109" s="3" t="s">
        <v>57</v>
      </c>
      <c r="C109" s="3" t="s">
        <v>11</v>
      </c>
      <c r="D109" s="3" t="s">
        <v>23</v>
      </c>
      <c r="E109" s="3" t="s">
        <v>1502</v>
      </c>
      <c r="F109" s="3" t="s">
        <v>1403</v>
      </c>
      <c r="G109" s="3" t="n">
        <v>12000</v>
      </c>
      <c r="H109" s="3"/>
      <c r="I109" s="3" t="s">
        <v>1415</v>
      </c>
      <c r="J109" s="4" t="str">
        <f aca="false">IF(AND($A109&lt;&gt;"",$A109=Подбор!$C$4),MAX(J$1:J108)+1,"")</f>
        <v/>
      </c>
    </row>
    <row r="110" customFormat="false" ht="15" hidden="false" customHeight="false" outlineLevel="0" collapsed="false">
      <c r="A110" s="3" t="s">
        <v>128</v>
      </c>
      <c r="B110" s="3" t="s">
        <v>57</v>
      </c>
      <c r="C110" s="3" t="s">
        <v>11</v>
      </c>
      <c r="D110" s="3" t="s">
        <v>25</v>
      </c>
      <c r="E110" s="3" t="s">
        <v>1503</v>
      </c>
      <c r="F110" s="3" t="s">
        <v>1403</v>
      </c>
      <c r="G110" s="3" t="n">
        <v>12000</v>
      </c>
      <c r="H110" s="3"/>
      <c r="I110" s="3" t="s">
        <v>1415</v>
      </c>
      <c r="J110" s="4" t="str">
        <f aca="false">IF(AND($A110&lt;&gt;"",$A110=Подбор!$C$4),MAX(J$1:J109)+1,"")</f>
        <v/>
      </c>
    </row>
    <row r="111" customFormat="false" ht="15" hidden="false" customHeight="false" outlineLevel="0" collapsed="false">
      <c r="A111" s="3" t="s">
        <v>133</v>
      </c>
      <c r="B111" s="3" t="s">
        <v>57</v>
      </c>
      <c r="C111" s="3" t="s">
        <v>11</v>
      </c>
      <c r="D111" s="3" t="s">
        <v>12</v>
      </c>
      <c r="E111" s="3" t="s">
        <v>1451</v>
      </c>
      <c r="F111" s="3" t="s">
        <v>1421</v>
      </c>
      <c r="G111" s="3" t="n">
        <v>18000</v>
      </c>
      <c r="H111" s="3"/>
      <c r="I111" s="3" t="s">
        <v>1415</v>
      </c>
      <c r="J111" s="4" t="str">
        <f aca="false">IF(AND($A111&lt;&gt;"",$A111=Подбор!$C$4),MAX(J$1:J110)+1,"")</f>
        <v/>
      </c>
    </row>
    <row r="112" customFormat="false" ht="15" hidden="false" customHeight="false" outlineLevel="0" collapsed="false">
      <c r="A112" s="3" t="s">
        <v>134</v>
      </c>
      <c r="B112" s="3" t="s">
        <v>57</v>
      </c>
      <c r="C112" s="3" t="s">
        <v>11</v>
      </c>
      <c r="D112" s="3" t="s">
        <v>12</v>
      </c>
      <c r="E112" s="3" t="s">
        <v>1452</v>
      </c>
      <c r="F112" s="3" t="s">
        <v>1403</v>
      </c>
      <c r="G112" s="3" t="n">
        <v>2000</v>
      </c>
      <c r="H112" s="3"/>
      <c r="I112" s="3" t="s">
        <v>1415</v>
      </c>
      <c r="J112" s="4" t="str">
        <f aca="false">IF(AND($A112&lt;&gt;"",$A112=Подбор!$C$4),MAX(J$1:J111)+1,"")</f>
        <v/>
      </c>
    </row>
    <row r="113" customFormat="false" ht="15" hidden="false" customHeight="false" outlineLevel="0" collapsed="false">
      <c r="A113" s="3" t="s">
        <v>135</v>
      </c>
      <c r="B113" s="3" t="s">
        <v>57</v>
      </c>
      <c r="C113" s="3" t="s">
        <v>11</v>
      </c>
      <c r="D113" s="3" t="s">
        <v>12</v>
      </c>
      <c r="E113" s="3" t="s">
        <v>1504</v>
      </c>
      <c r="F113" s="3" t="s">
        <v>1403</v>
      </c>
      <c r="G113" s="3" t="n">
        <v>20000</v>
      </c>
      <c r="H113" s="3"/>
      <c r="I113" s="3" t="s">
        <v>1415</v>
      </c>
      <c r="J113" s="4" t="str">
        <f aca="false">IF(AND($A113&lt;&gt;"",$A113=Подбор!$C$4),MAX(J$1:J112)+1,"")</f>
        <v/>
      </c>
    </row>
    <row r="114" customFormat="false" ht="15" hidden="false" customHeight="false" outlineLevel="0" collapsed="false">
      <c r="A114" s="3" t="s">
        <v>135</v>
      </c>
      <c r="B114" s="3" t="s">
        <v>57</v>
      </c>
      <c r="C114" s="3" t="s">
        <v>11</v>
      </c>
      <c r="D114" s="3" t="s">
        <v>12</v>
      </c>
      <c r="E114" s="3" t="s">
        <v>1505</v>
      </c>
      <c r="F114" s="3" t="s">
        <v>1421</v>
      </c>
      <c r="G114" s="3" t="n">
        <v>20000</v>
      </c>
      <c r="H114" s="3"/>
      <c r="I114" s="3" t="s">
        <v>1415</v>
      </c>
      <c r="J114" s="4" t="str">
        <f aca="false">IF(AND($A114&lt;&gt;"",$A114=Подбор!$C$4),MAX(J$1:J113)+1,"")</f>
        <v/>
      </c>
    </row>
    <row r="115" customFormat="false" ht="15" hidden="false" customHeight="false" outlineLevel="0" collapsed="false">
      <c r="A115" s="3" t="s">
        <v>137</v>
      </c>
      <c r="B115" s="3" t="s">
        <v>57</v>
      </c>
      <c r="C115" s="3" t="s">
        <v>11</v>
      </c>
      <c r="D115" s="3" t="s">
        <v>12</v>
      </c>
      <c r="E115" s="3" t="s">
        <v>1506</v>
      </c>
      <c r="F115" s="3" t="s">
        <v>1403</v>
      </c>
      <c r="G115" s="3" t="n">
        <v>3500</v>
      </c>
      <c r="H115" s="3"/>
      <c r="I115" s="3" t="s">
        <v>1415</v>
      </c>
      <c r="J115" s="4" t="str">
        <f aca="false">IF(AND($A115&lt;&gt;"",$A115=Подбор!$C$4),MAX(J$1:J114)+1,"")</f>
        <v/>
      </c>
    </row>
    <row r="116" customFormat="false" ht="15" hidden="false" customHeight="false" outlineLevel="0" collapsed="false">
      <c r="A116" s="3" t="s">
        <v>137</v>
      </c>
      <c r="B116" s="3" t="s">
        <v>57</v>
      </c>
      <c r="C116" s="3" t="s">
        <v>11</v>
      </c>
      <c r="D116" s="3" t="s">
        <v>21</v>
      </c>
      <c r="E116" s="3" t="s">
        <v>1507</v>
      </c>
      <c r="F116" s="3" t="s">
        <v>1403</v>
      </c>
      <c r="G116" s="3" t="n">
        <v>2800</v>
      </c>
      <c r="H116" s="3"/>
      <c r="I116" s="3" t="s">
        <v>1415</v>
      </c>
      <c r="J116" s="4" t="str">
        <f aca="false">IF(AND($A116&lt;&gt;"",$A116=Подбор!$C$4),MAX(J$1:J115)+1,"")</f>
        <v/>
      </c>
    </row>
    <row r="117" customFormat="false" ht="15" hidden="false" customHeight="false" outlineLevel="0" collapsed="false">
      <c r="A117" s="3" t="s">
        <v>137</v>
      </c>
      <c r="B117" s="3" t="s">
        <v>57</v>
      </c>
      <c r="C117" s="3" t="s">
        <v>11</v>
      </c>
      <c r="D117" s="3" t="s">
        <v>23</v>
      </c>
      <c r="E117" s="3" t="s">
        <v>1508</v>
      </c>
      <c r="F117" s="3" t="s">
        <v>1403</v>
      </c>
      <c r="G117" s="3" t="n">
        <v>2800</v>
      </c>
      <c r="H117" s="3"/>
      <c r="I117" s="3" t="s">
        <v>1415</v>
      </c>
      <c r="J117" s="4" t="str">
        <f aca="false">IF(AND($A117&lt;&gt;"",$A117=Подбор!$C$4),MAX(J$1:J116)+1,"")</f>
        <v/>
      </c>
    </row>
    <row r="118" customFormat="false" ht="15" hidden="false" customHeight="false" outlineLevel="0" collapsed="false">
      <c r="A118" s="3" t="s">
        <v>137</v>
      </c>
      <c r="B118" s="3" t="s">
        <v>57</v>
      </c>
      <c r="C118" s="3" t="s">
        <v>11</v>
      </c>
      <c r="D118" s="3" t="s">
        <v>25</v>
      </c>
      <c r="E118" s="3" t="s">
        <v>1509</v>
      </c>
      <c r="F118" s="3" t="s">
        <v>1403</v>
      </c>
      <c r="G118" s="3" t="n">
        <v>2800</v>
      </c>
      <c r="H118" s="3"/>
      <c r="I118" s="3" t="s">
        <v>1415</v>
      </c>
      <c r="J118" s="4" t="str">
        <f aca="false">IF(AND($A118&lt;&gt;"",$A118=Подбор!$C$4),MAX(J$1:J117)+1,"")</f>
        <v/>
      </c>
    </row>
    <row r="119" customFormat="false" ht="15" hidden="false" customHeight="false" outlineLevel="0" collapsed="false">
      <c r="A119" s="3" t="s">
        <v>142</v>
      </c>
      <c r="B119" s="3" t="s">
        <v>57</v>
      </c>
      <c r="C119" s="3" t="s">
        <v>11</v>
      </c>
      <c r="D119" s="3" t="s">
        <v>12</v>
      </c>
      <c r="E119" s="3" t="s">
        <v>1452</v>
      </c>
      <c r="F119" s="3" t="s">
        <v>1403</v>
      </c>
      <c r="G119" s="3" t="n">
        <v>2000</v>
      </c>
      <c r="H119" s="3"/>
      <c r="I119" s="3" t="s">
        <v>1415</v>
      </c>
      <c r="J119" s="4" t="str">
        <f aca="false">IF(AND($A119&lt;&gt;"",$A119=Подбор!$C$4),MAX(J$1:J118)+1,"")</f>
        <v/>
      </c>
    </row>
    <row r="120" customFormat="false" ht="15" hidden="false" customHeight="false" outlineLevel="0" collapsed="false">
      <c r="A120" s="3" t="s">
        <v>143</v>
      </c>
      <c r="B120" s="3" t="s">
        <v>10</v>
      </c>
      <c r="C120" s="3" t="s">
        <v>11</v>
      </c>
      <c r="D120" s="3" t="s">
        <v>12</v>
      </c>
      <c r="E120" s="3" t="s">
        <v>1510</v>
      </c>
      <c r="F120" s="3" t="s">
        <v>1403</v>
      </c>
      <c r="G120" s="3"/>
      <c r="H120" s="3"/>
      <c r="I120" s="3"/>
      <c r="J120" s="4" t="str">
        <f aca="false">IF(AND($A120&lt;&gt;"",$A120=Подбор!$C$4),MAX(J$1:J119)+1,"")</f>
        <v/>
      </c>
    </row>
    <row r="121" customFormat="false" ht="15" hidden="false" customHeight="false" outlineLevel="0" collapsed="false">
      <c r="A121" s="3" t="s">
        <v>145</v>
      </c>
      <c r="B121" s="3" t="s">
        <v>10</v>
      </c>
      <c r="C121" s="3" t="s">
        <v>11</v>
      </c>
      <c r="D121" s="3" t="s">
        <v>12</v>
      </c>
      <c r="E121" s="3" t="s">
        <v>1511</v>
      </c>
      <c r="F121" s="3" t="s">
        <v>1403</v>
      </c>
      <c r="G121" s="3"/>
      <c r="H121" s="3"/>
      <c r="I121" s="3"/>
      <c r="J121" s="4" t="str">
        <f aca="false">IF(AND($A121&lt;&gt;"",$A121=Подбор!$C$4),MAX(J$1:J120)+1,"")</f>
        <v/>
      </c>
    </row>
    <row r="122" customFormat="false" ht="15" hidden="false" customHeight="false" outlineLevel="0" collapsed="false">
      <c r="A122" s="3" t="s">
        <v>145</v>
      </c>
      <c r="B122" s="3" t="s">
        <v>10</v>
      </c>
      <c r="C122" s="3" t="s">
        <v>14</v>
      </c>
      <c r="D122" s="3" t="s">
        <v>15</v>
      </c>
      <c r="E122" s="3" t="s">
        <v>1512</v>
      </c>
      <c r="F122" s="3" t="s">
        <v>1403</v>
      </c>
      <c r="G122" s="3"/>
      <c r="H122" s="3"/>
      <c r="I122" s="3"/>
      <c r="J122" s="4" t="str">
        <f aca="false">IF(AND($A122&lt;&gt;"",$A122=Подбор!$C$4),MAX(J$1:J121)+1,"")</f>
        <v/>
      </c>
    </row>
    <row r="123" customFormat="false" ht="15" hidden="false" customHeight="false" outlineLevel="0" collapsed="false">
      <c r="A123" s="3" t="s">
        <v>148</v>
      </c>
      <c r="B123" s="3" t="s">
        <v>68</v>
      </c>
      <c r="C123" s="3" t="s">
        <v>11</v>
      </c>
      <c r="D123" s="3" t="s">
        <v>12</v>
      </c>
      <c r="E123" s="3" t="s">
        <v>1513</v>
      </c>
      <c r="F123" s="3" t="s">
        <v>1403</v>
      </c>
      <c r="G123" s="3" t="n">
        <v>15000</v>
      </c>
      <c r="H123" s="3"/>
      <c r="I123" s="3" t="s">
        <v>1415</v>
      </c>
      <c r="J123" s="4" t="str">
        <f aca="false">IF(AND($A123&lt;&gt;"",$A123=Подбор!$C$4),MAX(J$1:J122)+1,"")</f>
        <v/>
      </c>
    </row>
    <row r="124" customFormat="false" ht="15" hidden="false" customHeight="false" outlineLevel="0" collapsed="false">
      <c r="A124" s="3" t="s">
        <v>148</v>
      </c>
      <c r="B124" s="3" t="s">
        <v>68</v>
      </c>
      <c r="C124" s="3" t="s">
        <v>28</v>
      </c>
      <c r="D124" s="3" t="s">
        <v>15</v>
      </c>
      <c r="E124" s="3"/>
      <c r="F124" s="3"/>
      <c r="G124" s="3"/>
      <c r="H124" s="3"/>
      <c r="I124" s="3" t="s">
        <v>1440</v>
      </c>
      <c r="J124" s="4" t="str">
        <f aca="false">IF(AND($A124&lt;&gt;"",$A124=Подбор!$C$4),MAX(J$1:J123)+1,"")</f>
        <v/>
      </c>
    </row>
    <row r="125" customFormat="false" ht="15" hidden="false" customHeight="false" outlineLevel="0" collapsed="false">
      <c r="A125" s="3" t="s">
        <v>151</v>
      </c>
      <c r="B125" s="3" t="s">
        <v>10</v>
      </c>
      <c r="C125" s="3" t="s">
        <v>11</v>
      </c>
      <c r="D125" s="3" t="s">
        <v>12</v>
      </c>
      <c r="E125" s="3" t="s">
        <v>1514</v>
      </c>
      <c r="F125" s="3" t="s">
        <v>1403</v>
      </c>
      <c r="G125" s="3"/>
      <c r="H125" s="3"/>
      <c r="I125" s="3"/>
      <c r="J125" s="4" t="str">
        <f aca="false">IF(AND($A125&lt;&gt;"",$A125=Подбор!$C$4),MAX(J$1:J124)+1,"")</f>
        <v/>
      </c>
    </row>
    <row r="126" customFormat="false" ht="15" hidden="false" customHeight="false" outlineLevel="0" collapsed="false">
      <c r="A126" s="3" t="s">
        <v>153</v>
      </c>
      <c r="B126" s="3" t="s">
        <v>57</v>
      </c>
      <c r="C126" s="3" t="s">
        <v>11</v>
      </c>
      <c r="D126" s="3" t="s">
        <v>12</v>
      </c>
      <c r="E126" s="3" t="s">
        <v>1515</v>
      </c>
      <c r="F126" s="3" t="s">
        <v>1403</v>
      </c>
      <c r="G126" s="3" t="n">
        <v>15000</v>
      </c>
      <c r="H126" s="3"/>
      <c r="I126" s="3" t="s">
        <v>1415</v>
      </c>
      <c r="J126" s="4" t="str">
        <f aca="false">IF(AND($A126&lt;&gt;"",$A126=Подбор!$C$4),MAX(J$1:J125)+1,"")</f>
        <v/>
      </c>
    </row>
    <row r="127" customFormat="false" ht="15" hidden="false" customHeight="false" outlineLevel="0" collapsed="false">
      <c r="A127" s="3" t="s">
        <v>153</v>
      </c>
      <c r="B127" s="3" t="s">
        <v>57</v>
      </c>
      <c r="C127" s="3" t="s">
        <v>11</v>
      </c>
      <c r="D127" s="3" t="s">
        <v>12</v>
      </c>
      <c r="E127" s="3" t="s">
        <v>1516</v>
      </c>
      <c r="F127" s="3" t="s">
        <v>1423</v>
      </c>
      <c r="G127" s="3" t="n">
        <v>15000</v>
      </c>
      <c r="H127" s="3"/>
      <c r="I127" s="3" t="s">
        <v>1415</v>
      </c>
      <c r="J127" s="4" t="str">
        <f aca="false">IF(AND($A127&lt;&gt;"",$A127=Подбор!$C$4),MAX(J$1:J126)+1,"")</f>
        <v/>
      </c>
    </row>
    <row r="128" customFormat="false" ht="15" hidden="false" customHeight="false" outlineLevel="0" collapsed="false">
      <c r="A128" s="3" t="s">
        <v>155</v>
      </c>
      <c r="B128" s="3" t="s">
        <v>156</v>
      </c>
      <c r="C128" s="3" t="s">
        <v>11</v>
      </c>
      <c r="D128" s="3" t="s">
        <v>12</v>
      </c>
      <c r="E128" s="3" t="s">
        <v>1517</v>
      </c>
      <c r="F128" s="3" t="s">
        <v>1403</v>
      </c>
      <c r="G128" s="3"/>
      <c r="H128" s="3"/>
      <c r="I128" s="3"/>
      <c r="J128" s="4" t="str">
        <f aca="false">IF(AND($A128&lt;&gt;"",$A128=Подбор!$C$4),MAX(J$1:J127)+1,"")</f>
        <v/>
      </c>
    </row>
    <row r="129" customFormat="false" ht="15" hidden="false" customHeight="false" outlineLevel="0" collapsed="false">
      <c r="A129" s="3" t="s">
        <v>155</v>
      </c>
      <c r="B129" s="3" t="s">
        <v>156</v>
      </c>
      <c r="C129" s="3" t="s">
        <v>14</v>
      </c>
      <c r="D129" s="3" t="s">
        <v>15</v>
      </c>
      <c r="E129" s="3" t="s">
        <v>1518</v>
      </c>
      <c r="F129" s="3" t="s">
        <v>1403</v>
      </c>
      <c r="G129" s="3" t="n">
        <v>6000</v>
      </c>
      <c r="H129" s="3"/>
      <c r="I129" s="3"/>
      <c r="J129" s="4" t="str">
        <f aca="false">IF(AND($A129&lt;&gt;"",$A129=Подбор!$C$4),MAX(J$1:J128)+1,"")</f>
        <v/>
      </c>
    </row>
    <row r="130" customFormat="false" ht="15" hidden="false" customHeight="false" outlineLevel="0" collapsed="false">
      <c r="A130" s="3" t="s">
        <v>159</v>
      </c>
      <c r="B130" s="3" t="s">
        <v>84</v>
      </c>
      <c r="C130" s="3" t="s">
        <v>11</v>
      </c>
      <c r="D130" s="3" t="s">
        <v>12</v>
      </c>
      <c r="E130" s="3" t="s">
        <v>1519</v>
      </c>
      <c r="F130" s="3" t="s">
        <v>1403</v>
      </c>
      <c r="G130" s="3"/>
      <c r="H130" s="3"/>
      <c r="I130" s="3"/>
      <c r="J130" s="4" t="str">
        <f aca="false">IF(AND($A130&lt;&gt;"",$A130=Подбор!$C$4),MAX(J$1:J129)+1,"")</f>
        <v/>
      </c>
    </row>
    <row r="131" customFormat="false" ht="15" hidden="false" customHeight="false" outlineLevel="0" collapsed="false">
      <c r="A131" s="3" t="s">
        <v>159</v>
      </c>
      <c r="B131" s="3" t="s">
        <v>84</v>
      </c>
      <c r="C131" s="3" t="s">
        <v>11</v>
      </c>
      <c r="D131" s="3" t="s">
        <v>21</v>
      </c>
      <c r="E131" s="3" t="s">
        <v>1520</v>
      </c>
      <c r="F131" s="3" t="s">
        <v>1403</v>
      </c>
      <c r="G131" s="3"/>
      <c r="H131" s="3"/>
      <c r="I131" s="3"/>
      <c r="J131" s="4" t="str">
        <f aca="false">IF(AND($A131&lt;&gt;"",$A131=Подбор!$C$4),MAX(J$1:J130)+1,"")</f>
        <v/>
      </c>
    </row>
    <row r="132" customFormat="false" ht="15" hidden="false" customHeight="false" outlineLevel="0" collapsed="false">
      <c r="A132" s="3" t="s">
        <v>159</v>
      </c>
      <c r="B132" s="3" t="s">
        <v>84</v>
      </c>
      <c r="C132" s="3" t="s">
        <v>11</v>
      </c>
      <c r="D132" s="3" t="s">
        <v>23</v>
      </c>
      <c r="E132" s="3" t="s">
        <v>1521</v>
      </c>
      <c r="F132" s="3" t="s">
        <v>1403</v>
      </c>
      <c r="G132" s="3"/>
      <c r="H132" s="3"/>
      <c r="I132" s="3"/>
      <c r="J132" s="4" t="str">
        <f aca="false">IF(AND($A132&lt;&gt;"",$A132=Подбор!$C$4),MAX(J$1:J131)+1,"")</f>
        <v/>
      </c>
    </row>
    <row r="133" customFormat="false" ht="15" hidden="false" customHeight="false" outlineLevel="0" collapsed="false">
      <c r="A133" s="3" t="s">
        <v>159</v>
      </c>
      <c r="B133" s="3" t="s">
        <v>84</v>
      </c>
      <c r="C133" s="3" t="s">
        <v>11</v>
      </c>
      <c r="D133" s="3" t="s">
        <v>25</v>
      </c>
      <c r="E133" s="3" t="s">
        <v>1522</v>
      </c>
      <c r="F133" s="3" t="s">
        <v>1403</v>
      </c>
      <c r="G133" s="3"/>
      <c r="H133" s="3"/>
      <c r="I133" s="3"/>
      <c r="J133" s="4" t="str">
        <f aca="false">IF(AND($A133&lt;&gt;"",$A133=Подбор!$C$4),MAX(J$1:J132)+1,"")</f>
        <v/>
      </c>
    </row>
    <row r="134" customFormat="false" ht="15" hidden="false" customHeight="false" outlineLevel="0" collapsed="false">
      <c r="A134" s="3" t="s">
        <v>164</v>
      </c>
      <c r="B134" s="3" t="s">
        <v>68</v>
      </c>
      <c r="C134" s="3" t="s">
        <v>11</v>
      </c>
      <c r="D134" s="3" t="s">
        <v>12</v>
      </c>
      <c r="E134" s="3" t="s">
        <v>1523</v>
      </c>
      <c r="F134" s="3" t="s">
        <v>1403</v>
      </c>
      <c r="G134" s="3" t="n">
        <v>25000</v>
      </c>
      <c r="H134" s="3"/>
      <c r="I134" s="3" t="s">
        <v>1415</v>
      </c>
      <c r="J134" s="4" t="str">
        <f aca="false">IF(AND($A134&lt;&gt;"",$A134=Подбор!$C$4),MAX(J$1:J133)+1,"")</f>
        <v/>
      </c>
    </row>
    <row r="135" customFormat="false" ht="15" hidden="false" customHeight="false" outlineLevel="0" collapsed="false">
      <c r="A135" s="3" t="s">
        <v>164</v>
      </c>
      <c r="B135" s="3" t="s">
        <v>68</v>
      </c>
      <c r="C135" s="3" t="s">
        <v>11</v>
      </c>
      <c r="D135" s="3" t="s">
        <v>12</v>
      </c>
      <c r="E135" s="3" t="s">
        <v>1524</v>
      </c>
      <c r="F135" s="3" t="s">
        <v>1421</v>
      </c>
      <c r="G135" s="3" t="n">
        <v>25000</v>
      </c>
      <c r="H135" s="3"/>
      <c r="I135" s="3" t="s">
        <v>1415</v>
      </c>
      <c r="J135" s="4" t="str">
        <f aca="false">IF(AND($A135&lt;&gt;"",$A135=Подбор!$C$4),MAX(J$1:J134)+1,"")</f>
        <v/>
      </c>
    </row>
    <row r="136" customFormat="false" ht="15" hidden="false" customHeight="false" outlineLevel="0" collapsed="false">
      <c r="A136" s="3" t="s">
        <v>164</v>
      </c>
      <c r="B136" s="3" t="s">
        <v>68</v>
      </c>
      <c r="C136" s="3" t="s">
        <v>14</v>
      </c>
      <c r="D136" s="3" t="s">
        <v>15</v>
      </c>
      <c r="E136" s="3"/>
      <c r="F136" s="3"/>
      <c r="G136" s="3"/>
      <c r="H136" s="3"/>
      <c r="I136" s="3" t="s">
        <v>1440</v>
      </c>
      <c r="J136" s="4" t="str">
        <f aca="false">IF(AND($A136&lt;&gt;"",$A136=Подбор!$C$4),MAX(J$1:J135)+1,"")</f>
        <v/>
      </c>
    </row>
    <row r="137" customFormat="false" ht="15" hidden="false" customHeight="false" outlineLevel="0" collapsed="false">
      <c r="A137" s="3" t="s">
        <v>164</v>
      </c>
      <c r="B137" s="3" t="s">
        <v>68</v>
      </c>
      <c r="C137" s="3" t="s">
        <v>28</v>
      </c>
      <c r="D137" s="3" t="s">
        <v>15</v>
      </c>
      <c r="E137" s="3"/>
      <c r="F137" s="3"/>
      <c r="G137" s="3"/>
      <c r="H137" s="3"/>
      <c r="I137" s="3" t="s">
        <v>1440</v>
      </c>
      <c r="J137" s="4" t="str">
        <f aca="false">IF(AND($A137&lt;&gt;"",$A137=Подбор!$C$4),MAX(J$1:J136)+1,"")</f>
        <v/>
      </c>
    </row>
    <row r="138" customFormat="false" ht="15" hidden="false" customHeight="false" outlineLevel="0" collapsed="false">
      <c r="A138" s="3" t="s">
        <v>164</v>
      </c>
      <c r="B138" s="3" t="s">
        <v>68</v>
      </c>
      <c r="C138" s="3" t="s">
        <v>17</v>
      </c>
      <c r="D138" s="3" t="s">
        <v>15</v>
      </c>
      <c r="E138" s="3"/>
      <c r="F138" s="3"/>
      <c r="G138" s="3"/>
      <c r="H138" s="3"/>
      <c r="I138" s="3" t="s">
        <v>1440</v>
      </c>
      <c r="J138" s="4" t="str">
        <f aca="false">IF(AND($A138&lt;&gt;"",$A138=Подбор!$C$4),MAX(J$1:J137)+1,"")</f>
        <v/>
      </c>
    </row>
    <row r="139" customFormat="false" ht="15" hidden="false" customHeight="false" outlineLevel="0" collapsed="false">
      <c r="A139" s="3" t="s">
        <v>169</v>
      </c>
      <c r="B139" s="3" t="s">
        <v>10</v>
      </c>
      <c r="C139" s="3" t="s">
        <v>11</v>
      </c>
      <c r="D139" s="3" t="s">
        <v>12</v>
      </c>
      <c r="E139" s="3" t="s">
        <v>1491</v>
      </c>
      <c r="F139" s="3" t="s">
        <v>1403</v>
      </c>
      <c r="G139" s="3"/>
      <c r="H139" s="3"/>
      <c r="I139" s="3"/>
      <c r="J139" s="4" t="str">
        <f aca="false">IF(AND($A139&lt;&gt;"",$A139=Подбор!$C$4),MAX(J$1:J138)+1,"")</f>
        <v/>
      </c>
    </row>
    <row r="140" customFormat="false" ht="15" hidden="false" customHeight="false" outlineLevel="0" collapsed="false">
      <c r="A140" s="3" t="s">
        <v>170</v>
      </c>
      <c r="B140" s="3" t="s">
        <v>68</v>
      </c>
      <c r="C140" s="3" t="s">
        <v>11</v>
      </c>
      <c r="D140" s="3" t="s">
        <v>12</v>
      </c>
      <c r="E140" s="3" t="s">
        <v>1525</v>
      </c>
      <c r="F140" s="3" t="s">
        <v>1403</v>
      </c>
      <c r="G140" s="3" t="n">
        <v>3000</v>
      </c>
      <c r="H140" s="3"/>
      <c r="I140" s="3" t="s">
        <v>1415</v>
      </c>
      <c r="J140" s="4" t="str">
        <f aca="false">IF(AND($A140&lt;&gt;"",$A140=Подбор!$C$4),MAX(J$1:J139)+1,"")</f>
        <v/>
      </c>
    </row>
    <row r="141" customFormat="false" ht="15" hidden="false" customHeight="false" outlineLevel="0" collapsed="false">
      <c r="A141" s="3" t="s">
        <v>170</v>
      </c>
      <c r="B141" s="3" t="s">
        <v>68</v>
      </c>
      <c r="C141" s="3" t="s">
        <v>11</v>
      </c>
      <c r="D141" s="3" t="s">
        <v>12</v>
      </c>
      <c r="E141" s="3" t="s">
        <v>1526</v>
      </c>
      <c r="F141" s="3"/>
      <c r="G141" s="3"/>
      <c r="H141" s="3"/>
      <c r="I141" s="3"/>
      <c r="J141" s="4" t="str">
        <f aca="false">IF(AND($A141&lt;&gt;"",$A141=Подбор!$C$4),MAX(J$1:J140)+1,"")</f>
        <v/>
      </c>
    </row>
    <row r="142" customFormat="false" ht="15" hidden="false" customHeight="false" outlineLevel="0" collapsed="false">
      <c r="A142" s="3" t="s">
        <v>172</v>
      </c>
      <c r="B142" s="3" t="s">
        <v>57</v>
      </c>
      <c r="C142" s="3" t="s">
        <v>11</v>
      </c>
      <c r="D142" s="3" t="s">
        <v>12</v>
      </c>
      <c r="E142" s="3" t="s">
        <v>1527</v>
      </c>
      <c r="F142" s="3" t="s">
        <v>1403</v>
      </c>
      <c r="G142" s="3" t="n">
        <v>2500</v>
      </c>
      <c r="H142" s="3"/>
      <c r="I142" s="3" t="s">
        <v>1415</v>
      </c>
      <c r="J142" s="4" t="str">
        <f aca="false">IF(AND($A142&lt;&gt;"",$A142=Подбор!$C$4),MAX(J$1:J141)+1,"")</f>
        <v/>
      </c>
    </row>
    <row r="143" customFormat="false" ht="15" hidden="false" customHeight="false" outlineLevel="0" collapsed="false">
      <c r="A143" s="3" t="s">
        <v>172</v>
      </c>
      <c r="B143" s="3" t="s">
        <v>57</v>
      </c>
      <c r="C143" s="3" t="s">
        <v>11</v>
      </c>
      <c r="D143" s="3" t="s">
        <v>12</v>
      </c>
      <c r="E143" s="3" t="s">
        <v>1528</v>
      </c>
      <c r="F143" s="3" t="s">
        <v>1421</v>
      </c>
      <c r="G143" s="3" t="n">
        <v>2500</v>
      </c>
      <c r="H143" s="3"/>
      <c r="I143" s="3" t="s">
        <v>1415</v>
      </c>
      <c r="J143" s="4" t="str">
        <f aca="false">IF(AND($A143&lt;&gt;"",$A143=Подбор!$C$4),MAX(J$1:J142)+1,"")</f>
        <v/>
      </c>
    </row>
    <row r="144" customFormat="false" ht="15" hidden="false" customHeight="false" outlineLevel="0" collapsed="false">
      <c r="A144" s="3" t="s">
        <v>172</v>
      </c>
      <c r="B144" s="3" t="s">
        <v>57</v>
      </c>
      <c r="C144" s="3" t="s">
        <v>11</v>
      </c>
      <c r="D144" s="3" t="s">
        <v>12</v>
      </c>
      <c r="E144" s="3" t="s">
        <v>1529</v>
      </c>
      <c r="F144" s="3" t="s">
        <v>1423</v>
      </c>
      <c r="G144" s="3" t="n">
        <v>2500</v>
      </c>
      <c r="H144" s="3"/>
      <c r="I144" s="3" t="s">
        <v>1415</v>
      </c>
      <c r="J144" s="4" t="str">
        <f aca="false">IF(AND($A144&lt;&gt;"",$A144=Подбор!$C$4),MAX(J$1:J143)+1,"")</f>
        <v/>
      </c>
    </row>
    <row r="145" customFormat="false" ht="15" hidden="false" customHeight="false" outlineLevel="0" collapsed="false">
      <c r="A145" s="3" t="s">
        <v>174</v>
      </c>
      <c r="B145" s="3" t="s">
        <v>57</v>
      </c>
      <c r="C145" s="3" t="s">
        <v>11</v>
      </c>
      <c r="D145" s="3" t="s">
        <v>12</v>
      </c>
      <c r="E145" s="3" t="s">
        <v>1527</v>
      </c>
      <c r="F145" s="3" t="s">
        <v>1403</v>
      </c>
      <c r="G145" s="3" t="n">
        <v>2500</v>
      </c>
      <c r="H145" s="3"/>
      <c r="I145" s="3" t="s">
        <v>1415</v>
      </c>
      <c r="J145" s="4" t="str">
        <f aca="false">IF(AND($A145&lt;&gt;"",$A145=Подбор!$C$4),MAX(J$1:J144)+1,"")</f>
        <v/>
      </c>
    </row>
    <row r="146" customFormat="false" ht="15" hidden="false" customHeight="false" outlineLevel="0" collapsed="false">
      <c r="A146" s="3" t="s">
        <v>175</v>
      </c>
      <c r="B146" s="3" t="s">
        <v>57</v>
      </c>
      <c r="C146" s="3" t="s">
        <v>11</v>
      </c>
      <c r="D146" s="3" t="s">
        <v>12</v>
      </c>
      <c r="E146" s="3" t="s">
        <v>1452</v>
      </c>
      <c r="F146" s="3" t="s">
        <v>1403</v>
      </c>
      <c r="G146" s="3" t="n">
        <v>2000</v>
      </c>
      <c r="H146" s="3"/>
      <c r="I146" s="3" t="s">
        <v>1415</v>
      </c>
      <c r="J146" s="4" t="str">
        <f aca="false">IF(AND($A146&lt;&gt;"",$A146=Подбор!$C$4),MAX(J$1:J145)+1,"")</f>
        <v/>
      </c>
    </row>
    <row r="147" customFormat="false" ht="15" hidden="false" customHeight="false" outlineLevel="0" collapsed="false">
      <c r="A147" s="3" t="s">
        <v>176</v>
      </c>
      <c r="B147" s="3" t="s">
        <v>57</v>
      </c>
      <c r="C147" s="3" t="s">
        <v>11</v>
      </c>
      <c r="D147" s="3" t="s">
        <v>12</v>
      </c>
      <c r="E147" s="3" t="s">
        <v>1530</v>
      </c>
      <c r="F147" s="3" t="s">
        <v>1403</v>
      </c>
      <c r="G147" s="3" t="n">
        <v>2500</v>
      </c>
      <c r="H147" s="3"/>
      <c r="I147" s="3" t="s">
        <v>1415</v>
      </c>
      <c r="J147" s="4" t="str">
        <f aca="false">IF(AND($A147&lt;&gt;"",$A147=Подбор!$C$4),MAX(J$1:J146)+1,"")</f>
        <v/>
      </c>
    </row>
    <row r="148" customFormat="false" ht="15" hidden="false" customHeight="false" outlineLevel="0" collapsed="false">
      <c r="A148" s="3" t="s">
        <v>176</v>
      </c>
      <c r="B148" s="3" t="s">
        <v>57</v>
      </c>
      <c r="C148" s="3" t="s">
        <v>11</v>
      </c>
      <c r="D148" s="3" t="s">
        <v>21</v>
      </c>
      <c r="E148" s="3" t="s">
        <v>1531</v>
      </c>
      <c r="F148" s="3" t="s">
        <v>1403</v>
      </c>
      <c r="G148" s="3" t="n">
        <v>2000</v>
      </c>
      <c r="H148" s="3"/>
      <c r="I148" s="3" t="s">
        <v>1415</v>
      </c>
      <c r="J148" s="4" t="str">
        <f aca="false">IF(AND($A148&lt;&gt;"",$A148=Подбор!$C$4),MAX(J$1:J147)+1,"")</f>
        <v/>
      </c>
    </row>
    <row r="149" customFormat="false" ht="15" hidden="false" customHeight="false" outlineLevel="0" collapsed="false">
      <c r="A149" s="3" t="s">
        <v>176</v>
      </c>
      <c r="B149" s="3" t="s">
        <v>57</v>
      </c>
      <c r="C149" s="3" t="s">
        <v>11</v>
      </c>
      <c r="D149" s="3" t="s">
        <v>23</v>
      </c>
      <c r="E149" s="3" t="s">
        <v>1532</v>
      </c>
      <c r="F149" s="3" t="s">
        <v>1403</v>
      </c>
      <c r="G149" s="3" t="n">
        <v>2000</v>
      </c>
      <c r="H149" s="3"/>
      <c r="I149" s="3" t="s">
        <v>1415</v>
      </c>
      <c r="J149" s="4" t="str">
        <f aca="false">IF(AND($A149&lt;&gt;"",$A149=Подбор!$C$4),MAX(J$1:J148)+1,"")</f>
        <v/>
      </c>
    </row>
    <row r="150" customFormat="false" ht="15" hidden="false" customHeight="false" outlineLevel="0" collapsed="false">
      <c r="A150" s="3" t="s">
        <v>176</v>
      </c>
      <c r="B150" s="3" t="s">
        <v>57</v>
      </c>
      <c r="C150" s="3" t="s">
        <v>11</v>
      </c>
      <c r="D150" s="3" t="s">
        <v>25</v>
      </c>
      <c r="E150" s="3" t="s">
        <v>1533</v>
      </c>
      <c r="F150" s="3" t="s">
        <v>1403</v>
      </c>
      <c r="G150" s="3" t="n">
        <v>2000</v>
      </c>
      <c r="H150" s="3"/>
      <c r="I150" s="3" t="s">
        <v>1415</v>
      </c>
      <c r="J150" s="4" t="str">
        <f aca="false">IF(AND($A150&lt;&gt;"",$A150=Подбор!$C$4),MAX(J$1:J149)+1,"")</f>
        <v/>
      </c>
    </row>
    <row r="151" customFormat="false" ht="15" hidden="false" customHeight="false" outlineLevel="0" collapsed="false">
      <c r="A151" s="3" t="s">
        <v>181</v>
      </c>
      <c r="B151" s="3" t="s">
        <v>57</v>
      </c>
      <c r="C151" s="3" t="s">
        <v>11</v>
      </c>
      <c r="D151" s="3" t="s">
        <v>12</v>
      </c>
      <c r="E151" s="3" t="s">
        <v>1534</v>
      </c>
      <c r="F151" s="3" t="s">
        <v>1403</v>
      </c>
      <c r="G151" s="3" t="n">
        <v>2000</v>
      </c>
      <c r="H151" s="3"/>
      <c r="I151" s="3" t="s">
        <v>1415</v>
      </c>
      <c r="J151" s="4" t="str">
        <f aca="false">IF(AND($A151&lt;&gt;"",$A151=Подбор!$C$4),MAX(J$1:J150)+1,"")</f>
        <v/>
      </c>
    </row>
    <row r="152" customFormat="false" ht="15" hidden="false" customHeight="false" outlineLevel="0" collapsed="false">
      <c r="A152" s="3" t="s">
        <v>181</v>
      </c>
      <c r="B152" s="3" t="s">
        <v>57</v>
      </c>
      <c r="C152" s="3" t="s">
        <v>11</v>
      </c>
      <c r="D152" s="3" t="s">
        <v>12</v>
      </c>
      <c r="E152" s="3" t="s">
        <v>1535</v>
      </c>
      <c r="F152" s="3" t="s">
        <v>1421</v>
      </c>
      <c r="G152" s="3" t="n">
        <v>2000</v>
      </c>
      <c r="H152" s="3"/>
      <c r="I152" s="3" t="s">
        <v>1415</v>
      </c>
      <c r="J152" s="4" t="str">
        <f aca="false">IF(AND($A152&lt;&gt;"",$A152=Подбор!$C$4),MAX(J$1:J151)+1,"")</f>
        <v/>
      </c>
    </row>
    <row r="153" customFormat="false" ht="15" hidden="false" customHeight="false" outlineLevel="0" collapsed="false">
      <c r="A153" s="3" t="s">
        <v>183</v>
      </c>
      <c r="B153" s="3" t="s">
        <v>57</v>
      </c>
      <c r="C153" s="3" t="s">
        <v>11</v>
      </c>
      <c r="D153" s="3" t="s">
        <v>12</v>
      </c>
      <c r="E153" s="3" t="s">
        <v>1536</v>
      </c>
      <c r="F153" s="3" t="s">
        <v>1403</v>
      </c>
      <c r="G153" s="3" t="n">
        <v>13500</v>
      </c>
      <c r="H153" s="3"/>
      <c r="I153" s="3" t="s">
        <v>1415</v>
      </c>
      <c r="J153" s="4" t="str">
        <f aca="false">IF(AND($A153&lt;&gt;"",$A153=Подбор!$C$4),MAX(J$1:J152)+1,"")</f>
        <v/>
      </c>
    </row>
    <row r="154" customFormat="false" ht="15" hidden="false" customHeight="false" outlineLevel="0" collapsed="false">
      <c r="A154" s="3" t="s">
        <v>183</v>
      </c>
      <c r="B154" s="3" t="s">
        <v>57</v>
      </c>
      <c r="C154" s="3" t="s">
        <v>11</v>
      </c>
      <c r="D154" s="3" t="s">
        <v>12</v>
      </c>
      <c r="E154" s="3" t="s">
        <v>1537</v>
      </c>
      <c r="F154" s="3" t="s">
        <v>1417</v>
      </c>
      <c r="G154" s="3" t="n">
        <v>13500</v>
      </c>
      <c r="H154" s="3"/>
      <c r="I154" s="3" t="s">
        <v>1415</v>
      </c>
      <c r="J154" s="4" t="str">
        <f aca="false">IF(AND($A154&lt;&gt;"",$A154=Подбор!$C$4),MAX(J$1:J153)+1,"")</f>
        <v/>
      </c>
    </row>
    <row r="155" customFormat="false" ht="15" hidden="false" customHeight="false" outlineLevel="0" collapsed="false">
      <c r="A155" s="3" t="s">
        <v>183</v>
      </c>
      <c r="B155" s="3" t="s">
        <v>57</v>
      </c>
      <c r="C155" s="3" t="s">
        <v>11</v>
      </c>
      <c r="D155" s="3" t="s">
        <v>21</v>
      </c>
      <c r="E155" s="3" t="s">
        <v>1538</v>
      </c>
      <c r="F155" s="3" t="s">
        <v>1403</v>
      </c>
      <c r="G155" s="3" t="n">
        <v>16000</v>
      </c>
      <c r="H155" s="3"/>
      <c r="I155" s="3" t="s">
        <v>1415</v>
      </c>
      <c r="J155" s="4" t="str">
        <f aca="false">IF(AND($A155&lt;&gt;"",$A155=Подбор!$C$4),MAX(J$1:J154)+1,"")</f>
        <v/>
      </c>
    </row>
    <row r="156" customFormat="false" ht="15" hidden="false" customHeight="false" outlineLevel="0" collapsed="false">
      <c r="A156" s="3" t="s">
        <v>183</v>
      </c>
      <c r="B156" s="3" t="s">
        <v>57</v>
      </c>
      <c r="C156" s="3" t="s">
        <v>11</v>
      </c>
      <c r="D156" s="3" t="s">
        <v>23</v>
      </c>
      <c r="E156" s="3" t="s">
        <v>1539</v>
      </c>
      <c r="F156" s="3" t="s">
        <v>1403</v>
      </c>
      <c r="G156" s="3" t="n">
        <v>16000</v>
      </c>
      <c r="H156" s="3"/>
      <c r="I156" s="3" t="s">
        <v>1415</v>
      </c>
      <c r="J156" s="4" t="str">
        <f aca="false">IF(AND($A156&lt;&gt;"",$A156=Подбор!$C$4),MAX(J$1:J155)+1,"")</f>
        <v/>
      </c>
    </row>
    <row r="157" customFormat="false" ht="15" hidden="false" customHeight="false" outlineLevel="0" collapsed="false">
      <c r="A157" s="3" t="s">
        <v>183</v>
      </c>
      <c r="B157" s="3" t="s">
        <v>57</v>
      </c>
      <c r="C157" s="3" t="s">
        <v>11</v>
      </c>
      <c r="D157" s="3" t="s">
        <v>25</v>
      </c>
      <c r="E157" s="3" t="s">
        <v>1540</v>
      </c>
      <c r="F157" s="3" t="s">
        <v>1403</v>
      </c>
      <c r="G157" s="3" t="n">
        <v>16000</v>
      </c>
      <c r="H157" s="3"/>
      <c r="I157" s="3" t="s">
        <v>1415</v>
      </c>
      <c r="J157" s="4" t="str">
        <f aca="false">IF(AND($A157&lt;&gt;"",$A157=Подбор!$C$4),MAX(J$1:J156)+1,"")</f>
        <v/>
      </c>
    </row>
    <row r="158" customFormat="false" ht="15" hidden="false" customHeight="false" outlineLevel="0" collapsed="false">
      <c r="A158" s="3" t="s">
        <v>183</v>
      </c>
      <c r="B158" s="3" t="s">
        <v>57</v>
      </c>
      <c r="C158" s="3" t="s">
        <v>17</v>
      </c>
      <c r="D158" s="3" t="s">
        <v>15</v>
      </c>
      <c r="E158" s="3" t="s">
        <v>1541</v>
      </c>
      <c r="F158" s="3" t="s">
        <v>1403</v>
      </c>
      <c r="G158" s="3"/>
      <c r="H158" s="3"/>
      <c r="I158" s="3"/>
      <c r="J158" s="4" t="str">
        <f aca="false">IF(AND($A158&lt;&gt;"",$A158=Подбор!$C$4),MAX(J$1:J157)+1,"")</f>
        <v/>
      </c>
    </row>
    <row r="159" customFormat="false" ht="15" hidden="false" customHeight="false" outlineLevel="0" collapsed="false">
      <c r="A159" s="3" t="s">
        <v>189</v>
      </c>
      <c r="B159" s="3" t="s">
        <v>10</v>
      </c>
      <c r="C159" s="3" t="s">
        <v>11</v>
      </c>
      <c r="D159" s="3" t="s">
        <v>12</v>
      </c>
      <c r="E159" s="3" t="s">
        <v>1542</v>
      </c>
      <c r="F159" s="3" t="s">
        <v>1403</v>
      </c>
      <c r="G159" s="3"/>
      <c r="H159" s="3"/>
      <c r="I159" s="3"/>
      <c r="J159" s="4" t="str">
        <f aca="false">IF(AND($A159&lt;&gt;"",$A159=Подбор!$C$4),MAX(J$1:J158)+1,"")</f>
        <v/>
      </c>
    </row>
    <row r="160" customFormat="false" ht="15" hidden="false" customHeight="false" outlineLevel="0" collapsed="false">
      <c r="A160" s="3" t="s">
        <v>191</v>
      </c>
      <c r="B160" s="3" t="s">
        <v>110</v>
      </c>
      <c r="C160" s="3" t="s">
        <v>11</v>
      </c>
      <c r="D160" s="3" t="s">
        <v>12</v>
      </c>
      <c r="E160" s="3" t="s">
        <v>1543</v>
      </c>
      <c r="F160" s="3" t="s">
        <v>1403</v>
      </c>
      <c r="G160" s="3"/>
      <c r="H160" s="3"/>
      <c r="I160" s="3"/>
      <c r="J160" s="4" t="str">
        <f aca="false">IF(AND($A160&lt;&gt;"",$A160=Подбор!$C$4),MAX(J$1:J159)+1,"")</f>
        <v/>
      </c>
    </row>
    <row r="161" customFormat="false" ht="15" hidden="false" customHeight="false" outlineLevel="0" collapsed="false">
      <c r="A161" s="3" t="s">
        <v>191</v>
      </c>
      <c r="B161" s="3" t="s">
        <v>110</v>
      </c>
      <c r="C161" s="3" t="s">
        <v>11</v>
      </c>
      <c r="D161" s="3" t="s">
        <v>12</v>
      </c>
      <c r="E161" s="3" t="s">
        <v>1544</v>
      </c>
      <c r="F161" s="3" t="s">
        <v>1421</v>
      </c>
      <c r="G161" s="3" t="n">
        <v>1000</v>
      </c>
      <c r="H161" s="3"/>
      <c r="I161" s="3" t="s">
        <v>1415</v>
      </c>
      <c r="J161" s="4" t="str">
        <f aca="false">IF(AND($A161&lt;&gt;"",$A161=Подбор!$C$4),MAX(J$1:J160)+1,"")</f>
        <v/>
      </c>
    </row>
    <row r="162" customFormat="false" ht="15" hidden="false" customHeight="false" outlineLevel="0" collapsed="false">
      <c r="A162" s="3" t="s">
        <v>191</v>
      </c>
      <c r="B162" s="3" t="s">
        <v>110</v>
      </c>
      <c r="C162" s="3" t="s">
        <v>11</v>
      </c>
      <c r="D162" s="3" t="s">
        <v>12</v>
      </c>
      <c r="E162" s="3" t="s">
        <v>1545</v>
      </c>
      <c r="F162" s="3" t="s">
        <v>1423</v>
      </c>
      <c r="G162" s="3" t="n">
        <v>1000</v>
      </c>
      <c r="H162" s="3"/>
      <c r="I162" s="3" t="s">
        <v>1415</v>
      </c>
      <c r="J162" s="4" t="str">
        <f aca="false">IF(AND($A162&lt;&gt;"",$A162=Подбор!$C$4),MAX(J$1:J161)+1,"")</f>
        <v/>
      </c>
    </row>
    <row r="163" customFormat="false" ht="15" hidden="false" customHeight="false" outlineLevel="0" collapsed="false">
      <c r="A163" s="3" t="s">
        <v>193</v>
      </c>
      <c r="B163" s="3" t="s">
        <v>68</v>
      </c>
      <c r="C163" s="3" t="s">
        <v>11</v>
      </c>
      <c r="D163" s="3" t="s">
        <v>12</v>
      </c>
      <c r="E163" s="3" t="s">
        <v>1546</v>
      </c>
      <c r="F163" s="3" t="s">
        <v>1403</v>
      </c>
      <c r="G163" s="3" t="n">
        <v>15000</v>
      </c>
      <c r="H163" s="3"/>
      <c r="I163" s="3" t="s">
        <v>1415</v>
      </c>
      <c r="J163" s="4" t="str">
        <f aca="false">IF(AND($A163&lt;&gt;"",$A163=Подбор!$C$4),MAX(J$1:J162)+1,"")</f>
        <v/>
      </c>
    </row>
    <row r="164" customFormat="false" ht="15" hidden="false" customHeight="false" outlineLevel="0" collapsed="false">
      <c r="A164" s="3" t="s">
        <v>193</v>
      </c>
      <c r="B164" s="3" t="s">
        <v>68</v>
      </c>
      <c r="C164" s="3" t="s">
        <v>14</v>
      </c>
      <c r="D164" s="3" t="s">
        <v>15</v>
      </c>
      <c r="E164" s="3"/>
      <c r="F164" s="3"/>
      <c r="G164" s="3"/>
      <c r="H164" s="3"/>
      <c r="I164" s="3" t="s">
        <v>1440</v>
      </c>
      <c r="J164" s="4" t="str">
        <f aca="false">IF(AND($A164&lt;&gt;"",$A164=Подбор!$C$4),MAX(J$1:J163)+1,"")</f>
        <v/>
      </c>
    </row>
    <row r="165" customFormat="false" ht="15" hidden="false" customHeight="false" outlineLevel="0" collapsed="false">
      <c r="A165" s="3" t="s">
        <v>193</v>
      </c>
      <c r="B165" s="3" t="s">
        <v>68</v>
      </c>
      <c r="C165" s="3" t="s">
        <v>28</v>
      </c>
      <c r="D165" s="3" t="s">
        <v>15</v>
      </c>
      <c r="E165" s="3"/>
      <c r="F165" s="3"/>
      <c r="G165" s="3"/>
      <c r="H165" s="3"/>
      <c r="I165" s="3" t="s">
        <v>1440</v>
      </c>
      <c r="J165" s="4" t="str">
        <f aca="false">IF(AND($A165&lt;&gt;"",$A165=Подбор!$C$4),MAX(J$1:J164)+1,"")</f>
        <v/>
      </c>
    </row>
    <row r="166" customFormat="false" ht="15" hidden="false" customHeight="false" outlineLevel="0" collapsed="false">
      <c r="A166" s="3" t="s">
        <v>193</v>
      </c>
      <c r="B166" s="3" t="s">
        <v>68</v>
      </c>
      <c r="C166" s="3" t="s">
        <v>17</v>
      </c>
      <c r="D166" s="3" t="s">
        <v>15</v>
      </c>
      <c r="E166" s="3"/>
      <c r="F166" s="3"/>
      <c r="G166" s="3"/>
      <c r="H166" s="3"/>
      <c r="I166" s="3" t="s">
        <v>1440</v>
      </c>
      <c r="J166" s="4" t="str">
        <f aca="false">IF(AND($A166&lt;&gt;"",$A166=Подбор!$C$4),MAX(J$1:J165)+1,"")</f>
        <v/>
      </c>
    </row>
    <row r="167" customFormat="false" ht="15" hidden="false" customHeight="false" outlineLevel="0" collapsed="false">
      <c r="A167" s="3" t="s">
        <v>198</v>
      </c>
      <c r="B167" s="3" t="s">
        <v>68</v>
      </c>
      <c r="C167" s="3" t="s">
        <v>11</v>
      </c>
      <c r="D167" s="3" t="s">
        <v>12</v>
      </c>
      <c r="E167" s="3" t="s">
        <v>1547</v>
      </c>
      <c r="F167" s="3" t="s">
        <v>1403</v>
      </c>
      <c r="G167" s="3"/>
      <c r="H167" s="3"/>
      <c r="I167" s="3"/>
      <c r="J167" s="4" t="str">
        <f aca="false">IF(AND($A167&lt;&gt;"",$A167=Подбор!$C$4),MAX(J$1:J166)+1,"")</f>
        <v/>
      </c>
    </row>
    <row r="168" customFormat="false" ht="15" hidden="false" customHeight="false" outlineLevel="0" collapsed="false">
      <c r="A168" s="3" t="s">
        <v>198</v>
      </c>
      <c r="B168" s="3" t="s">
        <v>68</v>
      </c>
      <c r="C168" s="3" t="s">
        <v>11</v>
      </c>
      <c r="D168" s="3" t="s">
        <v>21</v>
      </c>
      <c r="E168" s="3" t="s">
        <v>1548</v>
      </c>
      <c r="F168" s="3" t="s">
        <v>1403</v>
      </c>
      <c r="G168" s="3" t="n">
        <v>6000</v>
      </c>
      <c r="H168" s="3"/>
      <c r="I168" s="3" t="s">
        <v>1415</v>
      </c>
      <c r="J168" s="4" t="str">
        <f aca="false">IF(AND($A168&lt;&gt;"",$A168=Подбор!$C$4),MAX(J$1:J167)+1,"")</f>
        <v/>
      </c>
    </row>
    <row r="169" customFormat="false" ht="15" hidden="false" customHeight="false" outlineLevel="0" collapsed="false">
      <c r="A169" s="3" t="s">
        <v>198</v>
      </c>
      <c r="B169" s="3" t="s">
        <v>68</v>
      </c>
      <c r="C169" s="3" t="s">
        <v>11</v>
      </c>
      <c r="D169" s="3" t="s">
        <v>23</v>
      </c>
      <c r="E169" s="3" t="s">
        <v>1549</v>
      </c>
      <c r="F169" s="3" t="s">
        <v>1403</v>
      </c>
      <c r="G169" s="3" t="n">
        <v>6000</v>
      </c>
      <c r="H169" s="3"/>
      <c r="I169" s="3" t="s">
        <v>1415</v>
      </c>
      <c r="J169" s="4" t="str">
        <f aca="false">IF(AND($A169&lt;&gt;"",$A169=Подбор!$C$4),MAX(J$1:J168)+1,"")</f>
        <v/>
      </c>
    </row>
    <row r="170" customFormat="false" ht="15" hidden="false" customHeight="false" outlineLevel="0" collapsed="false">
      <c r="A170" s="3" t="s">
        <v>198</v>
      </c>
      <c r="B170" s="3" t="s">
        <v>68</v>
      </c>
      <c r="C170" s="3" t="s">
        <v>11</v>
      </c>
      <c r="D170" s="3" t="s">
        <v>25</v>
      </c>
      <c r="E170" s="3" t="s">
        <v>1550</v>
      </c>
      <c r="F170" s="3" t="s">
        <v>1403</v>
      </c>
      <c r="G170" s="3" t="n">
        <v>6000</v>
      </c>
      <c r="H170" s="3"/>
      <c r="I170" s="3" t="s">
        <v>1415</v>
      </c>
      <c r="J170" s="4" t="str">
        <f aca="false">IF(AND($A170&lt;&gt;"",$A170=Подбор!$C$4),MAX(J$1:J169)+1,"")</f>
        <v/>
      </c>
    </row>
    <row r="171" customFormat="false" ht="15" hidden="false" customHeight="false" outlineLevel="0" collapsed="false">
      <c r="A171" s="3" t="s">
        <v>203</v>
      </c>
      <c r="B171" s="3" t="s">
        <v>110</v>
      </c>
      <c r="C171" s="3" t="s">
        <v>11</v>
      </c>
      <c r="D171" s="3" t="s">
        <v>12</v>
      </c>
      <c r="E171" s="3" t="s">
        <v>1551</v>
      </c>
      <c r="F171" s="3" t="s">
        <v>1403</v>
      </c>
      <c r="G171" s="3"/>
      <c r="H171" s="3"/>
      <c r="I171" s="3"/>
      <c r="J171" s="4" t="str">
        <f aca="false">IF(AND($A171&lt;&gt;"",$A171=Подбор!$C$4),MAX(J$1:J170)+1,"")</f>
        <v/>
      </c>
    </row>
    <row r="172" customFormat="false" ht="15" hidden="false" customHeight="false" outlineLevel="0" collapsed="false">
      <c r="A172" s="3" t="s">
        <v>203</v>
      </c>
      <c r="B172" s="3" t="s">
        <v>110</v>
      </c>
      <c r="C172" s="3" t="s">
        <v>11</v>
      </c>
      <c r="D172" s="3" t="s">
        <v>12</v>
      </c>
      <c r="E172" s="3" t="s">
        <v>1552</v>
      </c>
      <c r="F172" s="3" t="s">
        <v>1421</v>
      </c>
      <c r="G172" s="3" t="n">
        <v>10000</v>
      </c>
      <c r="H172" s="3"/>
      <c r="I172" s="3" t="s">
        <v>1415</v>
      </c>
      <c r="J172" s="4" t="str">
        <f aca="false">IF(AND($A172&lt;&gt;"",$A172=Подбор!$C$4),MAX(J$1:J171)+1,"")</f>
        <v/>
      </c>
    </row>
    <row r="173" customFormat="false" ht="15" hidden="false" customHeight="false" outlineLevel="0" collapsed="false">
      <c r="A173" s="3" t="s">
        <v>203</v>
      </c>
      <c r="B173" s="3" t="s">
        <v>110</v>
      </c>
      <c r="C173" s="3" t="s">
        <v>11</v>
      </c>
      <c r="D173" s="3" t="s">
        <v>12</v>
      </c>
      <c r="E173" s="3" t="s">
        <v>1553</v>
      </c>
      <c r="F173" s="3" t="s">
        <v>1423</v>
      </c>
      <c r="G173" s="3"/>
      <c r="H173" s="3"/>
      <c r="I173" s="3"/>
      <c r="J173" s="4" t="str">
        <f aca="false">IF(AND($A173&lt;&gt;"",$A173=Подбор!$C$4),MAX(J$1:J172)+1,"")</f>
        <v/>
      </c>
    </row>
    <row r="174" customFormat="false" ht="15" hidden="false" customHeight="false" outlineLevel="0" collapsed="false">
      <c r="A174" s="3" t="s">
        <v>203</v>
      </c>
      <c r="B174" s="3" t="s">
        <v>110</v>
      </c>
      <c r="C174" s="3" t="s">
        <v>17</v>
      </c>
      <c r="D174" s="3" t="s">
        <v>15</v>
      </c>
      <c r="E174" s="3" t="s">
        <v>1482</v>
      </c>
      <c r="F174" s="3" t="s">
        <v>1472</v>
      </c>
      <c r="G174" s="3"/>
      <c r="H174" s="3"/>
      <c r="I174" s="3"/>
      <c r="J174" s="4" t="str">
        <f aca="false">IF(AND($A174&lt;&gt;"",$A174=Подбор!$C$4),MAX(J$1:J173)+1,"")</f>
        <v/>
      </c>
    </row>
    <row r="175" customFormat="false" ht="15" hidden="false" customHeight="false" outlineLevel="0" collapsed="false">
      <c r="A175" s="3" t="s">
        <v>206</v>
      </c>
      <c r="B175" s="3" t="s">
        <v>57</v>
      </c>
      <c r="C175" s="3" t="s">
        <v>11</v>
      </c>
      <c r="D175" s="3" t="s">
        <v>12</v>
      </c>
      <c r="E175" s="3" t="s">
        <v>1554</v>
      </c>
      <c r="F175" s="3" t="s">
        <v>1403</v>
      </c>
      <c r="G175" s="3" t="n">
        <v>2700</v>
      </c>
      <c r="H175" s="3"/>
      <c r="I175" s="3" t="s">
        <v>1415</v>
      </c>
      <c r="J175" s="4" t="str">
        <f aca="false">IF(AND($A175&lt;&gt;"",$A175=Подбор!$C$4),MAX(J$1:J174)+1,"")</f>
        <v/>
      </c>
    </row>
    <row r="176" customFormat="false" ht="15" hidden="false" customHeight="false" outlineLevel="0" collapsed="false">
      <c r="A176" s="3" t="s">
        <v>206</v>
      </c>
      <c r="B176" s="3" t="s">
        <v>57</v>
      </c>
      <c r="C176" s="3" t="s">
        <v>11</v>
      </c>
      <c r="D176" s="3" t="s">
        <v>12</v>
      </c>
      <c r="E176" s="3" t="s">
        <v>1555</v>
      </c>
      <c r="F176" s="3" t="s">
        <v>1403</v>
      </c>
      <c r="G176" s="3"/>
      <c r="H176" s="3"/>
      <c r="I176" s="3"/>
      <c r="J176" s="4" t="str">
        <f aca="false">IF(AND($A176&lt;&gt;"",$A176=Подбор!$C$4),MAX(J$1:J175)+1,"")</f>
        <v/>
      </c>
    </row>
    <row r="177" customFormat="false" ht="15" hidden="false" customHeight="false" outlineLevel="0" collapsed="false">
      <c r="A177" s="3" t="s">
        <v>206</v>
      </c>
      <c r="B177" s="3" t="s">
        <v>57</v>
      </c>
      <c r="C177" s="3" t="s">
        <v>11</v>
      </c>
      <c r="D177" s="3" t="s">
        <v>12</v>
      </c>
      <c r="E177" s="3" t="s">
        <v>1556</v>
      </c>
      <c r="F177" s="3" t="s">
        <v>1421</v>
      </c>
      <c r="G177" s="3"/>
      <c r="H177" s="3"/>
      <c r="I177" s="3"/>
      <c r="J177" s="4" t="str">
        <f aca="false">IF(AND($A177&lt;&gt;"",$A177=Подбор!$C$4),MAX(J$1:J176)+1,"")</f>
        <v/>
      </c>
    </row>
    <row r="178" customFormat="false" ht="15" hidden="false" customHeight="false" outlineLevel="0" collapsed="false">
      <c r="A178" s="3" t="s">
        <v>206</v>
      </c>
      <c r="B178" s="3" t="s">
        <v>57</v>
      </c>
      <c r="C178" s="3" t="s">
        <v>11</v>
      </c>
      <c r="D178" s="3" t="s">
        <v>12</v>
      </c>
      <c r="E178" s="3" t="s">
        <v>1557</v>
      </c>
      <c r="F178" s="3" t="s">
        <v>1417</v>
      </c>
      <c r="G178" s="3"/>
      <c r="H178" s="3"/>
      <c r="I178" s="3"/>
      <c r="J178" s="4" t="str">
        <f aca="false">IF(AND($A178&lt;&gt;"",$A178=Подбор!$C$4),MAX(J$1:J177)+1,"")</f>
        <v/>
      </c>
    </row>
    <row r="179" customFormat="false" ht="15" hidden="false" customHeight="false" outlineLevel="0" collapsed="false">
      <c r="A179" s="3" t="s">
        <v>206</v>
      </c>
      <c r="B179" s="3" t="s">
        <v>57</v>
      </c>
      <c r="C179" s="3" t="s">
        <v>17</v>
      </c>
      <c r="D179" s="3" t="s">
        <v>15</v>
      </c>
      <c r="E179" s="3" t="s">
        <v>1558</v>
      </c>
      <c r="F179" s="3" t="s">
        <v>1403</v>
      </c>
      <c r="G179" s="3"/>
      <c r="H179" s="3"/>
      <c r="I179" s="3"/>
      <c r="J179" s="4" t="str">
        <f aca="false">IF(AND($A179&lt;&gt;"",$A179=Подбор!$C$4),MAX(J$1:J178)+1,"")</f>
        <v/>
      </c>
    </row>
    <row r="180" customFormat="false" ht="15" hidden="false" customHeight="false" outlineLevel="0" collapsed="false">
      <c r="A180" s="3" t="s">
        <v>209</v>
      </c>
      <c r="B180" s="3" t="s">
        <v>57</v>
      </c>
      <c r="C180" s="3" t="s">
        <v>11</v>
      </c>
      <c r="D180" s="3" t="s">
        <v>12</v>
      </c>
      <c r="E180" s="3" t="s">
        <v>1559</v>
      </c>
      <c r="F180" s="3" t="s">
        <v>1403</v>
      </c>
      <c r="G180" s="3" t="n">
        <v>2500</v>
      </c>
      <c r="H180" s="3"/>
      <c r="I180" s="3" t="s">
        <v>1415</v>
      </c>
      <c r="J180" s="4" t="str">
        <f aca="false">IF(AND($A180&lt;&gt;"",$A180=Подбор!$C$4),MAX(J$1:J179)+1,"")</f>
        <v/>
      </c>
    </row>
    <row r="181" customFormat="false" ht="15" hidden="false" customHeight="false" outlineLevel="0" collapsed="false">
      <c r="A181" s="3" t="s">
        <v>211</v>
      </c>
      <c r="B181" s="3" t="s">
        <v>68</v>
      </c>
      <c r="C181" s="3" t="s">
        <v>11</v>
      </c>
      <c r="D181" s="3" t="s">
        <v>12</v>
      </c>
      <c r="E181" s="3" t="s">
        <v>1560</v>
      </c>
      <c r="F181" s="3" t="s">
        <v>1403</v>
      </c>
      <c r="G181" s="3" t="n">
        <v>3000</v>
      </c>
      <c r="H181" s="3"/>
      <c r="I181" s="3" t="s">
        <v>1415</v>
      </c>
      <c r="J181" s="4" t="str">
        <f aca="false">IF(AND($A181&lt;&gt;"",$A181=Подбор!$C$4),MAX(J$1:J180)+1,"")</f>
        <v/>
      </c>
    </row>
    <row r="182" customFormat="false" ht="15" hidden="false" customHeight="false" outlineLevel="0" collapsed="false">
      <c r="A182" s="3" t="s">
        <v>211</v>
      </c>
      <c r="B182" s="3" t="s">
        <v>68</v>
      </c>
      <c r="C182" s="3" t="s">
        <v>11</v>
      </c>
      <c r="D182" s="3" t="s">
        <v>12</v>
      </c>
      <c r="E182" s="3" t="s">
        <v>1561</v>
      </c>
      <c r="F182" s="3" t="s">
        <v>1417</v>
      </c>
      <c r="G182" s="3" t="n">
        <v>3000</v>
      </c>
      <c r="H182" s="3"/>
      <c r="I182" s="3" t="s">
        <v>1415</v>
      </c>
      <c r="J182" s="4" t="str">
        <f aca="false">IF(AND($A182&lt;&gt;"",$A182=Подбор!$C$4),MAX(J$1:J181)+1,"")</f>
        <v/>
      </c>
    </row>
    <row r="183" customFormat="false" ht="15" hidden="false" customHeight="false" outlineLevel="0" collapsed="false">
      <c r="A183" s="3" t="s">
        <v>211</v>
      </c>
      <c r="B183" s="3" t="s">
        <v>68</v>
      </c>
      <c r="C183" s="3" t="s">
        <v>11</v>
      </c>
      <c r="D183" s="3" t="s">
        <v>12</v>
      </c>
      <c r="E183" s="3" t="s">
        <v>1562</v>
      </c>
      <c r="F183" s="3" t="s">
        <v>1421</v>
      </c>
      <c r="G183" s="3" t="n">
        <v>3000</v>
      </c>
      <c r="H183" s="3"/>
      <c r="I183" s="3" t="s">
        <v>1415</v>
      </c>
      <c r="J183" s="4" t="str">
        <f aca="false">IF(AND($A183&lt;&gt;"",$A183=Подбор!$C$4),MAX(J$1:J182)+1,"")</f>
        <v/>
      </c>
    </row>
    <row r="184" customFormat="false" ht="15" hidden="false" customHeight="false" outlineLevel="0" collapsed="false">
      <c r="A184" s="3" t="s">
        <v>213</v>
      </c>
      <c r="B184" s="3" t="s">
        <v>68</v>
      </c>
      <c r="C184" s="3" t="s">
        <v>11</v>
      </c>
      <c r="D184" s="3" t="s">
        <v>12</v>
      </c>
      <c r="E184" s="3" t="s">
        <v>1563</v>
      </c>
      <c r="F184" s="3" t="s">
        <v>1403</v>
      </c>
      <c r="G184" s="3"/>
      <c r="H184" s="3"/>
      <c r="I184" s="3"/>
      <c r="J184" s="4" t="str">
        <f aca="false">IF(AND($A184&lt;&gt;"",$A184=Подбор!$C$4),MAX(J$1:J183)+1,"")</f>
        <v/>
      </c>
    </row>
    <row r="185" customFormat="false" ht="15" hidden="false" customHeight="false" outlineLevel="0" collapsed="false">
      <c r="A185" s="3" t="s">
        <v>213</v>
      </c>
      <c r="B185" s="3" t="s">
        <v>68</v>
      </c>
      <c r="C185" s="3" t="s">
        <v>11</v>
      </c>
      <c r="D185" s="3" t="s">
        <v>21</v>
      </c>
      <c r="E185" s="3" t="s">
        <v>1564</v>
      </c>
      <c r="F185" s="3" t="s">
        <v>1403</v>
      </c>
      <c r="G185" s="3" t="n">
        <v>5000</v>
      </c>
      <c r="H185" s="3"/>
      <c r="I185" s="3" t="s">
        <v>1415</v>
      </c>
      <c r="J185" s="4" t="str">
        <f aca="false">IF(AND($A185&lt;&gt;"",$A185=Подбор!$C$4),MAX(J$1:J184)+1,"")</f>
        <v/>
      </c>
    </row>
    <row r="186" customFormat="false" ht="15" hidden="false" customHeight="false" outlineLevel="0" collapsed="false">
      <c r="A186" s="3" t="s">
        <v>213</v>
      </c>
      <c r="B186" s="3" t="s">
        <v>68</v>
      </c>
      <c r="C186" s="3" t="s">
        <v>11</v>
      </c>
      <c r="D186" s="3" t="s">
        <v>23</v>
      </c>
      <c r="E186" s="3" t="s">
        <v>1565</v>
      </c>
      <c r="F186" s="3" t="s">
        <v>1403</v>
      </c>
      <c r="G186" s="3" t="n">
        <v>5000</v>
      </c>
      <c r="H186" s="3"/>
      <c r="I186" s="3" t="s">
        <v>1415</v>
      </c>
      <c r="J186" s="4" t="str">
        <f aca="false">IF(AND($A186&lt;&gt;"",$A186=Подбор!$C$4),MAX(J$1:J185)+1,"")</f>
        <v/>
      </c>
    </row>
    <row r="187" customFormat="false" ht="15" hidden="false" customHeight="false" outlineLevel="0" collapsed="false">
      <c r="A187" s="3" t="s">
        <v>213</v>
      </c>
      <c r="B187" s="3" t="s">
        <v>68</v>
      </c>
      <c r="C187" s="3" t="s">
        <v>11</v>
      </c>
      <c r="D187" s="3" t="s">
        <v>25</v>
      </c>
      <c r="E187" s="3" t="s">
        <v>1566</v>
      </c>
      <c r="F187" s="3" t="s">
        <v>1403</v>
      </c>
      <c r="G187" s="3" t="n">
        <v>5000</v>
      </c>
      <c r="H187" s="3"/>
      <c r="I187" s="3" t="s">
        <v>1415</v>
      </c>
      <c r="J187" s="4" t="str">
        <f aca="false">IF(AND($A187&lt;&gt;"",$A187=Подбор!$C$4),MAX(J$1:J186)+1,"")</f>
        <v/>
      </c>
    </row>
    <row r="188" customFormat="false" ht="15" hidden="false" customHeight="false" outlineLevel="0" collapsed="false">
      <c r="A188" s="3" t="s">
        <v>218</v>
      </c>
      <c r="B188" s="3" t="s">
        <v>57</v>
      </c>
      <c r="C188" s="3" t="s">
        <v>11</v>
      </c>
      <c r="D188" s="3" t="s">
        <v>12</v>
      </c>
      <c r="E188" s="3" t="s">
        <v>1567</v>
      </c>
      <c r="F188" s="3" t="s">
        <v>1403</v>
      </c>
      <c r="G188" s="3" t="n">
        <v>25000</v>
      </c>
      <c r="H188" s="3"/>
      <c r="I188" s="3" t="s">
        <v>1415</v>
      </c>
      <c r="J188" s="4" t="str">
        <f aca="false">IF(AND($A188&lt;&gt;"",$A188=Подбор!$C$4),MAX(J$1:J187)+1,"")</f>
        <v/>
      </c>
    </row>
    <row r="189" customFormat="false" ht="15" hidden="false" customHeight="false" outlineLevel="0" collapsed="false">
      <c r="A189" s="3" t="s">
        <v>220</v>
      </c>
      <c r="B189" s="3" t="s">
        <v>57</v>
      </c>
      <c r="C189" s="3" t="s">
        <v>11</v>
      </c>
      <c r="D189" s="3" t="s">
        <v>12</v>
      </c>
      <c r="E189" s="3" t="s">
        <v>1568</v>
      </c>
      <c r="F189" s="3" t="s">
        <v>1403</v>
      </c>
      <c r="G189" s="3" t="n">
        <v>17500</v>
      </c>
      <c r="H189" s="3"/>
      <c r="I189" s="3" t="s">
        <v>1415</v>
      </c>
      <c r="J189" s="4" t="str">
        <f aca="false">IF(AND($A189&lt;&gt;"",$A189=Подбор!$C$4),MAX(J$1:J188)+1,"")</f>
        <v/>
      </c>
    </row>
    <row r="190" customFormat="false" ht="15" hidden="false" customHeight="false" outlineLevel="0" collapsed="false">
      <c r="A190" s="3" t="s">
        <v>220</v>
      </c>
      <c r="B190" s="3" t="s">
        <v>57</v>
      </c>
      <c r="C190" s="3" t="s">
        <v>11</v>
      </c>
      <c r="D190" s="3" t="s">
        <v>12</v>
      </c>
      <c r="E190" s="3" t="s">
        <v>1569</v>
      </c>
      <c r="F190" s="3" t="s">
        <v>1421</v>
      </c>
      <c r="G190" s="3" t="n">
        <v>17500</v>
      </c>
      <c r="H190" s="3"/>
      <c r="I190" s="3" t="s">
        <v>1415</v>
      </c>
      <c r="J190" s="4" t="str">
        <f aca="false">IF(AND($A190&lt;&gt;"",$A190=Подбор!$C$4),MAX(J$1:J189)+1,"")</f>
        <v/>
      </c>
    </row>
    <row r="191" customFormat="false" ht="15" hidden="false" customHeight="false" outlineLevel="0" collapsed="false">
      <c r="A191" s="3" t="s">
        <v>220</v>
      </c>
      <c r="B191" s="3" t="s">
        <v>57</v>
      </c>
      <c r="C191" s="3" t="s">
        <v>17</v>
      </c>
      <c r="D191" s="3" t="s">
        <v>15</v>
      </c>
      <c r="E191" s="3" t="s">
        <v>1570</v>
      </c>
      <c r="F191" s="3" t="s">
        <v>1403</v>
      </c>
      <c r="G191" s="3"/>
      <c r="H191" s="3"/>
      <c r="I191" s="3"/>
      <c r="J191" s="4" t="str">
        <f aca="false">IF(AND($A191&lt;&gt;"",$A191=Подбор!$C$4),MAX(J$1:J190)+1,"")</f>
        <v/>
      </c>
    </row>
    <row r="192" customFormat="false" ht="15" hidden="false" customHeight="false" outlineLevel="0" collapsed="false">
      <c r="A192" s="3" t="s">
        <v>223</v>
      </c>
      <c r="B192" s="3" t="s">
        <v>68</v>
      </c>
      <c r="C192" s="3" t="s">
        <v>11</v>
      </c>
      <c r="D192" s="3" t="s">
        <v>12</v>
      </c>
      <c r="E192" s="3" t="s">
        <v>1571</v>
      </c>
      <c r="F192" s="3" t="s">
        <v>1403</v>
      </c>
      <c r="G192" s="3" t="n">
        <v>25000</v>
      </c>
      <c r="H192" s="3"/>
      <c r="I192" s="3" t="s">
        <v>1415</v>
      </c>
      <c r="J192" s="4" t="str">
        <f aca="false">IF(AND($A192&lt;&gt;"",$A192=Подбор!$C$4),MAX(J$1:J191)+1,"")</f>
        <v/>
      </c>
    </row>
    <row r="193" customFormat="false" ht="15" hidden="false" customHeight="false" outlineLevel="0" collapsed="false">
      <c r="A193" s="3" t="s">
        <v>223</v>
      </c>
      <c r="B193" s="3" t="s">
        <v>68</v>
      </c>
      <c r="C193" s="3" t="s">
        <v>11</v>
      </c>
      <c r="D193" s="3" t="s">
        <v>12</v>
      </c>
      <c r="E193" s="3" t="s">
        <v>1572</v>
      </c>
      <c r="F193" s="3" t="s">
        <v>1421</v>
      </c>
      <c r="G193" s="3" t="n">
        <v>25000</v>
      </c>
      <c r="H193" s="3"/>
      <c r="I193" s="3" t="s">
        <v>1415</v>
      </c>
      <c r="J193" s="4" t="str">
        <f aca="false">IF(AND($A193&lt;&gt;"",$A193=Подбор!$C$4),MAX(J$1:J192)+1,"")</f>
        <v/>
      </c>
    </row>
    <row r="194" customFormat="false" ht="15" hidden="false" customHeight="false" outlineLevel="0" collapsed="false">
      <c r="A194" s="3" t="s">
        <v>223</v>
      </c>
      <c r="B194" s="3" t="s">
        <v>68</v>
      </c>
      <c r="C194" s="3" t="s">
        <v>14</v>
      </c>
      <c r="D194" s="3" t="s">
        <v>15</v>
      </c>
      <c r="E194" s="3"/>
      <c r="F194" s="3"/>
      <c r="G194" s="3"/>
      <c r="H194" s="3"/>
      <c r="I194" s="3" t="s">
        <v>1440</v>
      </c>
      <c r="J194" s="4" t="str">
        <f aca="false">IF(AND($A194&lt;&gt;"",$A194=Подбор!$C$4),MAX(J$1:J193)+1,"")</f>
        <v/>
      </c>
    </row>
    <row r="195" customFormat="false" ht="15" hidden="false" customHeight="false" outlineLevel="0" collapsed="false">
      <c r="A195" s="3" t="s">
        <v>226</v>
      </c>
      <c r="B195" s="3" t="s">
        <v>57</v>
      </c>
      <c r="C195" s="3" t="s">
        <v>11</v>
      </c>
      <c r="D195" s="3" t="s">
        <v>12</v>
      </c>
      <c r="E195" s="3" t="s">
        <v>1515</v>
      </c>
      <c r="F195" s="3" t="s">
        <v>1403</v>
      </c>
      <c r="G195" s="3" t="n">
        <v>15000</v>
      </c>
      <c r="H195" s="3"/>
      <c r="I195" s="3" t="s">
        <v>1415</v>
      </c>
      <c r="J195" s="4" t="str">
        <f aca="false">IF(AND($A195&lt;&gt;"",$A195=Подбор!$C$4),MAX(J$1:J194)+1,"")</f>
        <v/>
      </c>
    </row>
    <row r="196" customFormat="false" ht="15" hidden="false" customHeight="false" outlineLevel="0" collapsed="false">
      <c r="A196" s="3" t="s">
        <v>226</v>
      </c>
      <c r="B196" s="3" t="s">
        <v>57</v>
      </c>
      <c r="C196" s="3" t="s">
        <v>11</v>
      </c>
      <c r="D196" s="3" t="s">
        <v>12</v>
      </c>
      <c r="E196" s="3" t="s">
        <v>1516</v>
      </c>
      <c r="F196" s="3" t="s">
        <v>1423</v>
      </c>
      <c r="G196" s="3" t="n">
        <v>15000</v>
      </c>
      <c r="H196" s="3"/>
      <c r="I196" s="3" t="s">
        <v>1415</v>
      </c>
      <c r="J196" s="4" t="str">
        <f aca="false">IF(AND($A196&lt;&gt;"",$A196=Подбор!$C$4),MAX(J$1:J195)+1,"")</f>
        <v/>
      </c>
    </row>
    <row r="197" customFormat="false" ht="15" hidden="false" customHeight="false" outlineLevel="0" collapsed="false">
      <c r="A197" s="3" t="s">
        <v>226</v>
      </c>
      <c r="B197" s="3" t="s">
        <v>57</v>
      </c>
      <c r="C197" s="3" t="s">
        <v>17</v>
      </c>
      <c r="D197" s="3" t="s">
        <v>15</v>
      </c>
      <c r="E197" s="3" t="s">
        <v>1573</v>
      </c>
      <c r="F197" s="3" t="s">
        <v>1403</v>
      </c>
      <c r="G197" s="3"/>
      <c r="H197" s="3"/>
      <c r="I197" s="3"/>
      <c r="J197" s="4" t="str">
        <f aca="false">IF(AND($A197&lt;&gt;"",$A197=Подбор!$C$4),MAX(J$1:J196)+1,"")</f>
        <v/>
      </c>
    </row>
    <row r="198" customFormat="false" ht="15" hidden="false" customHeight="false" outlineLevel="0" collapsed="false">
      <c r="A198" s="3" t="s">
        <v>228</v>
      </c>
      <c r="B198" s="3" t="s">
        <v>84</v>
      </c>
      <c r="C198" s="3" t="s">
        <v>11</v>
      </c>
      <c r="D198" s="3" t="s">
        <v>12</v>
      </c>
      <c r="E198" s="3" t="s">
        <v>1574</v>
      </c>
      <c r="F198" s="3" t="s">
        <v>1403</v>
      </c>
      <c r="G198" s="3"/>
      <c r="H198" s="3"/>
      <c r="I198" s="3"/>
      <c r="J198" s="4" t="str">
        <f aca="false">IF(AND($A198&lt;&gt;"",$A198=Подбор!$C$4),MAX(J$1:J197)+1,"")</f>
        <v/>
      </c>
    </row>
    <row r="199" customFormat="false" ht="15" hidden="false" customHeight="false" outlineLevel="0" collapsed="false">
      <c r="A199" s="3" t="s">
        <v>228</v>
      </c>
      <c r="B199" s="3" t="s">
        <v>84</v>
      </c>
      <c r="C199" s="3" t="s">
        <v>11</v>
      </c>
      <c r="D199" s="3" t="s">
        <v>21</v>
      </c>
      <c r="E199" s="3" t="s">
        <v>1575</v>
      </c>
      <c r="F199" s="3" t="s">
        <v>1403</v>
      </c>
      <c r="G199" s="3"/>
      <c r="H199" s="3"/>
      <c r="I199" s="3"/>
      <c r="J199" s="4" t="str">
        <f aca="false">IF(AND($A199&lt;&gt;"",$A199=Подбор!$C$4),MAX(J$1:J198)+1,"")</f>
        <v/>
      </c>
    </row>
    <row r="200" customFormat="false" ht="15" hidden="false" customHeight="false" outlineLevel="0" collapsed="false">
      <c r="A200" s="3" t="s">
        <v>228</v>
      </c>
      <c r="B200" s="3" t="s">
        <v>84</v>
      </c>
      <c r="C200" s="3" t="s">
        <v>11</v>
      </c>
      <c r="D200" s="3" t="s">
        <v>23</v>
      </c>
      <c r="E200" s="3" t="s">
        <v>1576</v>
      </c>
      <c r="F200" s="3" t="s">
        <v>1403</v>
      </c>
      <c r="G200" s="3"/>
      <c r="H200" s="3"/>
      <c r="I200" s="3"/>
      <c r="J200" s="4" t="str">
        <f aca="false">IF(AND($A200&lt;&gt;"",$A200=Подбор!$C$4),MAX(J$1:J199)+1,"")</f>
        <v/>
      </c>
    </row>
    <row r="201" customFormat="false" ht="15" hidden="false" customHeight="false" outlineLevel="0" collapsed="false">
      <c r="A201" s="3" t="s">
        <v>228</v>
      </c>
      <c r="B201" s="3" t="s">
        <v>84</v>
      </c>
      <c r="C201" s="3" t="s">
        <v>11</v>
      </c>
      <c r="D201" s="3" t="s">
        <v>25</v>
      </c>
      <c r="E201" s="3" t="s">
        <v>1577</v>
      </c>
      <c r="F201" s="3" t="s">
        <v>1403</v>
      </c>
      <c r="G201" s="3"/>
      <c r="H201" s="3"/>
      <c r="I201" s="3"/>
      <c r="J201" s="4" t="str">
        <f aca="false">IF(AND($A201&lt;&gt;"",$A201=Подбор!$C$4),MAX(J$1:J200)+1,"")</f>
        <v/>
      </c>
    </row>
    <row r="202" customFormat="false" ht="15" hidden="false" customHeight="false" outlineLevel="0" collapsed="false">
      <c r="A202" s="3" t="s">
        <v>233</v>
      </c>
      <c r="B202" s="3" t="s">
        <v>84</v>
      </c>
      <c r="C202" s="3" t="s">
        <v>11</v>
      </c>
      <c r="D202" s="3" t="s">
        <v>12</v>
      </c>
      <c r="E202" s="3" t="s">
        <v>1578</v>
      </c>
      <c r="F202" s="3" t="s">
        <v>1403</v>
      </c>
      <c r="G202" s="3" t="n">
        <v>2000</v>
      </c>
      <c r="H202" s="3"/>
      <c r="I202" s="3" t="s">
        <v>1415</v>
      </c>
      <c r="J202" s="4" t="str">
        <f aca="false">IF(AND($A202&lt;&gt;"",$A202=Подбор!$C$4),MAX(J$1:J201)+1,"")</f>
        <v/>
      </c>
    </row>
    <row r="203" customFormat="false" ht="15" hidden="false" customHeight="false" outlineLevel="0" collapsed="false">
      <c r="A203" s="3" t="s">
        <v>233</v>
      </c>
      <c r="B203" s="3" t="s">
        <v>84</v>
      </c>
      <c r="C203" s="3" t="s">
        <v>11</v>
      </c>
      <c r="D203" s="3" t="s">
        <v>12</v>
      </c>
      <c r="E203" s="3" t="s">
        <v>1579</v>
      </c>
      <c r="F203" s="3" t="s">
        <v>1421</v>
      </c>
      <c r="G203" s="3" t="n">
        <v>2000</v>
      </c>
      <c r="H203" s="3"/>
      <c r="I203" s="3" t="s">
        <v>1415</v>
      </c>
      <c r="J203" s="4" t="str">
        <f aca="false">IF(AND($A203&lt;&gt;"",$A203=Подбор!$C$4),MAX(J$1:J202)+1,"")</f>
        <v/>
      </c>
    </row>
    <row r="204" customFormat="false" ht="15" hidden="false" customHeight="false" outlineLevel="0" collapsed="false">
      <c r="A204" s="3" t="s">
        <v>235</v>
      </c>
      <c r="B204" s="3" t="s">
        <v>10</v>
      </c>
      <c r="C204" s="3" t="s">
        <v>11</v>
      </c>
      <c r="D204" s="3" t="s">
        <v>12</v>
      </c>
      <c r="E204" s="3" t="s">
        <v>1580</v>
      </c>
      <c r="F204" s="3" t="s">
        <v>1403</v>
      </c>
      <c r="G204" s="3"/>
      <c r="H204" s="3"/>
      <c r="I204" s="3"/>
      <c r="J204" s="4" t="str">
        <f aca="false">IF(AND($A204&lt;&gt;"",$A204=Подбор!$C$4),MAX(J$1:J203)+1,"")</f>
        <v/>
      </c>
    </row>
    <row r="205" customFormat="false" ht="15" hidden="false" customHeight="false" outlineLevel="0" collapsed="false">
      <c r="A205" s="3" t="s">
        <v>237</v>
      </c>
      <c r="B205" s="3" t="s">
        <v>84</v>
      </c>
      <c r="C205" s="3" t="s">
        <v>11</v>
      </c>
      <c r="D205" s="3" t="s">
        <v>12</v>
      </c>
      <c r="E205" s="3" t="s">
        <v>1581</v>
      </c>
      <c r="F205" s="3" t="s">
        <v>1403</v>
      </c>
      <c r="G205" s="3"/>
      <c r="H205" s="3"/>
      <c r="I205" s="3"/>
      <c r="J205" s="4" t="str">
        <f aca="false">IF(AND($A205&lt;&gt;"",$A205=Подбор!$C$4),MAX(J$1:J204)+1,"")</f>
        <v/>
      </c>
    </row>
    <row r="206" customFormat="false" ht="15" hidden="false" customHeight="false" outlineLevel="0" collapsed="false">
      <c r="A206" s="3" t="s">
        <v>239</v>
      </c>
      <c r="B206" s="3" t="s">
        <v>84</v>
      </c>
      <c r="C206" s="3" t="s">
        <v>11</v>
      </c>
      <c r="D206" s="3" t="s">
        <v>12</v>
      </c>
      <c r="E206" s="3" t="s">
        <v>1519</v>
      </c>
      <c r="F206" s="3" t="s">
        <v>1403</v>
      </c>
      <c r="G206" s="3"/>
      <c r="H206" s="3"/>
      <c r="I206" s="3"/>
      <c r="J206" s="4" t="str">
        <f aca="false">IF(AND($A206&lt;&gt;"",$A206=Подбор!$C$4),MAX(J$1:J205)+1,"")</f>
        <v/>
      </c>
    </row>
    <row r="207" customFormat="false" ht="15" hidden="false" customHeight="false" outlineLevel="0" collapsed="false">
      <c r="A207" s="3" t="s">
        <v>239</v>
      </c>
      <c r="B207" s="3" t="s">
        <v>84</v>
      </c>
      <c r="C207" s="3" t="s">
        <v>11</v>
      </c>
      <c r="D207" s="3" t="s">
        <v>21</v>
      </c>
      <c r="E207" s="3" t="s">
        <v>1520</v>
      </c>
      <c r="F207" s="3" t="s">
        <v>1403</v>
      </c>
      <c r="G207" s="3"/>
      <c r="H207" s="3"/>
      <c r="I207" s="3"/>
      <c r="J207" s="4" t="str">
        <f aca="false">IF(AND($A207&lt;&gt;"",$A207=Подбор!$C$4),MAX(J$1:J206)+1,"")</f>
        <v/>
      </c>
    </row>
    <row r="208" customFormat="false" ht="15" hidden="false" customHeight="false" outlineLevel="0" collapsed="false">
      <c r="A208" s="3" t="s">
        <v>239</v>
      </c>
      <c r="B208" s="3" t="s">
        <v>84</v>
      </c>
      <c r="C208" s="3" t="s">
        <v>11</v>
      </c>
      <c r="D208" s="3" t="s">
        <v>23</v>
      </c>
      <c r="E208" s="3" t="s">
        <v>1521</v>
      </c>
      <c r="F208" s="3" t="s">
        <v>1403</v>
      </c>
      <c r="G208" s="3"/>
      <c r="H208" s="3"/>
      <c r="I208" s="3"/>
      <c r="J208" s="4" t="str">
        <f aca="false">IF(AND($A208&lt;&gt;"",$A208=Подбор!$C$4),MAX(J$1:J207)+1,"")</f>
        <v/>
      </c>
    </row>
    <row r="209" customFormat="false" ht="15" hidden="false" customHeight="false" outlineLevel="0" collapsed="false">
      <c r="A209" s="3" t="s">
        <v>239</v>
      </c>
      <c r="B209" s="3" t="s">
        <v>84</v>
      </c>
      <c r="C209" s="3" t="s">
        <v>11</v>
      </c>
      <c r="D209" s="3" t="s">
        <v>25</v>
      </c>
      <c r="E209" s="3" t="s">
        <v>1522</v>
      </c>
      <c r="F209" s="3" t="s">
        <v>1403</v>
      </c>
      <c r="G209" s="3"/>
      <c r="H209" s="3"/>
      <c r="I209" s="3"/>
      <c r="J209" s="4" t="str">
        <f aca="false">IF(AND($A209&lt;&gt;"",$A209=Подбор!$C$4),MAX(J$1:J208)+1,"")</f>
        <v/>
      </c>
    </row>
    <row r="210" customFormat="false" ht="15" hidden="false" customHeight="false" outlineLevel="0" collapsed="false">
      <c r="A210" s="3" t="s">
        <v>240</v>
      </c>
      <c r="B210" s="3" t="s">
        <v>84</v>
      </c>
      <c r="C210" s="3" t="s">
        <v>11</v>
      </c>
      <c r="D210" s="3" t="s">
        <v>12</v>
      </c>
      <c r="E210" s="3" t="s">
        <v>1582</v>
      </c>
      <c r="F210" s="3" t="s">
        <v>1403</v>
      </c>
      <c r="G210" s="3"/>
      <c r="H210" s="3"/>
      <c r="I210" s="3"/>
      <c r="J210" s="4" t="str">
        <f aca="false">IF(AND($A210&lt;&gt;"",$A210=Подбор!$C$4),MAX(J$1:J209)+1,"")</f>
        <v/>
      </c>
    </row>
    <row r="211" customFormat="false" ht="15" hidden="false" customHeight="false" outlineLevel="0" collapsed="false">
      <c r="A211" s="3" t="s">
        <v>240</v>
      </c>
      <c r="B211" s="3" t="s">
        <v>84</v>
      </c>
      <c r="C211" s="3" t="s">
        <v>11</v>
      </c>
      <c r="D211" s="3" t="s">
        <v>21</v>
      </c>
      <c r="E211" s="3" t="s">
        <v>1583</v>
      </c>
      <c r="F211" s="3" t="s">
        <v>1403</v>
      </c>
      <c r="G211" s="3"/>
      <c r="H211" s="3"/>
      <c r="I211" s="3"/>
      <c r="J211" s="4" t="str">
        <f aca="false">IF(AND($A211&lt;&gt;"",$A211=Подбор!$C$4),MAX(J$1:J210)+1,"")</f>
        <v/>
      </c>
    </row>
    <row r="212" customFormat="false" ht="15" hidden="false" customHeight="false" outlineLevel="0" collapsed="false">
      <c r="A212" s="3" t="s">
        <v>240</v>
      </c>
      <c r="B212" s="3" t="s">
        <v>84</v>
      </c>
      <c r="C212" s="3" t="s">
        <v>11</v>
      </c>
      <c r="D212" s="3" t="s">
        <v>23</v>
      </c>
      <c r="E212" s="3" t="s">
        <v>1584</v>
      </c>
      <c r="F212" s="3" t="s">
        <v>1403</v>
      </c>
      <c r="G212" s="3"/>
      <c r="H212" s="3"/>
      <c r="I212" s="3"/>
      <c r="J212" s="4" t="str">
        <f aca="false">IF(AND($A212&lt;&gt;"",$A212=Подбор!$C$4),MAX(J$1:J211)+1,"")</f>
        <v/>
      </c>
    </row>
    <row r="213" customFormat="false" ht="15" hidden="false" customHeight="false" outlineLevel="0" collapsed="false">
      <c r="A213" s="3" t="s">
        <v>240</v>
      </c>
      <c r="B213" s="3" t="s">
        <v>84</v>
      </c>
      <c r="C213" s="3" t="s">
        <v>11</v>
      </c>
      <c r="D213" s="3" t="s">
        <v>25</v>
      </c>
      <c r="E213" s="3" t="s">
        <v>1585</v>
      </c>
      <c r="F213" s="3" t="s">
        <v>1403</v>
      </c>
      <c r="G213" s="3"/>
      <c r="H213" s="3"/>
      <c r="I213" s="3"/>
      <c r="J213" s="4" t="str">
        <f aca="false">IF(AND($A213&lt;&gt;"",$A213=Подбор!$C$4),MAX(J$1:J212)+1,"")</f>
        <v/>
      </c>
    </row>
    <row r="214" customFormat="false" ht="15" hidden="false" customHeight="false" outlineLevel="0" collapsed="false">
      <c r="A214" s="3" t="s">
        <v>245</v>
      </c>
      <c r="B214" s="3" t="s">
        <v>84</v>
      </c>
      <c r="C214" s="3" t="s">
        <v>11</v>
      </c>
      <c r="D214" s="3" t="s">
        <v>12</v>
      </c>
      <c r="E214" s="3" t="s">
        <v>1586</v>
      </c>
      <c r="F214" s="3" t="s">
        <v>1403</v>
      </c>
      <c r="G214" s="3"/>
      <c r="H214" s="3"/>
      <c r="I214" s="3"/>
      <c r="J214" s="4" t="str">
        <f aca="false">IF(AND($A214&lt;&gt;"",$A214=Подбор!$C$4),MAX(J$1:J213)+1,"")</f>
        <v/>
      </c>
    </row>
    <row r="215" customFormat="false" ht="15" hidden="false" customHeight="false" outlineLevel="0" collapsed="false">
      <c r="A215" s="3" t="s">
        <v>245</v>
      </c>
      <c r="B215" s="3" t="s">
        <v>84</v>
      </c>
      <c r="C215" s="3" t="s">
        <v>11</v>
      </c>
      <c r="D215" s="3" t="s">
        <v>12</v>
      </c>
      <c r="E215" s="3" t="s">
        <v>1587</v>
      </c>
      <c r="F215" s="3" t="s">
        <v>1423</v>
      </c>
      <c r="G215" s="3"/>
      <c r="H215" s="3"/>
      <c r="I215" s="3"/>
      <c r="J215" s="4" t="str">
        <f aca="false">IF(AND($A215&lt;&gt;"",$A215=Подбор!$C$4),MAX(J$1:J214)+1,"")</f>
        <v/>
      </c>
    </row>
    <row r="216" customFormat="false" ht="15" hidden="false" customHeight="false" outlineLevel="0" collapsed="false">
      <c r="A216" s="3" t="s">
        <v>245</v>
      </c>
      <c r="B216" s="3" t="s">
        <v>84</v>
      </c>
      <c r="C216" s="3" t="s">
        <v>11</v>
      </c>
      <c r="D216" s="3" t="s">
        <v>12</v>
      </c>
      <c r="E216" s="3" t="s">
        <v>1588</v>
      </c>
      <c r="F216" s="3" t="s">
        <v>1421</v>
      </c>
      <c r="G216" s="3" t="n">
        <v>2100</v>
      </c>
      <c r="H216" s="3"/>
      <c r="I216" s="3" t="s">
        <v>1415</v>
      </c>
      <c r="J216" s="4" t="str">
        <f aca="false">IF(AND($A216&lt;&gt;"",$A216=Подбор!$C$4),MAX(J$1:J215)+1,"")</f>
        <v/>
      </c>
    </row>
    <row r="217" customFormat="false" ht="15" hidden="false" customHeight="false" outlineLevel="0" collapsed="false">
      <c r="A217" s="3" t="s">
        <v>247</v>
      </c>
      <c r="B217" s="3" t="s">
        <v>10</v>
      </c>
      <c r="C217" s="3" t="s">
        <v>11</v>
      </c>
      <c r="D217" s="3" t="s">
        <v>12</v>
      </c>
      <c r="E217" s="3" t="s">
        <v>1589</v>
      </c>
      <c r="F217" s="3" t="s">
        <v>1403</v>
      </c>
      <c r="G217" s="3"/>
      <c r="H217" s="3"/>
      <c r="I217" s="3"/>
      <c r="J217" s="4" t="str">
        <f aca="false">IF(AND($A217&lt;&gt;"",$A217=Подбор!$C$4),MAX(J$1:J216)+1,"")</f>
        <v/>
      </c>
    </row>
    <row r="218" customFormat="false" ht="15" hidden="false" customHeight="false" outlineLevel="0" collapsed="false">
      <c r="A218" s="3" t="s">
        <v>249</v>
      </c>
      <c r="B218" s="3" t="s">
        <v>84</v>
      </c>
      <c r="C218" s="3" t="s">
        <v>11</v>
      </c>
      <c r="D218" s="3" t="s">
        <v>12</v>
      </c>
      <c r="E218" s="3" t="s">
        <v>1590</v>
      </c>
      <c r="F218" s="3" t="s">
        <v>1403</v>
      </c>
      <c r="G218" s="3"/>
      <c r="H218" s="3"/>
      <c r="I218" s="3"/>
      <c r="J218" s="4" t="str">
        <f aca="false">IF(AND($A218&lt;&gt;"",$A218=Подбор!$C$4),MAX(J$1:J217)+1,"")</f>
        <v/>
      </c>
    </row>
    <row r="219" customFormat="false" ht="15" hidden="false" customHeight="false" outlineLevel="0" collapsed="false">
      <c r="A219" s="3" t="s">
        <v>251</v>
      </c>
      <c r="B219" s="3" t="s">
        <v>10</v>
      </c>
      <c r="C219" s="3" t="s">
        <v>11</v>
      </c>
      <c r="D219" s="3" t="s">
        <v>12</v>
      </c>
      <c r="E219" s="3" t="s">
        <v>1591</v>
      </c>
      <c r="F219" s="3" t="s">
        <v>1403</v>
      </c>
      <c r="G219" s="3"/>
      <c r="H219" s="3"/>
      <c r="I219" s="3"/>
      <c r="J219" s="4" t="str">
        <f aca="false">IF(AND($A219&lt;&gt;"",$A219=Подбор!$C$4),MAX(J$1:J218)+1,"")</f>
        <v/>
      </c>
    </row>
    <row r="220" customFormat="false" ht="15" hidden="false" customHeight="false" outlineLevel="0" collapsed="false">
      <c r="A220" s="3" t="s">
        <v>251</v>
      </c>
      <c r="B220" s="3" t="s">
        <v>10</v>
      </c>
      <c r="C220" s="3" t="s">
        <v>14</v>
      </c>
      <c r="D220" s="3" t="s">
        <v>15</v>
      </c>
      <c r="E220" s="3"/>
      <c r="F220" s="3"/>
      <c r="G220" s="3"/>
      <c r="H220" s="3"/>
      <c r="I220" s="3" t="s">
        <v>1440</v>
      </c>
      <c r="J220" s="4" t="str">
        <f aca="false">IF(AND($A220&lt;&gt;"",$A220=Подбор!$C$4),MAX(J$1:J219)+1,"")</f>
        <v/>
      </c>
    </row>
    <row r="221" customFormat="false" ht="15" hidden="false" customHeight="false" outlineLevel="0" collapsed="false">
      <c r="A221" s="3" t="s">
        <v>251</v>
      </c>
      <c r="B221" s="3" t="s">
        <v>10</v>
      </c>
      <c r="C221" s="3" t="s">
        <v>28</v>
      </c>
      <c r="D221" s="3" t="s">
        <v>15</v>
      </c>
      <c r="E221" s="3"/>
      <c r="F221" s="3"/>
      <c r="G221" s="3"/>
      <c r="H221" s="3"/>
      <c r="I221" s="3" t="s">
        <v>1440</v>
      </c>
      <c r="J221" s="4" t="str">
        <f aca="false">IF(AND($A221&lt;&gt;"",$A221=Подбор!$C$4),MAX(J$1:J220)+1,"")</f>
        <v/>
      </c>
    </row>
    <row r="222" customFormat="false" ht="15" hidden="false" customHeight="false" outlineLevel="0" collapsed="false">
      <c r="A222" s="3" t="s">
        <v>251</v>
      </c>
      <c r="B222" s="3" t="s">
        <v>10</v>
      </c>
      <c r="C222" s="3" t="s">
        <v>30</v>
      </c>
      <c r="D222" s="3" t="s">
        <v>15</v>
      </c>
      <c r="E222" s="3" t="s">
        <v>1473</v>
      </c>
      <c r="F222" s="3" t="s">
        <v>1403</v>
      </c>
      <c r="G222" s="3"/>
      <c r="H222" s="3"/>
      <c r="I222" s="3"/>
      <c r="J222" s="4" t="str">
        <f aca="false">IF(AND($A222&lt;&gt;"",$A222=Подбор!$C$4),MAX(J$1:J221)+1,"")</f>
        <v/>
      </c>
    </row>
    <row r="223" customFormat="false" ht="15" hidden="false" customHeight="false" outlineLevel="0" collapsed="false">
      <c r="A223" s="3" t="s">
        <v>251</v>
      </c>
      <c r="B223" s="3" t="s">
        <v>10</v>
      </c>
      <c r="C223" s="3" t="s">
        <v>17</v>
      </c>
      <c r="D223" s="3" t="s">
        <v>15</v>
      </c>
      <c r="E223" s="3" t="s">
        <v>1592</v>
      </c>
      <c r="F223" s="3" t="s">
        <v>1403</v>
      </c>
      <c r="G223" s="3"/>
      <c r="H223" s="3"/>
      <c r="I223" s="3"/>
      <c r="J223" s="4" t="str">
        <f aca="false">IF(AND($A223&lt;&gt;"",$A223=Подбор!$C$4),MAX(J$1:J222)+1,"")</f>
        <v/>
      </c>
    </row>
    <row r="224" customFormat="false" ht="15" hidden="false" customHeight="false" outlineLevel="0" collapsed="false">
      <c r="A224" s="3" t="s">
        <v>257</v>
      </c>
      <c r="B224" s="3" t="s">
        <v>10</v>
      </c>
      <c r="C224" s="3" t="s">
        <v>11</v>
      </c>
      <c r="D224" s="3" t="s">
        <v>12</v>
      </c>
      <c r="E224" s="3" t="s">
        <v>1593</v>
      </c>
      <c r="F224" s="3" t="s">
        <v>1403</v>
      </c>
      <c r="G224" s="3"/>
      <c r="H224" s="3"/>
      <c r="I224" s="3"/>
      <c r="J224" s="4" t="str">
        <f aca="false">IF(AND($A224&lt;&gt;"",$A224=Подбор!$C$4),MAX(J$1:J223)+1,"")</f>
        <v/>
      </c>
    </row>
    <row r="225" customFormat="false" ht="15" hidden="false" customHeight="false" outlineLevel="0" collapsed="false">
      <c r="A225" s="3" t="s">
        <v>257</v>
      </c>
      <c r="B225" s="3" t="s">
        <v>10</v>
      </c>
      <c r="C225" s="3" t="s">
        <v>14</v>
      </c>
      <c r="D225" s="3" t="s">
        <v>15</v>
      </c>
      <c r="E225" s="3" t="s">
        <v>1594</v>
      </c>
      <c r="F225" s="3" t="s">
        <v>1403</v>
      </c>
      <c r="G225" s="3"/>
      <c r="H225" s="3"/>
      <c r="I225" s="3"/>
      <c r="J225" s="4" t="str">
        <f aca="false">IF(AND($A225&lt;&gt;"",$A225=Подбор!$C$4),MAX(J$1:J224)+1,"")</f>
        <v/>
      </c>
    </row>
    <row r="226" customFormat="false" ht="15" hidden="false" customHeight="false" outlineLevel="0" collapsed="false">
      <c r="A226" s="3" t="s">
        <v>260</v>
      </c>
      <c r="B226" s="3" t="s">
        <v>10</v>
      </c>
      <c r="C226" s="3" t="s">
        <v>11</v>
      </c>
      <c r="D226" s="3" t="s">
        <v>12</v>
      </c>
      <c r="E226" s="3" t="s">
        <v>1595</v>
      </c>
      <c r="F226" s="3" t="s">
        <v>1403</v>
      </c>
      <c r="G226" s="3"/>
      <c r="H226" s="3"/>
      <c r="I226" s="3"/>
      <c r="J226" s="4" t="str">
        <f aca="false">IF(AND($A226&lt;&gt;"",$A226=Подбор!$C$4),MAX(J$1:J225)+1,"")</f>
        <v/>
      </c>
    </row>
    <row r="227" customFormat="false" ht="15" hidden="false" customHeight="false" outlineLevel="0" collapsed="false">
      <c r="A227" s="3" t="s">
        <v>260</v>
      </c>
      <c r="B227" s="3" t="s">
        <v>10</v>
      </c>
      <c r="C227" s="3" t="s">
        <v>11</v>
      </c>
      <c r="D227" s="3" t="s">
        <v>21</v>
      </c>
      <c r="E227" s="3" t="s">
        <v>1596</v>
      </c>
      <c r="F227" s="3" t="s">
        <v>1403</v>
      </c>
      <c r="G227" s="3"/>
      <c r="H227" s="3"/>
      <c r="I227" s="3"/>
      <c r="J227" s="4" t="str">
        <f aca="false">IF(AND($A227&lt;&gt;"",$A227=Подбор!$C$4),MAX(J$1:J226)+1,"")</f>
        <v/>
      </c>
    </row>
    <row r="228" customFormat="false" ht="15" hidden="false" customHeight="false" outlineLevel="0" collapsed="false">
      <c r="A228" s="3" t="s">
        <v>260</v>
      </c>
      <c r="B228" s="3" t="s">
        <v>10</v>
      </c>
      <c r="C228" s="3" t="s">
        <v>11</v>
      </c>
      <c r="D228" s="3" t="s">
        <v>23</v>
      </c>
      <c r="E228" s="3" t="s">
        <v>1597</v>
      </c>
      <c r="F228" s="3" t="s">
        <v>1403</v>
      </c>
      <c r="G228" s="3"/>
      <c r="H228" s="3"/>
      <c r="I228" s="3"/>
      <c r="J228" s="4" t="str">
        <f aca="false">IF(AND($A228&lt;&gt;"",$A228=Подбор!$C$4),MAX(J$1:J227)+1,"")</f>
        <v/>
      </c>
    </row>
    <row r="229" customFormat="false" ht="15" hidden="false" customHeight="false" outlineLevel="0" collapsed="false">
      <c r="A229" s="3" t="s">
        <v>260</v>
      </c>
      <c r="B229" s="3" t="s">
        <v>10</v>
      </c>
      <c r="C229" s="3" t="s">
        <v>11</v>
      </c>
      <c r="D229" s="3" t="s">
        <v>25</v>
      </c>
      <c r="E229" s="3" t="s">
        <v>1598</v>
      </c>
      <c r="F229" s="3" t="s">
        <v>1403</v>
      </c>
      <c r="G229" s="3"/>
      <c r="H229" s="3"/>
      <c r="I229" s="3"/>
      <c r="J229" s="4" t="str">
        <f aca="false">IF(AND($A229&lt;&gt;"",$A229=Подбор!$C$4),MAX(J$1:J228)+1,"")</f>
        <v/>
      </c>
    </row>
    <row r="230" customFormat="false" ht="15" hidden="false" customHeight="false" outlineLevel="0" collapsed="false">
      <c r="A230" s="3" t="s">
        <v>265</v>
      </c>
      <c r="B230" s="3" t="s">
        <v>10</v>
      </c>
      <c r="C230" s="3" t="s">
        <v>11</v>
      </c>
      <c r="D230" s="3" t="s">
        <v>12</v>
      </c>
      <c r="E230" s="3" t="s">
        <v>1599</v>
      </c>
      <c r="F230" s="3" t="s">
        <v>1403</v>
      </c>
      <c r="G230" s="3"/>
      <c r="H230" s="3"/>
      <c r="I230" s="3"/>
      <c r="J230" s="4" t="str">
        <f aca="false">IF(AND($A230&lt;&gt;"",$A230=Подбор!$C$4),MAX(J$1:J229)+1,"")</f>
        <v/>
      </c>
    </row>
    <row r="231" customFormat="false" ht="15" hidden="false" customHeight="false" outlineLevel="0" collapsed="false">
      <c r="A231" s="3" t="s">
        <v>265</v>
      </c>
      <c r="B231" s="3" t="s">
        <v>10</v>
      </c>
      <c r="C231" s="3" t="s">
        <v>11</v>
      </c>
      <c r="D231" s="3" t="s">
        <v>21</v>
      </c>
      <c r="E231" s="3" t="s">
        <v>1600</v>
      </c>
      <c r="F231" s="3" t="s">
        <v>1403</v>
      </c>
      <c r="G231" s="3"/>
      <c r="H231" s="3"/>
      <c r="I231" s="3"/>
      <c r="J231" s="4" t="str">
        <f aca="false">IF(AND($A231&lt;&gt;"",$A231=Подбор!$C$4),MAX(J$1:J230)+1,"")</f>
        <v/>
      </c>
    </row>
    <row r="232" customFormat="false" ht="15" hidden="false" customHeight="false" outlineLevel="0" collapsed="false">
      <c r="A232" s="3" t="s">
        <v>265</v>
      </c>
      <c r="B232" s="3" t="s">
        <v>10</v>
      </c>
      <c r="C232" s="3" t="s">
        <v>11</v>
      </c>
      <c r="D232" s="3" t="s">
        <v>23</v>
      </c>
      <c r="E232" s="3" t="s">
        <v>1601</v>
      </c>
      <c r="F232" s="3" t="s">
        <v>1403</v>
      </c>
      <c r="G232" s="3"/>
      <c r="H232" s="3"/>
      <c r="I232" s="3"/>
      <c r="J232" s="4" t="str">
        <f aca="false">IF(AND($A232&lt;&gt;"",$A232=Подбор!$C$4),MAX(J$1:J231)+1,"")</f>
        <v/>
      </c>
    </row>
    <row r="233" customFormat="false" ht="15" hidden="false" customHeight="false" outlineLevel="0" collapsed="false">
      <c r="A233" s="3" t="s">
        <v>265</v>
      </c>
      <c r="B233" s="3" t="s">
        <v>10</v>
      </c>
      <c r="C233" s="3" t="s">
        <v>11</v>
      </c>
      <c r="D233" s="3" t="s">
        <v>25</v>
      </c>
      <c r="E233" s="3" t="s">
        <v>1602</v>
      </c>
      <c r="F233" s="3" t="s">
        <v>1403</v>
      </c>
      <c r="G233" s="3"/>
      <c r="H233" s="3"/>
      <c r="I233" s="3"/>
      <c r="J233" s="4" t="str">
        <f aca="false">IF(AND($A233&lt;&gt;"",$A233=Подбор!$C$4),MAX(J$1:J232)+1,"")</f>
        <v/>
      </c>
    </row>
    <row r="234" customFormat="false" ht="15" hidden="false" customHeight="false" outlineLevel="0" collapsed="false">
      <c r="A234" s="3" t="s">
        <v>270</v>
      </c>
      <c r="B234" s="3" t="s">
        <v>10</v>
      </c>
      <c r="C234" s="3" t="s">
        <v>11</v>
      </c>
      <c r="D234" s="3" t="s">
        <v>12</v>
      </c>
      <c r="E234" s="3" t="s">
        <v>1603</v>
      </c>
      <c r="F234" s="3" t="s">
        <v>1403</v>
      </c>
      <c r="G234" s="3"/>
      <c r="H234" s="3"/>
      <c r="I234" s="3"/>
      <c r="J234" s="4" t="str">
        <f aca="false">IF(AND($A234&lt;&gt;"",$A234=Подбор!$C$4),MAX(J$1:J233)+1,"")</f>
        <v/>
      </c>
    </row>
    <row r="235" customFormat="false" ht="15" hidden="false" customHeight="false" outlineLevel="0" collapsed="false">
      <c r="A235" s="3" t="s">
        <v>270</v>
      </c>
      <c r="B235" s="3" t="s">
        <v>10</v>
      </c>
      <c r="C235" s="3" t="s">
        <v>11</v>
      </c>
      <c r="D235" s="3" t="s">
        <v>21</v>
      </c>
      <c r="E235" s="3" t="s">
        <v>1604</v>
      </c>
      <c r="F235" s="3" t="s">
        <v>1403</v>
      </c>
      <c r="G235" s="3"/>
      <c r="H235" s="3"/>
      <c r="I235" s="3"/>
      <c r="J235" s="4" t="str">
        <f aca="false">IF(AND($A235&lt;&gt;"",$A235=Подбор!$C$4),MAX(J$1:J234)+1,"")</f>
        <v/>
      </c>
    </row>
    <row r="236" customFormat="false" ht="15" hidden="false" customHeight="false" outlineLevel="0" collapsed="false">
      <c r="A236" s="3" t="s">
        <v>270</v>
      </c>
      <c r="B236" s="3" t="s">
        <v>10</v>
      </c>
      <c r="C236" s="3" t="s">
        <v>11</v>
      </c>
      <c r="D236" s="3" t="s">
        <v>23</v>
      </c>
      <c r="E236" s="3" t="s">
        <v>1605</v>
      </c>
      <c r="F236" s="3" t="s">
        <v>1403</v>
      </c>
      <c r="G236" s="3"/>
      <c r="H236" s="3"/>
      <c r="I236" s="3"/>
      <c r="J236" s="4" t="str">
        <f aca="false">IF(AND($A236&lt;&gt;"",$A236=Подбор!$C$4),MAX(J$1:J235)+1,"")</f>
        <v/>
      </c>
    </row>
    <row r="237" customFormat="false" ht="15" hidden="false" customHeight="false" outlineLevel="0" collapsed="false">
      <c r="A237" s="3" t="s">
        <v>270</v>
      </c>
      <c r="B237" s="3" t="s">
        <v>10</v>
      </c>
      <c r="C237" s="3" t="s">
        <v>11</v>
      </c>
      <c r="D237" s="3" t="s">
        <v>25</v>
      </c>
      <c r="E237" s="3" t="s">
        <v>1606</v>
      </c>
      <c r="F237" s="3" t="s">
        <v>1403</v>
      </c>
      <c r="G237" s="3"/>
      <c r="H237" s="3"/>
      <c r="I237" s="3"/>
      <c r="J237" s="4" t="str">
        <f aca="false">IF(AND($A237&lt;&gt;"",$A237=Подбор!$C$4),MAX(J$1:J236)+1,"")</f>
        <v/>
      </c>
    </row>
    <row r="238" customFormat="false" ht="15" hidden="false" customHeight="false" outlineLevel="0" collapsed="false">
      <c r="A238" s="3" t="s">
        <v>275</v>
      </c>
      <c r="B238" s="3" t="s">
        <v>10</v>
      </c>
      <c r="C238" s="3" t="s">
        <v>11</v>
      </c>
      <c r="D238" s="3" t="s">
        <v>12</v>
      </c>
      <c r="E238" s="3" t="s">
        <v>1607</v>
      </c>
      <c r="F238" s="3" t="s">
        <v>1403</v>
      </c>
      <c r="G238" s="3"/>
      <c r="H238" s="3"/>
      <c r="I238" s="3"/>
      <c r="J238" s="4" t="str">
        <f aca="false">IF(AND($A238&lt;&gt;"",$A238=Подбор!$C$4),MAX(J$1:J237)+1,"")</f>
        <v/>
      </c>
    </row>
    <row r="239" customFormat="false" ht="15" hidden="false" customHeight="false" outlineLevel="0" collapsed="false">
      <c r="A239" s="3" t="s">
        <v>277</v>
      </c>
      <c r="B239" s="3" t="s">
        <v>10</v>
      </c>
      <c r="C239" s="3" t="s">
        <v>11</v>
      </c>
      <c r="D239" s="3" t="s">
        <v>12</v>
      </c>
      <c r="E239" s="3" t="s">
        <v>1608</v>
      </c>
      <c r="F239" s="3" t="s">
        <v>1403</v>
      </c>
      <c r="G239" s="3"/>
      <c r="H239" s="3"/>
      <c r="I239" s="3"/>
      <c r="J239" s="4" t="str">
        <f aca="false">IF(AND($A239&lt;&gt;"",$A239=Подбор!$C$4),MAX(J$1:J238)+1,"")</f>
        <v/>
      </c>
    </row>
    <row r="240" customFormat="false" ht="15" hidden="false" customHeight="false" outlineLevel="0" collapsed="false">
      <c r="A240" s="3" t="s">
        <v>277</v>
      </c>
      <c r="B240" s="3" t="s">
        <v>10</v>
      </c>
      <c r="C240" s="3" t="s">
        <v>11</v>
      </c>
      <c r="D240" s="3" t="s">
        <v>12</v>
      </c>
      <c r="E240" s="3" t="s">
        <v>1609</v>
      </c>
      <c r="F240" s="3" t="s">
        <v>1423</v>
      </c>
      <c r="G240" s="3" t="n">
        <v>3000</v>
      </c>
      <c r="H240" s="3"/>
      <c r="I240" s="3" t="s">
        <v>1415</v>
      </c>
      <c r="J240" s="4" t="str">
        <f aca="false">IF(AND($A240&lt;&gt;"",$A240=Подбор!$C$4),MAX(J$1:J239)+1,"")</f>
        <v/>
      </c>
    </row>
    <row r="241" customFormat="false" ht="15" hidden="false" customHeight="false" outlineLevel="0" collapsed="false">
      <c r="A241" s="3" t="s">
        <v>279</v>
      </c>
      <c r="B241" s="3" t="s">
        <v>10</v>
      </c>
      <c r="C241" s="3" t="s">
        <v>11</v>
      </c>
      <c r="D241" s="3" t="s">
        <v>12</v>
      </c>
      <c r="E241" s="3" t="s">
        <v>1610</v>
      </c>
      <c r="F241" s="3" t="s">
        <v>1403</v>
      </c>
      <c r="G241" s="3"/>
      <c r="H241" s="3"/>
      <c r="I241" s="3"/>
      <c r="J241" s="4" t="str">
        <f aca="false">IF(AND($A241&lt;&gt;"",$A241=Подбор!$C$4),MAX(J$1:J240)+1,"")</f>
        <v/>
      </c>
    </row>
    <row r="242" customFormat="false" ht="15" hidden="false" customHeight="false" outlineLevel="0" collapsed="false">
      <c r="A242" s="3" t="s">
        <v>281</v>
      </c>
      <c r="B242" s="3" t="s">
        <v>10</v>
      </c>
      <c r="C242" s="3" t="s">
        <v>11</v>
      </c>
      <c r="D242" s="3" t="s">
        <v>12</v>
      </c>
      <c r="E242" s="3" t="s">
        <v>1611</v>
      </c>
      <c r="F242" s="3" t="s">
        <v>1403</v>
      </c>
      <c r="G242" s="3"/>
      <c r="H242" s="3"/>
      <c r="I242" s="3"/>
      <c r="J242" s="4" t="str">
        <f aca="false">IF(AND($A242&lt;&gt;"",$A242=Подбор!$C$4),MAX(J$1:J241)+1,"")</f>
        <v/>
      </c>
    </row>
    <row r="243" customFormat="false" ht="15" hidden="false" customHeight="false" outlineLevel="0" collapsed="false">
      <c r="A243" s="3" t="s">
        <v>283</v>
      </c>
      <c r="B243" s="3" t="s">
        <v>10</v>
      </c>
      <c r="C243" s="3" t="s">
        <v>11</v>
      </c>
      <c r="D243" s="3" t="s">
        <v>12</v>
      </c>
      <c r="E243" s="3" t="s">
        <v>1612</v>
      </c>
      <c r="F243" s="3" t="s">
        <v>1403</v>
      </c>
      <c r="G243" s="3"/>
      <c r="H243" s="3"/>
      <c r="I243" s="3"/>
      <c r="J243" s="4" t="str">
        <f aca="false">IF(AND($A243&lt;&gt;"",$A243=Подбор!$C$4),MAX(J$1:J242)+1,"")</f>
        <v/>
      </c>
    </row>
    <row r="244" customFormat="false" ht="15" hidden="false" customHeight="false" outlineLevel="0" collapsed="false">
      <c r="A244" s="3" t="s">
        <v>285</v>
      </c>
      <c r="B244" s="3" t="s">
        <v>10</v>
      </c>
      <c r="C244" s="3" t="s">
        <v>11</v>
      </c>
      <c r="D244" s="3" t="s">
        <v>12</v>
      </c>
      <c r="E244" s="3" t="s">
        <v>1613</v>
      </c>
      <c r="F244" s="3" t="s">
        <v>1403</v>
      </c>
      <c r="G244" s="3"/>
      <c r="H244" s="3"/>
      <c r="I244" s="3"/>
      <c r="J244" s="4" t="str">
        <f aca="false">IF(AND($A244&lt;&gt;"",$A244=Подбор!$C$4),MAX(J$1:J243)+1,"")</f>
        <v/>
      </c>
    </row>
    <row r="245" customFormat="false" ht="15" hidden="false" customHeight="false" outlineLevel="0" collapsed="false">
      <c r="A245" s="3" t="s">
        <v>285</v>
      </c>
      <c r="B245" s="3" t="s">
        <v>10</v>
      </c>
      <c r="C245" s="3" t="s">
        <v>14</v>
      </c>
      <c r="D245" s="3" t="s">
        <v>15</v>
      </c>
      <c r="E245" s="3"/>
      <c r="F245" s="3"/>
      <c r="G245" s="3"/>
      <c r="H245" s="3"/>
      <c r="I245" s="3" t="s">
        <v>1440</v>
      </c>
      <c r="J245" s="4" t="str">
        <f aca="false">IF(AND($A245&lt;&gt;"",$A245=Подбор!$C$4),MAX(J$1:J244)+1,"")</f>
        <v/>
      </c>
    </row>
    <row r="246" customFormat="false" ht="15" hidden="false" customHeight="false" outlineLevel="0" collapsed="false">
      <c r="A246" s="3" t="s">
        <v>288</v>
      </c>
      <c r="B246" s="3" t="s">
        <v>10</v>
      </c>
      <c r="C246" s="3" t="s">
        <v>11</v>
      </c>
      <c r="D246" s="3" t="s">
        <v>12</v>
      </c>
      <c r="E246" s="3" t="s">
        <v>1614</v>
      </c>
      <c r="F246" s="3" t="s">
        <v>1403</v>
      </c>
      <c r="G246" s="3"/>
      <c r="H246" s="3"/>
      <c r="I246" s="3"/>
      <c r="J246" s="4" t="str">
        <f aca="false">IF(AND($A246&lt;&gt;"",$A246=Подбор!$C$4),MAX(J$1:J245)+1,"")</f>
        <v/>
      </c>
    </row>
    <row r="247" customFormat="false" ht="15" hidden="false" customHeight="false" outlineLevel="0" collapsed="false">
      <c r="A247" s="3" t="s">
        <v>290</v>
      </c>
      <c r="B247" s="3" t="s">
        <v>10</v>
      </c>
      <c r="C247" s="3" t="s">
        <v>11</v>
      </c>
      <c r="D247" s="3" t="s">
        <v>12</v>
      </c>
      <c r="E247" s="3" t="s">
        <v>1615</v>
      </c>
      <c r="F247" s="3" t="s">
        <v>1403</v>
      </c>
      <c r="G247" s="3"/>
      <c r="H247" s="3"/>
      <c r="I247" s="3"/>
      <c r="J247" s="4" t="str">
        <f aca="false">IF(AND($A247&lt;&gt;"",$A247=Подбор!$C$4),MAX(J$1:J246)+1,"")</f>
        <v/>
      </c>
    </row>
    <row r="248" customFormat="false" ht="15" hidden="false" customHeight="false" outlineLevel="0" collapsed="false">
      <c r="A248" s="3" t="s">
        <v>292</v>
      </c>
      <c r="B248" s="3" t="s">
        <v>10</v>
      </c>
      <c r="C248" s="3" t="s">
        <v>11</v>
      </c>
      <c r="D248" s="3" t="s">
        <v>12</v>
      </c>
      <c r="E248" s="3" t="s">
        <v>1616</v>
      </c>
      <c r="F248" s="3" t="s">
        <v>1403</v>
      </c>
      <c r="G248" s="3"/>
      <c r="H248" s="3"/>
      <c r="I248" s="3"/>
      <c r="J248" s="4" t="str">
        <f aca="false">IF(AND($A248&lt;&gt;"",$A248=Подбор!$C$4),MAX(J$1:J247)+1,"")</f>
        <v/>
      </c>
    </row>
    <row r="249" customFormat="false" ht="15" hidden="false" customHeight="false" outlineLevel="0" collapsed="false">
      <c r="A249" s="3" t="s">
        <v>294</v>
      </c>
      <c r="B249" s="3" t="s">
        <v>10</v>
      </c>
      <c r="C249" s="3" t="s">
        <v>11</v>
      </c>
      <c r="D249" s="3" t="s">
        <v>12</v>
      </c>
      <c r="E249" s="3" t="s">
        <v>1617</v>
      </c>
      <c r="F249" s="3" t="s">
        <v>1403</v>
      </c>
      <c r="G249" s="3"/>
      <c r="H249" s="3"/>
      <c r="I249" s="3"/>
      <c r="J249" s="4" t="str">
        <f aca="false">IF(AND($A249&lt;&gt;"",$A249=Подбор!$C$4),MAX(J$1:J248)+1,"")</f>
        <v/>
      </c>
    </row>
    <row r="250" customFormat="false" ht="15" hidden="false" customHeight="false" outlineLevel="0" collapsed="false">
      <c r="A250" s="3" t="s">
        <v>295</v>
      </c>
      <c r="B250" s="3" t="s">
        <v>10</v>
      </c>
      <c r="C250" s="3" t="s">
        <v>11</v>
      </c>
      <c r="D250" s="3" t="s">
        <v>12</v>
      </c>
      <c r="E250" s="3" t="s">
        <v>1618</v>
      </c>
      <c r="F250" s="3" t="s">
        <v>1403</v>
      </c>
      <c r="G250" s="3"/>
      <c r="H250" s="3"/>
      <c r="I250" s="3"/>
      <c r="J250" s="4" t="str">
        <f aca="false">IF(AND($A250&lt;&gt;"",$A250=Подбор!$C$4),MAX(J$1:J249)+1,"")</f>
        <v/>
      </c>
    </row>
    <row r="251" customFormat="false" ht="15" hidden="false" customHeight="false" outlineLevel="0" collapsed="false">
      <c r="A251" s="3" t="s">
        <v>297</v>
      </c>
      <c r="B251" s="3" t="s">
        <v>10</v>
      </c>
      <c r="C251" s="3" t="s">
        <v>11</v>
      </c>
      <c r="D251" s="3" t="s">
        <v>12</v>
      </c>
      <c r="E251" s="3" t="s">
        <v>1619</v>
      </c>
      <c r="F251" s="3" t="s">
        <v>1403</v>
      </c>
      <c r="G251" s="3"/>
      <c r="H251" s="3"/>
      <c r="I251" s="3"/>
      <c r="J251" s="4" t="str">
        <f aca="false">IF(AND($A251&lt;&gt;"",$A251=Подбор!$C$4),MAX(J$1:J250)+1,"")</f>
        <v/>
      </c>
    </row>
    <row r="252" customFormat="false" ht="15" hidden="false" customHeight="false" outlineLevel="0" collapsed="false">
      <c r="A252" s="3" t="s">
        <v>297</v>
      </c>
      <c r="B252" s="3" t="s">
        <v>10</v>
      </c>
      <c r="C252" s="3" t="s">
        <v>14</v>
      </c>
      <c r="D252" s="3" t="s">
        <v>15</v>
      </c>
      <c r="E252" s="3"/>
      <c r="F252" s="3"/>
      <c r="G252" s="3"/>
      <c r="H252" s="3"/>
      <c r="I252" s="3" t="s">
        <v>1440</v>
      </c>
      <c r="J252" s="4" t="str">
        <f aca="false">IF(AND($A252&lt;&gt;"",$A252=Подбор!$C$4),MAX(J$1:J251)+1,"")</f>
        <v/>
      </c>
    </row>
    <row r="253" customFormat="false" ht="15" hidden="false" customHeight="false" outlineLevel="0" collapsed="false">
      <c r="A253" s="3" t="s">
        <v>299</v>
      </c>
      <c r="B253" s="3" t="s">
        <v>10</v>
      </c>
      <c r="C253" s="3" t="s">
        <v>11</v>
      </c>
      <c r="D253" s="3" t="s">
        <v>12</v>
      </c>
      <c r="E253" s="3" t="s">
        <v>1620</v>
      </c>
      <c r="F253" s="3" t="s">
        <v>1403</v>
      </c>
      <c r="G253" s="3"/>
      <c r="H253" s="3"/>
      <c r="I253" s="3"/>
      <c r="J253" s="4" t="str">
        <f aca="false">IF(AND($A253&lt;&gt;"",$A253=Подбор!$C$4),MAX(J$1:J252)+1,"")</f>
        <v/>
      </c>
    </row>
    <row r="254" customFormat="false" ht="15" hidden="false" customHeight="false" outlineLevel="0" collapsed="false">
      <c r="A254" s="3" t="s">
        <v>299</v>
      </c>
      <c r="B254" s="3" t="s">
        <v>10</v>
      </c>
      <c r="C254" s="3" t="s">
        <v>11</v>
      </c>
      <c r="D254" s="3" t="s">
        <v>21</v>
      </c>
      <c r="E254" s="3" t="s">
        <v>1621</v>
      </c>
      <c r="F254" s="3" t="s">
        <v>1403</v>
      </c>
      <c r="G254" s="3"/>
      <c r="H254" s="3"/>
      <c r="I254" s="3"/>
      <c r="J254" s="4" t="str">
        <f aca="false">IF(AND($A254&lt;&gt;"",$A254=Подбор!$C$4),MAX(J$1:J253)+1,"")</f>
        <v/>
      </c>
    </row>
    <row r="255" customFormat="false" ht="15" hidden="false" customHeight="false" outlineLevel="0" collapsed="false">
      <c r="A255" s="3" t="s">
        <v>299</v>
      </c>
      <c r="B255" s="3" t="s">
        <v>10</v>
      </c>
      <c r="C255" s="3" t="s">
        <v>11</v>
      </c>
      <c r="D255" s="3" t="s">
        <v>23</v>
      </c>
      <c r="E255" s="3" t="s">
        <v>1622</v>
      </c>
      <c r="F255" s="3" t="s">
        <v>1403</v>
      </c>
      <c r="G255" s="3"/>
      <c r="H255" s="3"/>
      <c r="I255" s="3"/>
      <c r="J255" s="4" t="str">
        <f aca="false">IF(AND($A255&lt;&gt;"",$A255=Подбор!$C$4),MAX(J$1:J254)+1,"")</f>
        <v/>
      </c>
    </row>
    <row r="256" customFormat="false" ht="15" hidden="false" customHeight="false" outlineLevel="0" collapsed="false">
      <c r="A256" s="3" t="s">
        <v>299</v>
      </c>
      <c r="B256" s="3" t="s">
        <v>10</v>
      </c>
      <c r="C256" s="3" t="s">
        <v>11</v>
      </c>
      <c r="D256" s="3" t="s">
        <v>25</v>
      </c>
      <c r="E256" s="3" t="s">
        <v>1623</v>
      </c>
      <c r="F256" s="3" t="s">
        <v>1403</v>
      </c>
      <c r="G256" s="3"/>
      <c r="H256" s="3"/>
      <c r="I256" s="3"/>
      <c r="J256" s="4" t="str">
        <f aca="false">IF(AND($A256&lt;&gt;"",$A256=Подбор!$C$4),MAX(J$1:J255)+1,"")</f>
        <v/>
      </c>
    </row>
    <row r="257" customFormat="false" ht="15" hidden="false" customHeight="false" outlineLevel="0" collapsed="false">
      <c r="A257" s="3" t="s">
        <v>299</v>
      </c>
      <c r="B257" s="3" t="s">
        <v>10</v>
      </c>
      <c r="C257" s="3" t="s">
        <v>14</v>
      </c>
      <c r="D257" s="3" t="s">
        <v>15</v>
      </c>
      <c r="E257" s="3"/>
      <c r="F257" s="3"/>
      <c r="G257" s="3"/>
      <c r="H257" s="3"/>
      <c r="I257" s="3" t="s">
        <v>1440</v>
      </c>
      <c r="J257" s="4" t="str">
        <f aca="false">IF(AND($A257&lt;&gt;"",$A257=Подбор!$C$4),MAX(J$1:J256)+1,"")</f>
        <v/>
      </c>
    </row>
    <row r="258" customFormat="false" ht="15" hidden="false" customHeight="false" outlineLevel="0" collapsed="false">
      <c r="A258" s="3" t="s">
        <v>1393</v>
      </c>
      <c r="B258" s="3" t="s">
        <v>10</v>
      </c>
      <c r="C258" s="3" t="s">
        <v>11</v>
      </c>
      <c r="D258" s="3" t="s">
        <v>12</v>
      </c>
      <c r="E258" s="3" t="s">
        <v>1624</v>
      </c>
      <c r="F258" s="3" t="s">
        <v>1403</v>
      </c>
      <c r="G258" s="3"/>
      <c r="H258" s="3"/>
      <c r="I258" s="3"/>
      <c r="J258" s="4" t="str">
        <f aca="false">IF(AND($A258&lt;&gt;"",$A258=Подбор!$C$4),MAX(J$1:J257)+1,"")</f>
        <v/>
      </c>
    </row>
    <row r="259" customFormat="false" ht="15" hidden="false" customHeight="false" outlineLevel="0" collapsed="false">
      <c r="A259" s="3" t="s">
        <v>305</v>
      </c>
      <c r="B259" s="3" t="s">
        <v>10</v>
      </c>
      <c r="C259" s="3" t="s">
        <v>11</v>
      </c>
      <c r="D259" s="3" t="s">
        <v>12</v>
      </c>
      <c r="E259" s="3" t="s">
        <v>1624</v>
      </c>
      <c r="F259" s="3" t="s">
        <v>1403</v>
      </c>
      <c r="G259" s="3"/>
      <c r="H259" s="3"/>
      <c r="I259" s="3"/>
      <c r="J259" s="4" t="str">
        <f aca="false">IF(AND($A259&lt;&gt;"",$A259=Подбор!$C$4),MAX(J$1:J258)+1,"")</f>
        <v/>
      </c>
    </row>
    <row r="260" customFormat="false" ht="15" hidden="false" customHeight="false" outlineLevel="0" collapsed="false">
      <c r="A260" s="3" t="s">
        <v>307</v>
      </c>
      <c r="B260" s="3" t="s">
        <v>10</v>
      </c>
      <c r="C260" s="3" t="s">
        <v>11</v>
      </c>
      <c r="D260" s="3" t="s">
        <v>12</v>
      </c>
      <c r="E260" s="3" t="s">
        <v>1511</v>
      </c>
      <c r="F260" s="3" t="s">
        <v>1403</v>
      </c>
      <c r="G260" s="3"/>
      <c r="H260" s="3"/>
      <c r="I260" s="3"/>
      <c r="J260" s="4" t="str">
        <f aca="false">IF(AND($A260&lt;&gt;"",$A260=Подбор!$C$4),MAX(J$1:J259)+1,"")</f>
        <v/>
      </c>
    </row>
    <row r="261" customFormat="false" ht="15" hidden="false" customHeight="false" outlineLevel="0" collapsed="false">
      <c r="A261" s="3" t="s">
        <v>307</v>
      </c>
      <c r="B261" s="3" t="s">
        <v>10</v>
      </c>
      <c r="C261" s="3" t="s">
        <v>14</v>
      </c>
      <c r="D261" s="3" t="s">
        <v>15</v>
      </c>
      <c r="E261" s="3" t="s">
        <v>1512</v>
      </c>
      <c r="F261" s="3" t="s">
        <v>1403</v>
      </c>
      <c r="G261" s="3"/>
      <c r="H261" s="3"/>
      <c r="I261" s="3"/>
      <c r="J261" s="4" t="str">
        <f aca="false">IF(AND($A261&lt;&gt;"",$A261=Подбор!$C$4),MAX(J$1:J260)+1,"")</f>
        <v/>
      </c>
    </row>
    <row r="262" customFormat="false" ht="15" hidden="false" customHeight="false" outlineLevel="0" collapsed="false">
      <c r="A262" s="3" t="s">
        <v>308</v>
      </c>
      <c r="B262" s="3" t="s">
        <v>10</v>
      </c>
      <c r="C262" s="3" t="s">
        <v>11</v>
      </c>
      <c r="D262" s="3" t="s">
        <v>12</v>
      </c>
      <c r="E262" s="3" t="s">
        <v>1491</v>
      </c>
      <c r="F262" s="3" t="s">
        <v>1403</v>
      </c>
      <c r="G262" s="3"/>
      <c r="H262" s="3"/>
      <c r="I262" s="3"/>
      <c r="J262" s="4" t="str">
        <f aca="false">IF(AND($A262&lt;&gt;"",$A262=Подбор!$C$4),MAX(J$1:J261)+1,"")</f>
        <v/>
      </c>
    </row>
    <row r="263" customFormat="false" ht="15" hidden="false" customHeight="false" outlineLevel="0" collapsed="false">
      <c r="A263" s="3" t="s">
        <v>310</v>
      </c>
      <c r="B263" s="3" t="s">
        <v>10</v>
      </c>
      <c r="C263" s="3" t="s">
        <v>11</v>
      </c>
      <c r="D263" s="3" t="s">
        <v>12</v>
      </c>
      <c r="E263" s="3" t="s">
        <v>1625</v>
      </c>
      <c r="F263" s="3" t="s">
        <v>1403</v>
      </c>
      <c r="G263" s="3"/>
      <c r="H263" s="3"/>
      <c r="I263" s="3"/>
      <c r="J263" s="4" t="str">
        <f aca="false">IF(AND($A263&lt;&gt;"",$A263=Подбор!$C$4),MAX(J$1:J262)+1,"")</f>
        <v/>
      </c>
    </row>
    <row r="264" customFormat="false" ht="15" hidden="false" customHeight="false" outlineLevel="0" collapsed="false">
      <c r="A264" s="3" t="s">
        <v>310</v>
      </c>
      <c r="B264" s="3" t="s">
        <v>10</v>
      </c>
      <c r="C264" s="3" t="s">
        <v>14</v>
      </c>
      <c r="D264" s="3" t="s">
        <v>15</v>
      </c>
      <c r="E264" s="3" t="s">
        <v>1512</v>
      </c>
      <c r="F264" s="3" t="s">
        <v>1403</v>
      </c>
      <c r="G264" s="3"/>
      <c r="H264" s="3"/>
      <c r="I264" s="3"/>
      <c r="J264" s="4" t="str">
        <f aca="false">IF(AND($A264&lt;&gt;"",$A264=Подбор!$C$4),MAX(J$1:J263)+1,"")</f>
        <v/>
      </c>
    </row>
    <row r="265" customFormat="false" ht="15" hidden="false" customHeight="false" outlineLevel="0" collapsed="false">
      <c r="A265" s="3" t="s">
        <v>312</v>
      </c>
      <c r="B265" s="3" t="s">
        <v>10</v>
      </c>
      <c r="C265" s="3" t="s">
        <v>11</v>
      </c>
      <c r="D265" s="3" t="s">
        <v>12</v>
      </c>
      <c r="E265" s="3" t="s">
        <v>1626</v>
      </c>
      <c r="F265" s="3" t="s">
        <v>1403</v>
      </c>
      <c r="G265" s="3"/>
      <c r="H265" s="3"/>
      <c r="I265" s="3"/>
      <c r="J265" s="4" t="str">
        <f aca="false">IF(AND($A265&lt;&gt;"",$A265=Подбор!$C$4),MAX(J$1:J264)+1,"")</f>
        <v/>
      </c>
    </row>
    <row r="266" customFormat="false" ht="15" hidden="false" customHeight="false" outlineLevel="0" collapsed="false">
      <c r="A266" s="3" t="s">
        <v>312</v>
      </c>
      <c r="B266" s="3" t="s">
        <v>10</v>
      </c>
      <c r="C266" s="3" t="s">
        <v>11</v>
      </c>
      <c r="D266" s="3" t="s">
        <v>21</v>
      </c>
      <c r="E266" s="3" t="s">
        <v>1627</v>
      </c>
      <c r="F266" s="3" t="s">
        <v>1403</v>
      </c>
      <c r="G266" s="3"/>
      <c r="H266" s="3"/>
      <c r="I266" s="3"/>
      <c r="J266" s="4" t="str">
        <f aca="false">IF(AND($A266&lt;&gt;"",$A266=Подбор!$C$4),MAX(J$1:J265)+1,"")</f>
        <v/>
      </c>
    </row>
    <row r="267" customFormat="false" ht="15" hidden="false" customHeight="false" outlineLevel="0" collapsed="false">
      <c r="A267" s="3" t="s">
        <v>312</v>
      </c>
      <c r="B267" s="3" t="s">
        <v>10</v>
      </c>
      <c r="C267" s="3" t="s">
        <v>11</v>
      </c>
      <c r="D267" s="3" t="s">
        <v>23</v>
      </c>
      <c r="E267" s="3" t="s">
        <v>1628</v>
      </c>
      <c r="F267" s="3" t="s">
        <v>1403</v>
      </c>
      <c r="G267" s="3"/>
      <c r="H267" s="3"/>
      <c r="I267" s="3"/>
      <c r="J267" s="4" t="str">
        <f aca="false">IF(AND($A267&lt;&gt;"",$A267=Подбор!$C$4),MAX(J$1:J266)+1,"")</f>
        <v/>
      </c>
    </row>
    <row r="268" customFormat="false" ht="15" hidden="false" customHeight="false" outlineLevel="0" collapsed="false">
      <c r="A268" s="3" t="s">
        <v>312</v>
      </c>
      <c r="B268" s="3" t="s">
        <v>10</v>
      </c>
      <c r="C268" s="3" t="s">
        <v>11</v>
      </c>
      <c r="D268" s="3" t="s">
        <v>25</v>
      </c>
      <c r="E268" s="3" t="s">
        <v>1629</v>
      </c>
      <c r="F268" s="3" t="s">
        <v>1403</v>
      </c>
      <c r="G268" s="3"/>
      <c r="H268" s="3"/>
      <c r="I268" s="3"/>
      <c r="J268" s="4" t="str">
        <f aca="false">IF(AND($A268&lt;&gt;"",$A268=Подбор!$C$4),MAX(J$1:J267)+1,"")</f>
        <v/>
      </c>
    </row>
    <row r="269" customFormat="false" ht="15" hidden="false" customHeight="false" outlineLevel="0" collapsed="false">
      <c r="A269" s="3" t="s">
        <v>312</v>
      </c>
      <c r="B269" s="3" t="s">
        <v>10</v>
      </c>
      <c r="C269" s="3" t="s">
        <v>14</v>
      </c>
      <c r="D269" s="3" t="s">
        <v>15</v>
      </c>
      <c r="E269" s="3" t="s">
        <v>1630</v>
      </c>
      <c r="F269" s="3" t="s">
        <v>1403</v>
      </c>
      <c r="G269" s="3"/>
      <c r="H269" s="3"/>
      <c r="I269" s="3"/>
      <c r="J269" s="4" t="str">
        <f aca="false">IF(AND($A269&lt;&gt;"",$A269=Подбор!$C$4),MAX(J$1:J268)+1,"")</f>
        <v/>
      </c>
    </row>
    <row r="270" customFormat="false" ht="15" hidden="false" customHeight="false" outlineLevel="0" collapsed="false">
      <c r="A270" s="3" t="s">
        <v>318</v>
      </c>
      <c r="B270" s="3" t="s">
        <v>10</v>
      </c>
      <c r="C270" s="3" t="s">
        <v>11</v>
      </c>
      <c r="D270" s="3" t="s">
        <v>12</v>
      </c>
      <c r="E270" s="3" t="s">
        <v>1402</v>
      </c>
      <c r="F270" s="3" t="s">
        <v>1403</v>
      </c>
      <c r="G270" s="3"/>
      <c r="H270" s="3"/>
      <c r="I270" s="3"/>
      <c r="J270" s="4" t="str">
        <f aca="false">IF(AND($A270&lt;&gt;"",$A270=Подбор!$C$4),MAX(J$1:J269)+1,"")</f>
        <v/>
      </c>
    </row>
    <row r="271" customFormat="false" ht="15" hidden="false" customHeight="false" outlineLevel="0" collapsed="false">
      <c r="A271" s="3" t="s">
        <v>318</v>
      </c>
      <c r="B271" s="3" t="s">
        <v>10</v>
      </c>
      <c r="C271" s="3" t="s">
        <v>14</v>
      </c>
      <c r="D271" s="3" t="s">
        <v>15</v>
      </c>
      <c r="E271" s="3" t="s">
        <v>1404</v>
      </c>
      <c r="F271" s="3" t="s">
        <v>1403</v>
      </c>
      <c r="G271" s="3"/>
      <c r="H271" s="3"/>
      <c r="I271" s="3"/>
      <c r="J271" s="4" t="str">
        <f aca="false">IF(AND($A271&lt;&gt;"",$A271=Подбор!$C$4),MAX(J$1:J270)+1,"")</f>
        <v/>
      </c>
    </row>
    <row r="272" customFormat="false" ht="15" hidden="false" customHeight="false" outlineLevel="0" collapsed="false">
      <c r="A272" s="3" t="s">
        <v>318</v>
      </c>
      <c r="B272" s="3" t="s">
        <v>10</v>
      </c>
      <c r="C272" s="3" t="s">
        <v>17</v>
      </c>
      <c r="D272" s="3" t="s">
        <v>15</v>
      </c>
      <c r="E272" s="3" t="s">
        <v>1405</v>
      </c>
      <c r="F272" s="3" t="s">
        <v>1403</v>
      </c>
      <c r="G272" s="3"/>
      <c r="H272" s="3"/>
      <c r="I272" s="3"/>
      <c r="J272" s="4" t="str">
        <f aca="false">IF(AND($A272&lt;&gt;"",$A272=Подбор!$C$4),MAX(J$1:J271)+1,"")</f>
        <v/>
      </c>
    </row>
    <row r="273" customFormat="false" ht="15" hidden="false" customHeight="false" outlineLevel="0" collapsed="false">
      <c r="A273" s="3" t="s">
        <v>319</v>
      </c>
      <c r="B273" s="3" t="s">
        <v>10</v>
      </c>
      <c r="C273" s="3" t="s">
        <v>11</v>
      </c>
      <c r="D273" s="3" t="s">
        <v>12</v>
      </c>
      <c r="E273" s="3" t="s">
        <v>1402</v>
      </c>
      <c r="F273" s="3" t="s">
        <v>1403</v>
      </c>
      <c r="G273" s="3"/>
      <c r="H273" s="3"/>
      <c r="I273" s="3"/>
      <c r="J273" s="4" t="str">
        <f aca="false">IF(AND($A273&lt;&gt;"",$A273=Подбор!$C$4),MAX(J$1:J272)+1,"")</f>
        <v/>
      </c>
    </row>
    <row r="274" customFormat="false" ht="15" hidden="false" customHeight="false" outlineLevel="0" collapsed="false">
      <c r="A274" s="3" t="s">
        <v>319</v>
      </c>
      <c r="B274" s="3" t="s">
        <v>10</v>
      </c>
      <c r="C274" s="3" t="s">
        <v>14</v>
      </c>
      <c r="D274" s="3" t="s">
        <v>15</v>
      </c>
      <c r="E274" s="3" t="s">
        <v>1404</v>
      </c>
      <c r="F274" s="3" t="s">
        <v>1403</v>
      </c>
      <c r="G274" s="3"/>
      <c r="H274" s="3"/>
      <c r="I274" s="3"/>
      <c r="J274" s="4" t="str">
        <f aca="false">IF(AND($A274&lt;&gt;"",$A274=Подбор!$C$4),MAX(J$1:J273)+1,"")</f>
        <v/>
      </c>
    </row>
    <row r="275" customFormat="false" ht="15" hidden="false" customHeight="false" outlineLevel="0" collapsed="false">
      <c r="A275" s="3" t="s">
        <v>319</v>
      </c>
      <c r="B275" s="3" t="s">
        <v>10</v>
      </c>
      <c r="C275" s="3" t="s">
        <v>17</v>
      </c>
      <c r="D275" s="3" t="s">
        <v>15</v>
      </c>
      <c r="E275" s="3" t="s">
        <v>1405</v>
      </c>
      <c r="F275" s="3" t="s">
        <v>1403</v>
      </c>
      <c r="G275" s="3"/>
      <c r="H275" s="3"/>
      <c r="I275" s="3"/>
      <c r="J275" s="4" t="str">
        <f aca="false">IF(AND($A275&lt;&gt;"",$A275=Подбор!$C$4),MAX(J$1:J274)+1,"")</f>
        <v/>
      </c>
    </row>
    <row r="276" customFormat="false" ht="15" hidden="false" customHeight="false" outlineLevel="0" collapsed="false">
      <c r="A276" s="3" t="s">
        <v>320</v>
      </c>
      <c r="B276" s="3" t="s">
        <v>10</v>
      </c>
      <c r="C276" s="3" t="s">
        <v>11</v>
      </c>
      <c r="D276" s="3" t="s">
        <v>12</v>
      </c>
      <c r="E276" s="3" t="s">
        <v>1631</v>
      </c>
      <c r="F276" s="3" t="s">
        <v>1403</v>
      </c>
      <c r="G276" s="3"/>
      <c r="H276" s="3"/>
      <c r="I276" s="3"/>
      <c r="J276" s="4" t="str">
        <f aca="false">IF(AND($A276&lt;&gt;"",$A276=Подбор!$C$4),MAX(J$1:J275)+1,"")</f>
        <v/>
      </c>
    </row>
    <row r="277" customFormat="false" ht="15" hidden="false" customHeight="false" outlineLevel="0" collapsed="false">
      <c r="A277" s="3" t="s">
        <v>320</v>
      </c>
      <c r="B277" s="3" t="s">
        <v>10</v>
      </c>
      <c r="C277" s="3" t="s">
        <v>11</v>
      </c>
      <c r="D277" s="3" t="s">
        <v>21</v>
      </c>
      <c r="E277" s="3" t="s">
        <v>1632</v>
      </c>
      <c r="F277" s="3" t="s">
        <v>1403</v>
      </c>
      <c r="G277" s="3"/>
      <c r="H277" s="3"/>
      <c r="I277" s="3"/>
      <c r="J277" s="4" t="str">
        <f aca="false">IF(AND($A277&lt;&gt;"",$A277=Подбор!$C$4),MAX(J$1:J276)+1,"")</f>
        <v/>
      </c>
    </row>
    <row r="278" customFormat="false" ht="15" hidden="false" customHeight="false" outlineLevel="0" collapsed="false">
      <c r="A278" s="3" t="s">
        <v>320</v>
      </c>
      <c r="B278" s="3" t="s">
        <v>10</v>
      </c>
      <c r="C278" s="3" t="s">
        <v>11</v>
      </c>
      <c r="D278" s="3" t="s">
        <v>23</v>
      </c>
      <c r="E278" s="3" t="s">
        <v>1633</v>
      </c>
      <c r="F278" s="3" t="s">
        <v>1403</v>
      </c>
      <c r="G278" s="3"/>
      <c r="H278" s="3"/>
      <c r="I278" s="3"/>
      <c r="J278" s="4" t="str">
        <f aca="false">IF(AND($A278&lt;&gt;"",$A278=Подбор!$C$4),MAX(J$1:J277)+1,"")</f>
        <v/>
      </c>
    </row>
    <row r="279" customFormat="false" ht="15" hidden="false" customHeight="false" outlineLevel="0" collapsed="false">
      <c r="A279" s="3" t="s">
        <v>320</v>
      </c>
      <c r="B279" s="3" t="s">
        <v>10</v>
      </c>
      <c r="C279" s="3" t="s">
        <v>11</v>
      </c>
      <c r="D279" s="3" t="s">
        <v>25</v>
      </c>
      <c r="E279" s="3" t="s">
        <v>1634</v>
      </c>
      <c r="F279" s="3" t="s">
        <v>1403</v>
      </c>
      <c r="G279" s="3"/>
      <c r="H279" s="3"/>
      <c r="I279" s="3"/>
      <c r="J279" s="4" t="str">
        <f aca="false">IF(AND($A279&lt;&gt;"",$A279=Подбор!$C$4),MAX(J$1:J278)+1,"")</f>
        <v/>
      </c>
    </row>
    <row r="280" customFormat="false" ht="15" hidden="false" customHeight="false" outlineLevel="0" collapsed="false">
      <c r="A280" s="3" t="s">
        <v>320</v>
      </c>
      <c r="B280" s="3" t="s">
        <v>10</v>
      </c>
      <c r="C280" s="3" t="s">
        <v>14</v>
      </c>
      <c r="D280" s="3" t="s">
        <v>15</v>
      </c>
      <c r="E280" s="3"/>
      <c r="F280" s="3"/>
      <c r="G280" s="3"/>
      <c r="H280" s="3"/>
      <c r="I280" s="3" t="s">
        <v>1440</v>
      </c>
      <c r="J280" s="4" t="str">
        <f aca="false">IF(AND($A280&lt;&gt;"",$A280=Подбор!$C$4),MAX(J$1:J279)+1,"")</f>
        <v/>
      </c>
    </row>
    <row r="281" customFormat="false" ht="15" hidden="false" customHeight="false" outlineLevel="0" collapsed="false">
      <c r="A281" s="3" t="s">
        <v>320</v>
      </c>
      <c r="B281" s="3" t="s">
        <v>10</v>
      </c>
      <c r="C281" s="3" t="s">
        <v>30</v>
      </c>
      <c r="D281" s="3" t="s">
        <v>15</v>
      </c>
      <c r="E281" s="3"/>
      <c r="F281" s="3"/>
      <c r="G281" s="3"/>
      <c r="H281" s="3"/>
      <c r="I281" s="3" t="s">
        <v>1440</v>
      </c>
      <c r="J281" s="4" t="str">
        <f aca="false">IF(AND($A281&lt;&gt;"",$A281=Подбор!$C$4),MAX(J$1:J280)+1,"")</f>
        <v/>
      </c>
    </row>
    <row r="282" customFormat="false" ht="15" hidden="false" customHeight="false" outlineLevel="0" collapsed="false">
      <c r="A282" s="3" t="s">
        <v>327</v>
      </c>
      <c r="B282" s="3" t="s">
        <v>10</v>
      </c>
      <c r="C282" s="3" t="s">
        <v>11</v>
      </c>
      <c r="D282" s="3" t="s">
        <v>12</v>
      </c>
      <c r="E282" s="3" t="s">
        <v>1626</v>
      </c>
      <c r="F282" s="3" t="s">
        <v>1403</v>
      </c>
      <c r="G282" s="3"/>
      <c r="H282" s="3"/>
      <c r="I282" s="3"/>
      <c r="J282" s="4" t="str">
        <f aca="false">IF(AND($A282&lt;&gt;"",$A282=Подбор!$C$4),MAX(J$1:J281)+1,"")</f>
        <v/>
      </c>
    </row>
    <row r="283" customFormat="false" ht="15" hidden="false" customHeight="false" outlineLevel="0" collapsed="false">
      <c r="A283" s="3" t="s">
        <v>327</v>
      </c>
      <c r="B283" s="3" t="s">
        <v>10</v>
      </c>
      <c r="C283" s="3" t="s">
        <v>11</v>
      </c>
      <c r="D283" s="3" t="s">
        <v>21</v>
      </c>
      <c r="E283" s="3" t="s">
        <v>1627</v>
      </c>
      <c r="F283" s="3" t="s">
        <v>1403</v>
      </c>
      <c r="G283" s="3"/>
      <c r="H283" s="3"/>
      <c r="I283" s="3"/>
      <c r="J283" s="4" t="str">
        <f aca="false">IF(AND($A283&lt;&gt;"",$A283=Подбор!$C$4),MAX(J$1:J282)+1,"")</f>
        <v/>
      </c>
    </row>
    <row r="284" customFormat="false" ht="15" hidden="false" customHeight="false" outlineLevel="0" collapsed="false">
      <c r="A284" s="3" t="s">
        <v>327</v>
      </c>
      <c r="B284" s="3" t="s">
        <v>10</v>
      </c>
      <c r="C284" s="3" t="s">
        <v>11</v>
      </c>
      <c r="D284" s="3" t="s">
        <v>23</v>
      </c>
      <c r="E284" s="3" t="s">
        <v>1628</v>
      </c>
      <c r="F284" s="3" t="s">
        <v>1403</v>
      </c>
      <c r="G284" s="3"/>
      <c r="H284" s="3"/>
      <c r="I284" s="3"/>
      <c r="J284" s="4" t="str">
        <f aca="false">IF(AND($A284&lt;&gt;"",$A284=Подбор!$C$4),MAX(J$1:J283)+1,"")</f>
        <v/>
      </c>
    </row>
    <row r="285" customFormat="false" ht="15" hidden="false" customHeight="false" outlineLevel="0" collapsed="false">
      <c r="A285" s="3" t="s">
        <v>327</v>
      </c>
      <c r="B285" s="3" t="s">
        <v>10</v>
      </c>
      <c r="C285" s="3" t="s">
        <v>11</v>
      </c>
      <c r="D285" s="3" t="s">
        <v>25</v>
      </c>
      <c r="E285" s="3" t="s">
        <v>1629</v>
      </c>
      <c r="F285" s="3" t="s">
        <v>1403</v>
      </c>
      <c r="G285" s="3"/>
      <c r="H285" s="3"/>
      <c r="I285" s="3"/>
      <c r="J285" s="4" t="str">
        <f aca="false">IF(AND($A285&lt;&gt;"",$A285=Подбор!$C$4),MAX(J$1:J284)+1,"")</f>
        <v/>
      </c>
    </row>
    <row r="286" customFormat="false" ht="15" hidden="false" customHeight="false" outlineLevel="0" collapsed="false">
      <c r="A286" s="3" t="s">
        <v>327</v>
      </c>
      <c r="B286" s="3" t="s">
        <v>10</v>
      </c>
      <c r="C286" s="3" t="s">
        <v>14</v>
      </c>
      <c r="D286" s="3" t="s">
        <v>15</v>
      </c>
      <c r="E286" s="3" t="s">
        <v>1630</v>
      </c>
      <c r="F286" s="3" t="s">
        <v>1403</v>
      </c>
      <c r="G286" s="3"/>
      <c r="H286" s="3"/>
      <c r="I286" s="3"/>
      <c r="J286" s="4" t="str">
        <f aca="false">IF(AND($A286&lt;&gt;"",$A286=Подбор!$C$4),MAX(J$1:J285)+1,"")</f>
        <v/>
      </c>
    </row>
    <row r="287" customFormat="false" ht="15" hidden="false" customHeight="false" outlineLevel="0" collapsed="false">
      <c r="A287" s="3" t="s">
        <v>327</v>
      </c>
      <c r="B287" s="3" t="s">
        <v>10</v>
      </c>
      <c r="C287" s="3" t="s">
        <v>30</v>
      </c>
      <c r="D287" s="3" t="s">
        <v>15</v>
      </c>
      <c r="E287" s="3"/>
      <c r="F287" s="3"/>
      <c r="G287" s="3"/>
      <c r="H287" s="3"/>
      <c r="I287" s="3" t="s">
        <v>1440</v>
      </c>
      <c r="J287" s="4" t="str">
        <f aca="false">IF(AND($A287&lt;&gt;"",$A287=Подбор!$C$4),MAX(J$1:J286)+1,"")</f>
        <v/>
      </c>
    </row>
    <row r="288" customFormat="false" ht="15" hidden="false" customHeight="false" outlineLevel="0" collapsed="false">
      <c r="A288" s="3" t="s">
        <v>329</v>
      </c>
      <c r="B288" s="3" t="s">
        <v>10</v>
      </c>
      <c r="C288" s="3" t="s">
        <v>11</v>
      </c>
      <c r="D288" s="3" t="s">
        <v>12</v>
      </c>
      <c r="E288" s="3" t="s">
        <v>1635</v>
      </c>
      <c r="F288" s="3" t="s">
        <v>1403</v>
      </c>
      <c r="G288" s="3"/>
      <c r="H288" s="3"/>
      <c r="I288" s="3"/>
      <c r="J288" s="4" t="str">
        <f aca="false">IF(AND($A288&lt;&gt;"",$A288=Подбор!$C$4),MAX(J$1:J287)+1,"")</f>
        <v/>
      </c>
    </row>
    <row r="289" customFormat="false" ht="15" hidden="false" customHeight="false" outlineLevel="0" collapsed="false">
      <c r="A289" s="3" t="s">
        <v>329</v>
      </c>
      <c r="B289" s="3" t="s">
        <v>10</v>
      </c>
      <c r="C289" s="3" t="s">
        <v>14</v>
      </c>
      <c r="D289" s="3" t="s">
        <v>15</v>
      </c>
      <c r="E289" s="3" t="s">
        <v>1636</v>
      </c>
      <c r="F289" s="3" t="s">
        <v>1403</v>
      </c>
      <c r="G289" s="3"/>
      <c r="H289" s="3"/>
      <c r="I289" s="3"/>
      <c r="J289" s="4" t="str">
        <f aca="false">IF(AND($A289&lt;&gt;"",$A289=Подбор!$C$4),MAX(J$1:J288)+1,"")</f>
        <v/>
      </c>
    </row>
    <row r="290" customFormat="false" ht="15" hidden="false" customHeight="false" outlineLevel="0" collapsed="false">
      <c r="A290" s="3" t="s">
        <v>332</v>
      </c>
      <c r="B290" s="3" t="s">
        <v>10</v>
      </c>
      <c r="C290" s="3" t="s">
        <v>11</v>
      </c>
      <c r="D290" s="3" t="s">
        <v>12</v>
      </c>
      <c r="E290" s="3" t="s">
        <v>1514</v>
      </c>
      <c r="F290" s="3" t="s">
        <v>1403</v>
      </c>
      <c r="G290" s="3"/>
      <c r="H290" s="3"/>
      <c r="I290" s="3"/>
      <c r="J290" s="4" t="str">
        <f aca="false">IF(AND($A290&lt;&gt;"",$A290=Подбор!$C$4),MAX(J$1:J289)+1,"")</f>
        <v/>
      </c>
    </row>
    <row r="291" customFormat="false" ht="15" hidden="false" customHeight="false" outlineLevel="0" collapsed="false">
      <c r="A291" s="3" t="s">
        <v>332</v>
      </c>
      <c r="B291" s="3" t="s">
        <v>10</v>
      </c>
      <c r="C291" s="3" t="s">
        <v>14</v>
      </c>
      <c r="D291" s="3" t="s">
        <v>15</v>
      </c>
      <c r="E291" s="3" t="s">
        <v>1636</v>
      </c>
      <c r="F291" s="3" t="s">
        <v>1403</v>
      </c>
      <c r="G291" s="3"/>
      <c r="H291" s="3"/>
      <c r="I291" s="3"/>
      <c r="J291" s="4" t="str">
        <f aca="false">IF(AND($A291&lt;&gt;"",$A291=Подбор!$C$4),MAX(J$1:J290)+1,"")</f>
        <v/>
      </c>
    </row>
    <row r="292" customFormat="false" ht="15" hidden="false" customHeight="false" outlineLevel="0" collapsed="false">
      <c r="A292" s="3" t="s">
        <v>333</v>
      </c>
      <c r="B292" s="3" t="s">
        <v>10</v>
      </c>
      <c r="C292" s="3" t="s">
        <v>11</v>
      </c>
      <c r="D292" s="3" t="s">
        <v>12</v>
      </c>
      <c r="E292" s="3" t="s">
        <v>1637</v>
      </c>
      <c r="F292" s="3" t="s">
        <v>1403</v>
      </c>
      <c r="G292" s="3"/>
      <c r="H292" s="3"/>
      <c r="I292" s="3"/>
      <c r="J292" s="4" t="str">
        <f aca="false">IF(AND($A292&lt;&gt;"",$A292=Подбор!$C$4),MAX(J$1:J291)+1,"")</f>
        <v/>
      </c>
    </row>
    <row r="293" customFormat="false" ht="15" hidden="false" customHeight="false" outlineLevel="0" collapsed="false">
      <c r="A293" s="3" t="s">
        <v>333</v>
      </c>
      <c r="B293" s="3" t="s">
        <v>10</v>
      </c>
      <c r="C293" s="3" t="s">
        <v>11</v>
      </c>
      <c r="D293" s="3" t="s">
        <v>21</v>
      </c>
      <c r="E293" s="3" t="s">
        <v>1638</v>
      </c>
      <c r="F293" s="3" t="s">
        <v>1403</v>
      </c>
      <c r="G293" s="3"/>
      <c r="H293" s="3"/>
      <c r="I293" s="3"/>
      <c r="J293" s="4" t="str">
        <f aca="false">IF(AND($A293&lt;&gt;"",$A293=Подбор!$C$4),MAX(J$1:J292)+1,"")</f>
        <v/>
      </c>
    </row>
    <row r="294" customFormat="false" ht="15" hidden="false" customHeight="false" outlineLevel="0" collapsed="false">
      <c r="A294" s="3" t="s">
        <v>333</v>
      </c>
      <c r="B294" s="3" t="s">
        <v>10</v>
      </c>
      <c r="C294" s="3" t="s">
        <v>11</v>
      </c>
      <c r="D294" s="3" t="s">
        <v>23</v>
      </c>
      <c r="E294" s="3" t="s">
        <v>1639</v>
      </c>
      <c r="F294" s="3" t="s">
        <v>1403</v>
      </c>
      <c r="G294" s="3"/>
      <c r="H294" s="3"/>
      <c r="I294" s="3"/>
      <c r="J294" s="4" t="str">
        <f aca="false">IF(AND($A294&lt;&gt;"",$A294=Подбор!$C$4),MAX(J$1:J293)+1,"")</f>
        <v/>
      </c>
    </row>
    <row r="295" customFormat="false" ht="15" hidden="false" customHeight="false" outlineLevel="0" collapsed="false">
      <c r="A295" s="3" t="s">
        <v>333</v>
      </c>
      <c r="B295" s="3" t="s">
        <v>10</v>
      </c>
      <c r="C295" s="3" t="s">
        <v>11</v>
      </c>
      <c r="D295" s="3" t="s">
        <v>25</v>
      </c>
      <c r="E295" s="3" t="s">
        <v>1640</v>
      </c>
      <c r="F295" s="3" t="s">
        <v>1403</v>
      </c>
      <c r="G295" s="3"/>
      <c r="H295" s="3"/>
      <c r="I295" s="3"/>
      <c r="J295" s="4" t="str">
        <f aca="false">IF(AND($A295&lt;&gt;"",$A295=Подбор!$C$4),MAX(J$1:J294)+1,"")</f>
        <v/>
      </c>
    </row>
    <row r="296" customFormat="false" ht="15" hidden="false" customHeight="false" outlineLevel="0" collapsed="false">
      <c r="A296" s="3" t="s">
        <v>338</v>
      </c>
      <c r="B296" s="3" t="s">
        <v>10</v>
      </c>
      <c r="C296" s="3" t="s">
        <v>11</v>
      </c>
      <c r="D296" s="3" t="s">
        <v>12</v>
      </c>
      <c r="E296" s="3" t="s">
        <v>1637</v>
      </c>
      <c r="F296" s="3" t="s">
        <v>1403</v>
      </c>
      <c r="G296" s="3"/>
      <c r="H296" s="3"/>
      <c r="I296" s="3"/>
      <c r="J296" s="4" t="str">
        <f aca="false">IF(AND($A296&lt;&gt;"",$A296=Подбор!$C$4),MAX(J$1:J295)+1,"")</f>
        <v/>
      </c>
    </row>
    <row r="297" customFormat="false" ht="15" hidden="false" customHeight="false" outlineLevel="0" collapsed="false">
      <c r="A297" s="3" t="s">
        <v>338</v>
      </c>
      <c r="B297" s="3" t="s">
        <v>10</v>
      </c>
      <c r="C297" s="3" t="s">
        <v>11</v>
      </c>
      <c r="D297" s="3" t="s">
        <v>21</v>
      </c>
      <c r="E297" s="3" t="s">
        <v>1638</v>
      </c>
      <c r="F297" s="3" t="s">
        <v>1403</v>
      </c>
      <c r="G297" s="3"/>
      <c r="H297" s="3"/>
      <c r="I297" s="3"/>
      <c r="J297" s="4" t="str">
        <f aca="false">IF(AND($A297&lt;&gt;"",$A297=Подбор!$C$4),MAX(J$1:J296)+1,"")</f>
        <v/>
      </c>
    </row>
    <row r="298" customFormat="false" ht="15" hidden="false" customHeight="false" outlineLevel="0" collapsed="false">
      <c r="A298" s="3" t="s">
        <v>338</v>
      </c>
      <c r="B298" s="3" t="s">
        <v>10</v>
      </c>
      <c r="C298" s="3" t="s">
        <v>11</v>
      </c>
      <c r="D298" s="3" t="s">
        <v>23</v>
      </c>
      <c r="E298" s="3" t="s">
        <v>1639</v>
      </c>
      <c r="F298" s="3" t="s">
        <v>1403</v>
      </c>
      <c r="G298" s="3"/>
      <c r="H298" s="3"/>
      <c r="I298" s="3"/>
      <c r="J298" s="4" t="str">
        <f aca="false">IF(AND($A298&lt;&gt;"",$A298=Подбор!$C$4),MAX(J$1:J297)+1,"")</f>
        <v/>
      </c>
    </row>
    <row r="299" customFormat="false" ht="15" hidden="false" customHeight="false" outlineLevel="0" collapsed="false">
      <c r="A299" s="3" t="s">
        <v>338</v>
      </c>
      <c r="B299" s="3" t="s">
        <v>10</v>
      </c>
      <c r="C299" s="3" t="s">
        <v>11</v>
      </c>
      <c r="D299" s="3" t="s">
        <v>25</v>
      </c>
      <c r="E299" s="3" t="s">
        <v>1640</v>
      </c>
      <c r="F299" s="3" t="s">
        <v>1403</v>
      </c>
      <c r="G299" s="3"/>
      <c r="H299" s="3"/>
      <c r="I299" s="3"/>
      <c r="J299" s="4" t="str">
        <f aca="false">IF(AND($A299&lt;&gt;"",$A299=Подбор!$C$4),MAX(J$1:J298)+1,"")</f>
        <v/>
      </c>
    </row>
    <row r="300" customFormat="false" ht="15" hidden="false" customHeight="false" outlineLevel="0" collapsed="false">
      <c r="A300" s="3" t="s">
        <v>339</v>
      </c>
      <c r="B300" s="3" t="s">
        <v>10</v>
      </c>
      <c r="C300" s="3" t="s">
        <v>11</v>
      </c>
      <c r="D300" s="3" t="s">
        <v>12</v>
      </c>
      <c r="E300" s="3" t="s">
        <v>1641</v>
      </c>
      <c r="F300" s="3" t="s">
        <v>1403</v>
      </c>
      <c r="G300" s="3"/>
      <c r="H300" s="3"/>
      <c r="I300" s="3"/>
      <c r="J300" s="4" t="str">
        <f aca="false">IF(AND($A300&lt;&gt;"",$A300=Подбор!$C$4),MAX(J$1:J299)+1,"")</f>
        <v/>
      </c>
    </row>
    <row r="301" customFormat="false" ht="15" hidden="false" customHeight="false" outlineLevel="0" collapsed="false">
      <c r="A301" s="3" t="s">
        <v>339</v>
      </c>
      <c r="B301" s="3" t="s">
        <v>10</v>
      </c>
      <c r="C301" s="3" t="s">
        <v>11</v>
      </c>
      <c r="D301" s="3" t="s">
        <v>21</v>
      </c>
      <c r="E301" s="3" t="s">
        <v>1642</v>
      </c>
      <c r="F301" s="3" t="s">
        <v>1403</v>
      </c>
      <c r="G301" s="3"/>
      <c r="H301" s="3"/>
      <c r="I301" s="3"/>
      <c r="J301" s="4" t="str">
        <f aca="false">IF(AND($A301&lt;&gt;"",$A301=Подбор!$C$4),MAX(J$1:J300)+1,"")</f>
        <v/>
      </c>
    </row>
    <row r="302" customFormat="false" ht="15" hidden="false" customHeight="false" outlineLevel="0" collapsed="false">
      <c r="A302" s="3" t="s">
        <v>339</v>
      </c>
      <c r="B302" s="3" t="s">
        <v>10</v>
      </c>
      <c r="C302" s="3" t="s">
        <v>11</v>
      </c>
      <c r="D302" s="3" t="s">
        <v>23</v>
      </c>
      <c r="E302" s="3" t="s">
        <v>1643</v>
      </c>
      <c r="F302" s="3" t="s">
        <v>1403</v>
      </c>
      <c r="G302" s="3"/>
      <c r="H302" s="3"/>
      <c r="I302" s="3"/>
      <c r="J302" s="4" t="str">
        <f aca="false">IF(AND($A302&lt;&gt;"",$A302=Подбор!$C$4),MAX(J$1:J301)+1,"")</f>
        <v/>
      </c>
    </row>
    <row r="303" customFormat="false" ht="15" hidden="false" customHeight="false" outlineLevel="0" collapsed="false">
      <c r="A303" s="3" t="s">
        <v>339</v>
      </c>
      <c r="B303" s="3" t="s">
        <v>10</v>
      </c>
      <c r="C303" s="3" t="s">
        <v>11</v>
      </c>
      <c r="D303" s="3" t="s">
        <v>25</v>
      </c>
      <c r="E303" s="3" t="s">
        <v>1644</v>
      </c>
      <c r="F303" s="3" t="s">
        <v>1403</v>
      </c>
      <c r="G303" s="3"/>
      <c r="H303" s="3"/>
      <c r="I303" s="3"/>
      <c r="J303" s="4" t="str">
        <f aca="false">IF(AND($A303&lt;&gt;"",$A303=Подбор!$C$4),MAX(J$1:J302)+1,"")</f>
        <v/>
      </c>
    </row>
    <row r="304" customFormat="false" ht="15" hidden="false" customHeight="false" outlineLevel="0" collapsed="false">
      <c r="A304" s="3" t="s">
        <v>339</v>
      </c>
      <c r="B304" s="3" t="s">
        <v>10</v>
      </c>
      <c r="C304" s="3" t="s">
        <v>14</v>
      </c>
      <c r="D304" s="3" t="s">
        <v>15</v>
      </c>
      <c r="E304" s="3" t="s">
        <v>1645</v>
      </c>
      <c r="F304" s="3" t="s">
        <v>1403</v>
      </c>
      <c r="G304" s="3"/>
      <c r="H304" s="3"/>
      <c r="I304" s="3"/>
      <c r="J304" s="4" t="str">
        <f aca="false">IF(AND($A304&lt;&gt;"",$A304=Подбор!$C$4),MAX(J$1:J303)+1,"")</f>
        <v/>
      </c>
    </row>
    <row r="305" customFormat="false" ht="15" hidden="false" customHeight="false" outlineLevel="0" collapsed="false">
      <c r="A305" s="3" t="s">
        <v>339</v>
      </c>
      <c r="B305" s="3" t="s">
        <v>10</v>
      </c>
      <c r="C305" s="3" t="s">
        <v>14</v>
      </c>
      <c r="D305" s="3" t="s">
        <v>21</v>
      </c>
      <c r="E305" s="3" t="s">
        <v>1646</v>
      </c>
      <c r="F305" s="3" t="s">
        <v>1403</v>
      </c>
      <c r="G305" s="3"/>
      <c r="H305" s="3"/>
      <c r="I305" s="3"/>
      <c r="J305" s="4" t="str">
        <f aca="false">IF(AND($A305&lt;&gt;"",$A305=Подбор!$C$4),MAX(J$1:J304)+1,"")</f>
        <v/>
      </c>
    </row>
    <row r="306" customFormat="false" ht="15" hidden="false" customHeight="false" outlineLevel="0" collapsed="false">
      <c r="A306" s="3" t="s">
        <v>339</v>
      </c>
      <c r="B306" s="3" t="s">
        <v>10</v>
      </c>
      <c r="C306" s="3" t="s">
        <v>14</v>
      </c>
      <c r="D306" s="3" t="s">
        <v>23</v>
      </c>
      <c r="E306" s="3" t="s">
        <v>1647</v>
      </c>
      <c r="F306" s="3" t="s">
        <v>1403</v>
      </c>
      <c r="G306" s="3"/>
      <c r="H306" s="3"/>
      <c r="I306" s="3"/>
      <c r="J306" s="4" t="str">
        <f aca="false">IF(AND($A306&lt;&gt;"",$A306=Подбор!$C$4),MAX(J$1:J305)+1,"")</f>
        <v/>
      </c>
    </row>
    <row r="307" customFormat="false" ht="15" hidden="false" customHeight="false" outlineLevel="0" collapsed="false">
      <c r="A307" s="3" t="s">
        <v>339</v>
      </c>
      <c r="B307" s="3" t="s">
        <v>10</v>
      </c>
      <c r="C307" s="3" t="s">
        <v>14</v>
      </c>
      <c r="D307" s="3" t="s">
        <v>25</v>
      </c>
      <c r="E307" s="3" t="s">
        <v>1648</v>
      </c>
      <c r="F307" s="3" t="s">
        <v>1403</v>
      </c>
      <c r="G307" s="3"/>
      <c r="H307" s="3"/>
      <c r="I307" s="3"/>
      <c r="J307" s="4" t="str">
        <f aca="false">IF(AND($A307&lt;&gt;"",$A307=Подбор!$C$4),MAX(J$1:J306)+1,"")</f>
        <v/>
      </c>
    </row>
    <row r="308" customFormat="false" ht="15" hidden="false" customHeight="false" outlineLevel="0" collapsed="false">
      <c r="A308" s="3" t="s">
        <v>339</v>
      </c>
      <c r="B308" s="3" t="s">
        <v>10</v>
      </c>
      <c r="C308" s="3" t="s">
        <v>30</v>
      </c>
      <c r="D308" s="3" t="s">
        <v>15</v>
      </c>
      <c r="E308" s="3" t="s">
        <v>1649</v>
      </c>
      <c r="F308" s="3" t="s">
        <v>1403</v>
      </c>
      <c r="G308" s="3"/>
      <c r="H308" s="3"/>
      <c r="I308" s="3"/>
      <c r="J308" s="4" t="str">
        <f aca="false">IF(AND($A308&lt;&gt;"",$A308=Подбор!$C$4),MAX(J$1:J307)+1,"")</f>
        <v/>
      </c>
    </row>
    <row r="309" customFormat="false" ht="15" hidden="false" customHeight="false" outlineLevel="0" collapsed="false">
      <c r="A309" s="3" t="s">
        <v>347</v>
      </c>
      <c r="B309" s="3" t="s">
        <v>10</v>
      </c>
      <c r="C309" s="3" t="s">
        <v>11</v>
      </c>
      <c r="D309" s="3" t="s">
        <v>12</v>
      </c>
      <c r="E309" s="3" t="s">
        <v>1641</v>
      </c>
      <c r="F309" s="3" t="s">
        <v>1403</v>
      </c>
      <c r="G309" s="3"/>
      <c r="H309" s="3"/>
      <c r="I309" s="3"/>
      <c r="J309" s="4" t="str">
        <f aca="false">IF(AND($A309&lt;&gt;"",$A309=Подбор!$C$4),MAX(J$1:J308)+1,"")</f>
        <v/>
      </c>
    </row>
    <row r="310" customFormat="false" ht="15" hidden="false" customHeight="false" outlineLevel="0" collapsed="false">
      <c r="A310" s="3" t="s">
        <v>347</v>
      </c>
      <c r="B310" s="3" t="s">
        <v>10</v>
      </c>
      <c r="C310" s="3" t="s">
        <v>11</v>
      </c>
      <c r="D310" s="3" t="s">
        <v>21</v>
      </c>
      <c r="E310" s="3" t="s">
        <v>1642</v>
      </c>
      <c r="F310" s="3" t="s">
        <v>1403</v>
      </c>
      <c r="G310" s="3"/>
      <c r="H310" s="3"/>
      <c r="I310" s="3"/>
      <c r="J310" s="4" t="str">
        <f aca="false">IF(AND($A310&lt;&gt;"",$A310=Подбор!$C$4),MAX(J$1:J309)+1,"")</f>
        <v/>
      </c>
    </row>
    <row r="311" customFormat="false" ht="15" hidden="false" customHeight="false" outlineLevel="0" collapsed="false">
      <c r="A311" s="3" t="s">
        <v>347</v>
      </c>
      <c r="B311" s="3" t="s">
        <v>10</v>
      </c>
      <c r="C311" s="3" t="s">
        <v>11</v>
      </c>
      <c r="D311" s="3" t="s">
        <v>23</v>
      </c>
      <c r="E311" s="3" t="s">
        <v>1643</v>
      </c>
      <c r="F311" s="3" t="s">
        <v>1403</v>
      </c>
      <c r="G311" s="3"/>
      <c r="H311" s="3"/>
      <c r="I311" s="3"/>
      <c r="J311" s="4" t="str">
        <f aca="false">IF(AND($A311&lt;&gt;"",$A311=Подбор!$C$4),MAX(J$1:J310)+1,"")</f>
        <v/>
      </c>
    </row>
    <row r="312" customFormat="false" ht="15" hidden="false" customHeight="false" outlineLevel="0" collapsed="false">
      <c r="A312" s="3" t="s">
        <v>347</v>
      </c>
      <c r="B312" s="3" t="s">
        <v>10</v>
      </c>
      <c r="C312" s="3" t="s">
        <v>11</v>
      </c>
      <c r="D312" s="3" t="s">
        <v>25</v>
      </c>
      <c r="E312" s="3" t="s">
        <v>1644</v>
      </c>
      <c r="F312" s="3" t="s">
        <v>1403</v>
      </c>
      <c r="G312" s="3"/>
      <c r="H312" s="3"/>
      <c r="I312" s="3"/>
      <c r="J312" s="4" t="str">
        <f aca="false">IF(AND($A312&lt;&gt;"",$A312=Подбор!$C$4),MAX(J$1:J311)+1,"")</f>
        <v/>
      </c>
    </row>
    <row r="313" customFormat="false" ht="15" hidden="false" customHeight="false" outlineLevel="0" collapsed="false">
      <c r="A313" s="3" t="s">
        <v>347</v>
      </c>
      <c r="B313" s="3" t="s">
        <v>10</v>
      </c>
      <c r="C313" s="3" t="s">
        <v>14</v>
      </c>
      <c r="D313" s="3" t="s">
        <v>15</v>
      </c>
      <c r="E313" s="3" t="s">
        <v>1645</v>
      </c>
      <c r="F313" s="3" t="s">
        <v>1403</v>
      </c>
      <c r="G313" s="3"/>
      <c r="H313" s="3"/>
      <c r="I313" s="3"/>
      <c r="J313" s="4" t="str">
        <f aca="false">IF(AND($A313&lt;&gt;"",$A313=Подбор!$C$4),MAX(J$1:J312)+1,"")</f>
        <v/>
      </c>
    </row>
    <row r="314" customFormat="false" ht="15" hidden="false" customHeight="false" outlineLevel="0" collapsed="false">
      <c r="A314" s="3" t="s">
        <v>347</v>
      </c>
      <c r="B314" s="3" t="s">
        <v>10</v>
      </c>
      <c r="C314" s="3" t="s">
        <v>30</v>
      </c>
      <c r="D314" s="3" t="s">
        <v>15</v>
      </c>
      <c r="E314" s="3" t="s">
        <v>1649</v>
      </c>
      <c r="F314" s="3" t="s">
        <v>1403</v>
      </c>
      <c r="G314" s="3"/>
      <c r="H314" s="3"/>
      <c r="I314" s="3"/>
      <c r="J314" s="4" t="str">
        <f aca="false">IF(AND($A314&lt;&gt;"",$A314=Подбор!$C$4),MAX(J$1:J313)+1,"")</f>
        <v/>
      </c>
    </row>
    <row r="315" customFormat="false" ht="15" hidden="false" customHeight="false" outlineLevel="0" collapsed="false">
      <c r="A315" s="3" t="s">
        <v>348</v>
      </c>
      <c r="B315" s="3" t="s">
        <v>10</v>
      </c>
      <c r="C315" s="3" t="s">
        <v>11</v>
      </c>
      <c r="D315" s="3" t="s">
        <v>12</v>
      </c>
      <c r="E315" s="3" t="s">
        <v>1650</v>
      </c>
      <c r="F315" s="3" t="s">
        <v>1403</v>
      </c>
      <c r="G315" s="3"/>
      <c r="H315" s="3"/>
      <c r="I315" s="3"/>
      <c r="J315" s="4" t="str">
        <f aca="false">IF(AND($A315&lt;&gt;"",$A315=Подбор!$C$4),MAX(J$1:J314)+1,"")</f>
        <v/>
      </c>
    </row>
    <row r="316" customFormat="false" ht="15" hidden="false" customHeight="false" outlineLevel="0" collapsed="false">
      <c r="A316" s="3" t="s">
        <v>348</v>
      </c>
      <c r="B316" s="3" t="s">
        <v>10</v>
      </c>
      <c r="C316" s="3" t="s">
        <v>11</v>
      </c>
      <c r="D316" s="3" t="s">
        <v>12</v>
      </c>
      <c r="E316" s="3" t="s">
        <v>1651</v>
      </c>
      <c r="F316" s="3" t="s">
        <v>1421</v>
      </c>
      <c r="G316" s="3" t="n">
        <v>15000</v>
      </c>
      <c r="H316" s="3"/>
      <c r="I316" s="3" t="s">
        <v>1415</v>
      </c>
      <c r="J316" s="4" t="str">
        <f aca="false">IF(AND($A316&lt;&gt;"",$A316=Подбор!$C$4),MAX(J$1:J315)+1,"")</f>
        <v/>
      </c>
    </row>
    <row r="317" customFormat="false" ht="15" hidden="false" customHeight="false" outlineLevel="0" collapsed="false">
      <c r="A317" s="3" t="s">
        <v>348</v>
      </c>
      <c r="B317" s="3" t="s">
        <v>10</v>
      </c>
      <c r="C317" s="3" t="s">
        <v>11</v>
      </c>
      <c r="D317" s="3" t="s">
        <v>12</v>
      </c>
      <c r="E317" s="3" t="s">
        <v>1652</v>
      </c>
      <c r="F317" s="3" t="s">
        <v>1417</v>
      </c>
      <c r="G317" s="3"/>
      <c r="H317" s="3"/>
      <c r="I317" s="3"/>
      <c r="J317" s="4" t="str">
        <f aca="false">IF(AND($A317&lt;&gt;"",$A317=Подбор!$C$4),MAX(J$1:J316)+1,"")</f>
        <v/>
      </c>
    </row>
    <row r="318" customFormat="false" ht="15" hidden="false" customHeight="false" outlineLevel="0" collapsed="false">
      <c r="A318" s="3" t="s">
        <v>348</v>
      </c>
      <c r="B318" s="3" t="s">
        <v>10</v>
      </c>
      <c r="C318" s="3" t="s">
        <v>14</v>
      </c>
      <c r="D318" s="3" t="s">
        <v>15</v>
      </c>
      <c r="E318" s="3" t="s">
        <v>1653</v>
      </c>
      <c r="F318" s="3" t="s">
        <v>1403</v>
      </c>
      <c r="G318" s="3"/>
      <c r="H318" s="3"/>
      <c r="I318" s="3"/>
      <c r="J318" s="4" t="str">
        <f aca="false">IF(AND($A318&lt;&gt;"",$A318=Подбор!$C$4),MAX(J$1:J317)+1,"")</f>
        <v/>
      </c>
    </row>
    <row r="319" customFormat="false" ht="15" hidden="false" customHeight="false" outlineLevel="0" collapsed="false">
      <c r="A319" s="3" t="s">
        <v>351</v>
      </c>
      <c r="B319" s="3" t="s">
        <v>10</v>
      </c>
      <c r="C319" s="3" t="s">
        <v>11</v>
      </c>
      <c r="D319" s="3" t="s">
        <v>12</v>
      </c>
      <c r="E319" s="3" t="s">
        <v>1650</v>
      </c>
      <c r="F319" s="3" t="s">
        <v>1403</v>
      </c>
      <c r="G319" s="3"/>
      <c r="H319" s="3"/>
      <c r="I319" s="3"/>
      <c r="J319" s="4" t="str">
        <f aca="false">IF(AND($A319&lt;&gt;"",$A319=Подбор!$C$4),MAX(J$1:J318)+1,"")</f>
        <v/>
      </c>
    </row>
    <row r="320" customFormat="false" ht="15" hidden="false" customHeight="false" outlineLevel="0" collapsed="false">
      <c r="A320" s="3" t="s">
        <v>351</v>
      </c>
      <c r="B320" s="3" t="s">
        <v>10</v>
      </c>
      <c r="C320" s="3" t="s">
        <v>11</v>
      </c>
      <c r="D320" s="3" t="s">
        <v>12</v>
      </c>
      <c r="E320" s="3" t="s">
        <v>1651</v>
      </c>
      <c r="F320" s="3" t="s">
        <v>1421</v>
      </c>
      <c r="G320" s="3" t="n">
        <v>15000</v>
      </c>
      <c r="H320" s="3"/>
      <c r="I320" s="3" t="s">
        <v>1415</v>
      </c>
      <c r="J320" s="4" t="str">
        <f aca="false">IF(AND($A320&lt;&gt;"",$A320=Подбор!$C$4),MAX(J$1:J319)+1,"")</f>
        <v/>
      </c>
    </row>
    <row r="321" customFormat="false" ht="15" hidden="false" customHeight="false" outlineLevel="0" collapsed="false">
      <c r="A321" s="3" t="s">
        <v>351</v>
      </c>
      <c r="B321" s="3" t="s">
        <v>10</v>
      </c>
      <c r="C321" s="3" t="s">
        <v>14</v>
      </c>
      <c r="D321" s="3" t="s">
        <v>15</v>
      </c>
      <c r="E321" s="3" t="s">
        <v>1653</v>
      </c>
      <c r="F321" s="3" t="s">
        <v>1403</v>
      </c>
      <c r="G321" s="3"/>
      <c r="H321" s="3"/>
      <c r="I321" s="3"/>
      <c r="J321" s="4" t="str">
        <f aca="false">IF(AND($A321&lt;&gt;"",$A321=Подбор!$C$4),MAX(J$1:J320)+1,"")</f>
        <v/>
      </c>
    </row>
    <row r="322" customFormat="false" ht="15" hidden="false" customHeight="false" outlineLevel="0" collapsed="false">
      <c r="A322" s="3" t="s">
        <v>352</v>
      </c>
      <c r="B322" s="3" t="s">
        <v>10</v>
      </c>
      <c r="C322" s="3" t="s">
        <v>11</v>
      </c>
      <c r="D322" s="3" t="s">
        <v>12</v>
      </c>
      <c r="E322" s="3" t="s">
        <v>1650</v>
      </c>
      <c r="F322" s="3" t="s">
        <v>1403</v>
      </c>
      <c r="G322" s="3"/>
      <c r="H322" s="3"/>
      <c r="I322" s="3"/>
      <c r="J322" s="4" t="str">
        <f aca="false">IF(AND($A322&lt;&gt;"",$A322=Подбор!$C$4),MAX(J$1:J321)+1,"")</f>
        <v/>
      </c>
    </row>
    <row r="323" customFormat="false" ht="15" hidden="false" customHeight="false" outlineLevel="0" collapsed="false">
      <c r="A323" s="3" t="s">
        <v>352</v>
      </c>
      <c r="B323" s="3" t="s">
        <v>10</v>
      </c>
      <c r="C323" s="3" t="s">
        <v>11</v>
      </c>
      <c r="D323" s="3" t="s">
        <v>12</v>
      </c>
      <c r="E323" s="3" t="s">
        <v>1651</v>
      </c>
      <c r="F323" s="3" t="s">
        <v>1421</v>
      </c>
      <c r="G323" s="3" t="n">
        <v>15000</v>
      </c>
      <c r="H323" s="3"/>
      <c r="I323" s="3" t="s">
        <v>1415</v>
      </c>
      <c r="J323" s="4" t="str">
        <f aca="false">IF(AND($A323&lt;&gt;"",$A323=Подбор!$C$4),MAX(J$1:J322)+1,"")</f>
        <v/>
      </c>
    </row>
    <row r="324" customFormat="false" ht="15" hidden="false" customHeight="false" outlineLevel="0" collapsed="false">
      <c r="A324" s="3" t="s">
        <v>352</v>
      </c>
      <c r="B324" s="3" t="s">
        <v>10</v>
      </c>
      <c r="C324" s="3" t="s">
        <v>14</v>
      </c>
      <c r="D324" s="3" t="s">
        <v>15</v>
      </c>
      <c r="E324" s="3" t="s">
        <v>1653</v>
      </c>
      <c r="F324" s="3" t="s">
        <v>1403</v>
      </c>
      <c r="G324" s="3"/>
      <c r="H324" s="3"/>
      <c r="I324" s="3"/>
      <c r="J324" s="4" t="str">
        <f aca="false">IF(AND($A324&lt;&gt;"",$A324=Подбор!$C$4),MAX(J$1:J323)+1,"")</f>
        <v/>
      </c>
    </row>
    <row r="325" customFormat="false" ht="15" hidden="false" customHeight="false" outlineLevel="0" collapsed="false">
      <c r="A325" s="3" t="s">
        <v>353</v>
      </c>
      <c r="B325" s="3" t="s">
        <v>10</v>
      </c>
      <c r="C325" s="3" t="s">
        <v>11</v>
      </c>
      <c r="D325" s="3" t="s">
        <v>12</v>
      </c>
      <c r="E325" s="3" t="s">
        <v>1654</v>
      </c>
      <c r="F325" s="3" t="s">
        <v>1403</v>
      </c>
      <c r="G325" s="3"/>
      <c r="H325" s="3"/>
      <c r="I325" s="3"/>
      <c r="J325" s="4" t="str">
        <f aca="false">IF(AND($A325&lt;&gt;"",$A325=Подбор!$C$4),MAX(J$1:J324)+1,"")</f>
        <v/>
      </c>
    </row>
    <row r="326" customFormat="false" ht="15" hidden="false" customHeight="false" outlineLevel="0" collapsed="false">
      <c r="A326" s="3" t="s">
        <v>353</v>
      </c>
      <c r="B326" s="3" t="s">
        <v>10</v>
      </c>
      <c r="C326" s="3" t="s">
        <v>11</v>
      </c>
      <c r="D326" s="3" t="s">
        <v>12</v>
      </c>
      <c r="E326" s="3" t="s">
        <v>1655</v>
      </c>
      <c r="F326" s="3" t="s">
        <v>1421</v>
      </c>
      <c r="G326" s="3"/>
      <c r="H326" s="3"/>
      <c r="I326" s="3"/>
      <c r="J326" s="4" t="str">
        <f aca="false">IF(AND($A326&lt;&gt;"",$A326=Подбор!$C$4),MAX(J$1:J325)+1,"")</f>
        <v/>
      </c>
    </row>
    <row r="327" customFormat="false" ht="15" hidden="false" customHeight="false" outlineLevel="0" collapsed="false">
      <c r="A327" s="3" t="s">
        <v>353</v>
      </c>
      <c r="B327" s="3" t="s">
        <v>10</v>
      </c>
      <c r="C327" s="3" t="s">
        <v>14</v>
      </c>
      <c r="D327" s="3" t="s">
        <v>15</v>
      </c>
      <c r="E327" s="3" t="s">
        <v>1656</v>
      </c>
      <c r="F327" s="3" t="s">
        <v>1403</v>
      </c>
      <c r="G327" s="3"/>
      <c r="H327" s="3"/>
      <c r="I327" s="3"/>
      <c r="J327" s="4" t="str">
        <f aca="false">IF(AND($A327&lt;&gt;"",$A327=Подбор!$C$4),MAX(J$1:J326)+1,"")</f>
        <v/>
      </c>
    </row>
    <row r="328" customFormat="false" ht="15" hidden="false" customHeight="false" outlineLevel="0" collapsed="false">
      <c r="A328" s="3" t="s">
        <v>353</v>
      </c>
      <c r="B328" s="3" t="s">
        <v>10</v>
      </c>
      <c r="C328" s="3" t="s">
        <v>17</v>
      </c>
      <c r="D328" s="3" t="s">
        <v>15</v>
      </c>
      <c r="E328" s="3" t="s">
        <v>1657</v>
      </c>
      <c r="F328" s="3" t="s">
        <v>1403</v>
      </c>
      <c r="G328" s="3"/>
      <c r="H328" s="3"/>
      <c r="I328" s="3"/>
      <c r="J328" s="4" t="str">
        <f aca="false">IF(AND($A328&lt;&gt;"",$A328=Подбор!$C$4),MAX(J$1:J327)+1,"")</f>
        <v/>
      </c>
    </row>
    <row r="329" customFormat="false" ht="15" hidden="false" customHeight="false" outlineLevel="0" collapsed="false">
      <c r="A329" s="3" t="s">
        <v>356</v>
      </c>
      <c r="B329" s="3" t="s">
        <v>10</v>
      </c>
      <c r="C329" s="3" t="s">
        <v>11</v>
      </c>
      <c r="D329" s="3" t="s">
        <v>12</v>
      </c>
      <c r="E329" s="3" t="s">
        <v>1654</v>
      </c>
      <c r="F329" s="3" t="s">
        <v>1403</v>
      </c>
      <c r="G329" s="3"/>
      <c r="H329" s="3"/>
      <c r="I329" s="3"/>
      <c r="J329" s="4" t="str">
        <f aca="false">IF(AND($A329&lt;&gt;"",$A329=Подбор!$C$4),MAX(J$1:J328)+1,"")</f>
        <v/>
      </c>
    </row>
    <row r="330" customFormat="false" ht="15" hidden="false" customHeight="false" outlineLevel="0" collapsed="false">
      <c r="A330" s="3" t="s">
        <v>356</v>
      </c>
      <c r="B330" s="3" t="s">
        <v>10</v>
      </c>
      <c r="C330" s="3" t="s">
        <v>11</v>
      </c>
      <c r="D330" s="3" t="s">
        <v>12</v>
      </c>
      <c r="E330" s="3" t="s">
        <v>1655</v>
      </c>
      <c r="F330" s="3" t="s">
        <v>1421</v>
      </c>
      <c r="G330" s="3"/>
      <c r="H330" s="3"/>
      <c r="I330" s="3"/>
      <c r="J330" s="4" t="str">
        <f aca="false">IF(AND($A330&lt;&gt;"",$A330=Подбор!$C$4),MAX(J$1:J329)+1,"")</f>
        <v/>
      </c>
    </row>
    <row r="331" customFormat="false" ht="15" hidden="false" customHeight="false" outlineLevel="0" collapsed="false">
      <c r="A331" s="3" t="s">
        <v>356</v>
      </c>
      <c r="B331" s="3" t="s">
        <v>10</v>
      </c>
      <c r="C331" s="3" t="s">
        <v>14</v>
      </c>
      <c r="D331" s="3" t="s">
        <v>15</v>
      </c>
      <c r="E331" s="3" t="s">
        <v>1656</v>
      </c>
      <c r="F331" s="3" t="s">
        <v>1403</v>
      </c>
      <c r="G331" s="3"/>
      <c r="H331" s="3"/>
      <c r="I331" s="3"/>
      <c r="J331" s="4" t="str">
        <f aca="false">IF(AND($A331&lt;&gt;"",$A331=Подбор!$C$4),MAX(J$1:J330)+1,"")</f>
        <v/>
      </c>
    </row>
    <row r="332" customFormat="false" ht="15" hidden="false" customHeight="false" outlineLevel="0" collapsed="false">
      <c r="A332" s="3" t="s">
        <v>356</v>
      </c>
      <c r="B332" s="3" t="s">
        <v>10</v>
      </c>
      <c r="C332" s="3" t="s">
        <v>17</v>
      </c>
      <c r="D332" s="3" t="s">
        <v>15</v>
      </c>
      <c r="E332" s="3" t="s">
        <v>1657</v>
      </c>
      <c r="F332" s="3" t="s">
        <v>1403</v>
      </c>
      <c r="G332" s="3"/>
      <c r="H332" s="3"/>
      <c r="I332" s="3"/>
      <c r="J332" s="4" t="str">
        <f aca="false">IF(AND($A332&lt;&gt;"",$A332=Подбор!$C$4),MAX(J$1:J331)+1,"")</f>
        <v/>
      </c>
    </row>
    <row r="333" customFormat="false" ht="15" hidden="false" customHeight="false" outlineLevel="0" collapsed="false">
      <c r="A333" s="3" t="s">
        <v>357</v>
      </c>
      <c r="B333" s="3" t="s">
        <v>10</v>
      </c>
      <c r="C333" s="3" t="s">
        <v>11</v>
      </c>
      <c r="D333" s="3" t="s">
        <v>12</v>
      </c>
      <c r="E333" s="3" t="s">
        <v>1658</v>
      </c>
      <c r="F333" s="3" t="s">
        <v>1403</v>
      </c>
      <c r="G333" s="3"/>
      <c r="H333" s="3"/>
      <c r="I333" s="3"/>
      <c r="J333" s="4" t="str">
        <f aca="false">IF(AND($A333&lt;&gt;"",$A333=Подбор!$C$4),MAX(J$1:J332)+1,"")</f>
        <v/>
      </c>
    </row>
    <row r="334" customFormat="false" ht="15" hidden="false" customHeight="false" outlineLevel="0" collapsed="false">
      <c r="A334" s="3" t="s">
        <v>357</v>
      </c>
      <c r="B334" s="3" t="s">
        <v>10</v>
      </c>
      <c r="C334" s="3" t="s">
        <v>11</v>
      </c>
      <c r="D334" s="3" t="s">
        <v>21</v>
      </c>
      <c r="E334" s="3" t="s">
        <v>1659</v>
      </c>
      <c r="F334" s="3" t="s">
        <v>1403</v>
      </c>
      <c r="G334" s="3"/>
      <c r="H334" s="3"/>
      <c r="I334" s="3"/>
      <c r="J334" s="4" t="str">
        <f aca="false">IF(AND($A334&lt;&gt;"",$A334=Подбор!$C$4),MAX(J$1:J333)+1,"")</f>
        <v/>
      </c>
    </row>
    <row r="335" customFormat="false" ht="15" hidden="false" customHeight="false" outlineLevel="0" collapsed="false">
      <c r="A335" s="3" t="s">
        <v>357</v>
      </c>
      <c r="B335" s="3" t="s">
        <v>10</v>
      </c>
      <c r="C335" s="3" t="s">
        <v>11</v>
      </c>
      <c r="D335" s="3" t="s">
        <v>23</v>
      </c>
      <c r="E335" s="3" t="s">
        <v>1660</v>
      </c>
      <c r="F335" s="3" t="s">
        <v>1403</v>
      </c>
      <c r="G335" s="3"/>
      <c r="H335" s="3"/>
      <c r="I335" s="3"/>
      <c r="J335" s="4" t="str">
        <f aca="false">IF(AND($A335&lt;&gt;"",$A335=Подбор!$C$4),MAX(J$1:J334)+1,"")</f>
        <v/>
      </c>
    </row>
    <row r="336" customFormat="false" ht="15" hidden="false" customHeight="false" outlineLevel="0" collapsed="false">
      <c r="A336" s="3" t="s">
        <v>357</v>
      </c>
      <c r="B336" s="3" t="s">
        <v>10</v>
      </c>
      <c r="C336" s="3" t="s">
        <v>11</v>
      </c>
      <c r="D336" s="3" t="s">
        <v>25</v>
      </c>
      <c r="E336" s="3" t="s">
        <v>1661</v>
      </c>
      <c r="F336" s="3" t="s">
        <v>1403</v>
      </c>
      <c r="G336" s="3"/>
      <c r="H336" s="3"/>
      <c r="I336" s="3"/>
      <c r="J336" s="4" t="str">
        <f aca="false">IF(AND($A336&lt;&gt;"",$A336=Подбор!$C$4),MAX(J$1:J335)+1,"")</f>
        <v/>
      </c>
    </row>
    <row r="337" customFormat="false" ht="15" hidden="false" customHeight="false" outlineLevel="0" collapsed="false">
      <c r="A337" s="3" t="s">
        <v>357</v>
      </c>
      <c r="B337" s="3" t="s">
        <v>10</v>
      </c>
      <c r="C337" s="3" t="s">
        <v>14</v>
      </c>
      <c r="D337" s="3" t="s">
        <v>15</v>
      </c>
      <c r="E337" s="3" t="s">
        <v>1662</v>
      </c>
      <c r="F337" s="3" t="s">
        <v>1403</v>
      </c>
      <c r="G337" s="3"/>
      <c r="H337" s="3"/>
      <c r="I337" s="3"/>
      <c r="J337" s="4" t="str">
        <f aca="false">IF(AND($A337&lt;&gt;"",$A337=Подбор!$C$4),MAX(J$1:J336)+1,"")</f>
        <v/>
      </c>
    </row>
    <row r="338" customFormat="false" ht="15" hidden="false" customHeight="false" outlineLevel="0" collapsed="false">
      <c r="A338" s="3" t="s">
        <v>357</v>
      </c>
      <c r="B338" s="3" t="s">
        <v>10</v>
      </c>
      <c r="C338" s="3" t="s">
        <v>30</v>
      </c>
      <c r="D338" s="3" t="s">
        <v>15</v>
      </c>
      <c r="E338" s="3"/>
      <c r="F338" s="3"/>
      <c r="G338" s="3"/>
      <c r="H338" s="3"/>
      <c r="I338" s="3" t="s">
        <v>1440</v>
      </c>
      <c r="J338" s="4" t="str">
        <f aca="false">IF(AND($A338&lt;&gt;"",$A338=Подбор!$C$4),MAX(J$1:J337)+1,"")</f>
        <v/>
      </c>
    </row>
    <row r="339" customFormat="false" ht="15" hidden="false" customHeight="false" outlineLevel="0" collapsed="false">
      <c r="A339" s="3" t="s">
        <v>357</v>
      </c>
      <c r="B339" s="3" t="s">
        <v>10</v>
      </c>
      <c r="C339" s="3" t="s">
        <v>17</v>
      </c>
      <c r="D339" s="3" t="s">
        <v>15</v>
      </c>
      <c r="E339" s="3" t="s">
        <v>1657</v>
      </c>
      <c r="F339" s="3" t="s">
        <v>1403</v>
      </c>
      <c r="G339" s="3"/>
      <c r="H339" s="3"/>
      <c r="I339" s="3"/>
      <c r="J339" s="4" t="str">
        <f aca="false">IF(AND($A339&lt;&gt;"",$A339=Подбор!$C$4),MAX(J$1:J338)+1,"")</f>
        <v/>
      </c>
    </row>
    <row r="340" customFormat="false" ht="15" hidden="false" customHeight="false" outlineLevel="0" collapsed="false">
      <c r="A340" s="3" t="s">
        <v>364</v>
      </c>
      <c r="B340" s="3" t="s">
        <v>10</v>
      </c>
      <c r="C340" s="3" t="s">
        <v>11</v>
      </c>
      <c r="D340" s="3" t="s">
        <v>12</v>
      </c>
      <c r="E340" s="3" t="s">
        <v>1663</v>
      </c>
      <c r="F340" s="3" t="s">
        <v>1403</v>
      </c>
      <c r="G340" s="3"/>
      <c r="H340" s="3"/>
      <c r="I340" s="3"/>
      <c r="J340" s="4" t="str">
        <f aca="false">IF(AND($A340&lt;&gt;"",$A340=Подбор!$C$4),MAX(J$1:J339)+1,"")</f>
        <v/>
      </c>
    </row>
    <row r="341" customFormat="false" ht="15" hidden="false" customHeight="false" outlineLevel="0" collapsed="false">
      <c r="A341" s="3" t="s">
        <v>364</v>
      </c>
      <c r="B341" s="3" t="s">
        <v>10</v>
      </c>
      <c r="C341" s="3" t="s">
        <v>14</v>
      </c>
      <c r="D341" s="3" t="s">
        <v>15</v>
      </c>
      <c r="E341" s="3" t="s">
        <v>1664</v>
      </c>
      <c r="F341" s="3" t="s">
        <v>1403</v>
      </c>
      <c r="G341" s="3"/>
      <c r="H341" s="3"/>
      <c r="I341" s="3"/>
      <c r="J341" s="4" t="str">
        <f aca="false">IF(AND($A341&lt;&gt;"",$A341=Подбор!$C$4),MAX(J$1:J340)+1,"")</f>
        <v/>
      </c>
    </row>
    <row r="342" customFormat="false" ht="15" hidden="false" customHeight="false" outlineLevel="0" collapsed="false">
      <c r="A342" s="3" t="s">
        <v>364</v>
      </c>
      <c r="B342" s="3" t="s">
        <v>10</v>
      </c>
      <c r="C342" s="3" t="s">
        <v>30</v>
      </c>
      <c r="D342" s="3" t="s">
        <v>15</v>
      </c>
      <c r="E342" s="3"/>
      <c r="F342" s="3"/>
      <c r="G342" s="3"/>
      <c r="H342" s="3"/>
      <c r="I342" s="3" t="s">
        <v>1440</v>
      </c>
      <c r="J342" s="4" t="str">
        <f aca="false">IF(AND($A342&lt;&gt;"",$A342=Подбор!$C$4),MAX(J$1:J341)+1,"")</f>
        <v/>
      </c>
    </row>
    <row r="343" customFormat="false" ht="15" hidden="false" customHeight="false" outlineLevel="0" collapsed="false">
      <c r="A343" s="3" t="s">
        <v>364</v>
      </c>
      <c r="B343" s="3" t="s">
        <v>10</v>
      </c>
      <c r="C343" s="3" t="s">
        <v>17</v>
      </c>
      <c r="D343" s="3" t="s">
        <v>15</v>
      </c>
      <c r="E343" s="3" t="s">
        <v>1657</v>
      </c>
      <c r="F343" s="3" t="s">
        <v>1403</v>
      </c>
      <c r="G343" s="3"/>
      <c r="H343" s="3"/>
      <c r="I343" s="3"/>
      <c r="J343" s="4" t="str">
        <f aca="false">IF(AND($A343&lt;&gt;"",$A343=Подбор!$C$4),MAX(J$1:J342)+1,"")</f>
        <v/>
      </c>
    </row>
    <row r="344" customFormat="false" ht="15" hidden="false" customHeight="false" outlineLevel="0" collapsed="false">
      <c r="A344" s="3" t="s">
        <v>368</v>
      </c>
      <c r="B344" s="3" t="s">
        <v>10</v>
      </c>
      <c r="C344" s="3" t="s">
        <v>11</v>
      </c>
      <c r="D344" s="3" t="s">
        <v>12</v>
      </c>
      <c r="E344" s="3" t="s">
        <v>1663</v>
      </c>
      <c r="F344" s="3" t="s">
        <v>1403</v>
      </c>
      <c r="G344" s="3"/>
      <c r="H344" s="3"/>
      <c r="I344" s="3"/>
      <c r="J344" s="4" t="str">
        <f aca="false">IF(AND($A344&lt;&gt;"",$A344=Подбор!$C$4),MAX(J$1:J343)+1,"")</f>
        <v/>
      </c>
    </row>
    <row r="345" customFormat="false" ht="15" hidden="false" customHeight="false" outlineLevel="0" collapsed="false">
      <c r="A345" s="3" t="s">
        <v>368</v>
      </c>
      <c r="B345" s="3" t="s">
        <v>10</v>
      </c>
      <c r="C345" s="3" t="s">
        <v>14</v>
      </c>
      <c r="D345" s="3" t="s">
        <v>15</v>
      </c>
      <c r="E345" s="3" t="s">
        <v>1664</v>
      </c>
      <c r="F345" s="3" t="s">
        <v>1403</v>
      </c>
      <c r="G345" s="3"/>
      <c r="H345" s="3"/>
      <c r="I345" s="3"/>
      <c r="J345" s="4" t="str">
        <f aca="false">IF(AND($A345&lt;&gt;"",$A345=Подбор!$C$4),MAX(J$1:J344)+1,"")</f>
        <v/>
      </c>
    </row>
    <row r="346" customFormat="false" ht="15" hidden="false" customHeight="false" outlineLevel="0" collapsed="false">
      <c r="A346" s="3" t="s">
        <v>368</v>
      </c>
      <c r="B346" s="3" t="s">
        <v>10</v>
      </c>
      <c r="C346" s="3" t="s">
        <v>17</v>
      </c>
      <c r="D346" s="3" t="s">
        <v>15</v>
      </c>
      <c r="E346" s="3" t="s">
        <v>1657</v>
      </c>
      <c r="F346" s="3" t="s">
        <v>1403</v>
      </c>
      <c r="G346" s="3"/>
      <c r="H346" s="3"/>
      <c r="I346" s="3"/>
      <c r="J346" s="4" t="str">
        <f aca="false">IF(AND($A346&lt;&gt;"",$A346=Подбор!$C$4),MAX(J$1:J345)+1,"")</f>
        <v/>
      </c>
    </row>
    <row r="347" customFormat="false" ht="15" hidden="false" customHeight="false" outlineLevel="0" collapsed="false">
      <c r="A347" s="3" t="s">
        <v>369</v>
      </c>
      <c r="B347" s="3" t="s">
        <v>10</v>
      </c>
      <c r="C347" s="3" t="s">
        <v>11</v>
      </c>
      <c r="D347" s="3" t="s">
        <v>12</v>
      </c>
      <c r="E347" s="3" t="s">
        <v>1663</v>
      </c>
      <c r="F347" s="3" t="s">
        <v>1403</v>
      </c>
      <c r="G347" s="3"/>
      <c r="H347" s="3"/>
      <c r="I347" s="3"/>
      <c r="J347" s="4" t="str">
        <f aca="false">IF(AND($A347&lt;&gt;"",$A347=Подбор!$C$4),MAX(J$1:J346)+1,"")</f>
        <v/>
      </c>
    </row>
    <row r="348" customFormat="false" ht="15" hidden="false" customHeight="false" outlineLevel="0" collapsed="false">
      <c r="A348" s="3" t="s">
        <v>369</v>
      </c>
      <c r="B348" s="3" t="s">
        <v>10</v>
      </c>
      <c r="C348" s="3" t="s">
        <v>14</v>
      </c>
      <c r="D348" s="3" t="s">
        <v>15</v>
      </c>
      <c r="E348" s="3" t="s">
        <v>1664</v>
      </c>
      <c r="F348" s="3" t="s">
        <v>1403</v>
      </c>
      <c r="G348" s="3"/>
      <c r="H348" s="3"/>
      <c r="I348" s="3"/>
      <c r="J348" s="4" t="str">
        <f aca="false">IF(AND($A348&lt;&gt;"",$A348=Подбор!$C$4),MAX(J$1:J347)+1,"")</f>
        <v/>
      </c>
    </row>
    <row r="349" customFormat="false" ht="15" hidden="false" customHeight="false" outlineLevel="0" collapsed="false">
      <c r="A349" s="3" t="s">
        <v>369</v>
      </c>
      <c r="B349" s="3" t="s">
        <v>10</v>
      </c>
      <c r="C349" s="3" t="s">
        <v>30</v>
      </c>
      <c r="D349" s="3" t="s">
        <v>15</v>
      </c>
      <c r="E349" s="3"/>
      <c r="F349" s="3"/>
      <c r="G349" s="3"/>
      <c r="H349" s="3"/>
      <c r="I349" s="3" t="s">
        <v>1440</v>
      </c>
      <c r="J349" s="4" t="str">
        <f aca="false">IF(AND($A349&lt;&gt;"",$A349=Подбор!$C$4),MAX(J$1:J348)+1,"")</f>
        <v/>
      </c>
    </row>
    <row r="350" customFormat="false" ht="15" hidden="false" customHeight="false" outlineLevel="0" collapsed="false">
      <c r="A350" s="3" t="s">
        <v>369</v>
      </c>
      <c r="B350" s="3" t="s">
        <v>10</v>
      </c>
      <c r="C350" s="3" t="s">
        <v>17</v>
      </c>
      <c r="D350" s="3" t="s">
        <v>15</v>
      </c>
      <c r="E350" s="3" t="s">
        <v>1657</v>
      </c>
      <c r="F350" s="3" t="s">
        <v>1403</v>
      </c>
      <c r="G350" s="3"/>
      <c r="H350" s="3"/>
      <c r="I350" s="3"/>
      <c r="J350" s="4" t="str">
        <f aca="false">IF(AND($A350&lt;&gt;"",$A350=Подбор!$C$4),MAX(J$1:J349)+1,"")</f>
        <v/>
      </c>
    </row>
    <row r="351" customFormat="false" ht="15" hidden="false" customHeight="false" outlineLevel="0" collapsed="false">
      <c r="A351" s="3" t="s">
        <v>370</v>
      </c>
      <c r="B351" s="3" t="s">
        <v>10</v>
      </c>
      <c r="C351" s="3" t="s">
        <v>11</v>
      </c>
      <c r="D351" s="3" t="s">
        <v>12</v>
      </c>
      <c r="E351" s="3" t="s">
        <v>1665</v>
      </c>
      <c r="F351" s="3" t="s">
        <v>1403</v>
      </c>
      <c r="G351" s="3"/>
      <c r="H351" s="3"/>
      <c r="I351" s="3"/>
      <c r="J351" s="4" t="str">
        <f aca="false">IF(AND($A351&lt;&gt;"",$A351=Подбор!$C$4),MAX(J$1:J350)+1,"")</f>
        <v/>
      </c>
    </row>
    <row r="352" customFormat="false" ht="15" hidden="false" customHeight="false" outlineLevel="0" collapsed="false">
      <c r="A352" s="3" t="s">
        <v>370</v>
      </c>
      <c r="B352" s="3" t="s">
        <v>10</v>
      </c>
      <c r="C352" s="3" t="s">
        <v>11</v>
      </c>
      <c r="D352" s="3" t="s">
        <v>21</v>
      </c>
      <c r="E352" s="3" t="s">
        <v>1666</v>
      </c>
      <c r="F352" s="3" t="s">
        <v>1403</v>
      </c>
      <c r="G352" s="3"/>
      <c r="H352" s="3"/>
      <c r="I352" s="3"/>
      <c r="J352" s="4" t="str">
        <f aca="false">IF(AND($A352&lt;&gt;"",$A352=Подбор!$C$4),MAX(J$1:J351)+1,"")</f>
        <v/>
      </c>
    </row>
    <row r="353" customFormat="false" ht="15" hidden="false" customHeight="false" outlineLevel="0" collapsed="false">
      <c r="A353" s="3" t="s">
        <v>370</v>
      </c>
      <c r="B353" s="3" t="s">
        <v>10</v>
      </c>
      <c r="C353" s="3" t="s">
        <v>11</v>
      </c>
      <c r="D353" s="3" t="s">
        <v>23</v>
      </c>
      <c r="E353" s="3" t="s">
        <v>1667</v>
      </c>
      <c r="F353" s="3" t="s">
        <v>1403</v>
      </c>
      <c r="G353" s="3"/>
      <c r="H353" s="3"/>
      <c r="I353" s="3"/>
      <c r="J353" s="4" t="str">
        <f aca="false">IF(AND($A353&lt;&gt;"",$A353=Подбор!$C$4),MAX(J$1:J352)+1,"")</f>
        <v/>
      </c>
    </row>
    <row r="354" customFormat="false" ht="15" hidden="false" customHeight="false" outlineLevel="0" collapsed="false">
      <c r="A354" s="3" t="s">
        <v>370</v>
      </c>
      <c r="B354" s="3" t="s">
        <v>10</v>
      </c>
      <c r="C354" s="3" t="s">
        <v>11</v>
      </c>
      <c r="D354" s="3" t="s">
        <v>25</v>
      </c>
      <c r="E354" s="3" t="s">
        <v>1668</v>
      </c>
      <c r="F354" s="3" t="s">
        <v>1403</v>
      </c>
      <c r="G354" s="3"/>
      <c r="H354" s="3"/>
      <c r="I354" s="3"/>
      <c r="J354" s="4" t="str">
        <f aca="false">IF(AND($A354&lt;&gt;"",$A354=Подбор!$C$4),MAX(J$1:J353)+1,"")</f>
        <v/>
      </c>
    </row>
    <row r="355" customFormat="false" ht="15" hidden="false" customHeight="false" outlineLevel="0" collapsed="false">
      <c r="A355" s="3" t="s">
        <v>370</v>
      </c>
      <c r="B355" s="3" t="s">
        <v>10</v>
      </c>
      <c r="C355" s="3" t="s">
        <v>14</v>
      </c>
      <c r="D355" s="3" t="s">
        <v>15</v>
      </c>
      <c r="E355" s="3" t="s">
        <v>1669</v>
      </c>
      <c r="F355" s="3" t="s">
        <v>1403</v>
      </c>
      <c r="G355" s="3"/>
      <c r="H355" s="3"/>
      <c r="I355" s="3"/>
      <c r="J355" s="4" t="str">
        <f aca="false">IF(AND($A355&lt;&gt;"",$A355=Подбор!$C$4),MAX(J$1:J354)+1,"")</f>
        <v/>
      </c>
    </row>
    <row r="356" customFormat="false" ht="15" hidden="false" customHeight="false" outlineLevel="0" collapsed="false">
      <c r="A356" s="3" t="s">
        <v>370</v>
      </c>
      <c r="B356" s="3" t="s">
        <v>10</v>
      </c>
      <c r="C356" s="3" t="s">
        <v>14</v>
      </c>
      <c r="D356" s="3" t="s">
        <v>15</v>
      </c>
      <c r="E356" s="3" t="s">
        <v>1670</v>
      </c>
      <c r="F356" s="3" t="s">
        <v>1403</v>
      </c>
      <c r="G356" s="3"/>
      <c r="H356" s="3"/>
      <c r="I356" s="3"/>
      <c r="J356" s="4" t="str">
        <f aca="false">IF(AND($A356&lt;&gt;"",$A356=Подбор!$C$4),MAX(J$1:J355)+1,"")</f>
        <v/>
      </c>
    </row>
    <row r="357" customFormat="false" ht="15" hidden="false" customHeight="false" outlineLevel="0" collapsed="false">
      <c r="A357" s="3" t="s">
        <v>370</v>
      </c>
      <c r="B357" s="3" t="s">
        <v>10</v>
      </c>
      <c r="C357" s="3" t="s">
        <v>30</v>
      </c>
      <c r="D357" s="3" t="s">
        <v>15</v>
      </c>
      <c r="E357" s="3" t="s">
        <v>1649</v>
      </c>
      <c r="F357" s="3" t="s">
        <v>1403</v>
      </c>
      <c r="G357" s="3"/>
      <c r="H357" s="3"/>
      <c r="I357" s="3"/>
      <c r="J357" s="4" t="str">
        <f aca="false">IF(AND($A357&lt;&gt;"",$A357=Подбор!$C$4),MAX(J$1:J356)+1,"")</f>
        <v/>
      </c>
    </row>
    <row r="358" customFormat="false" ht="15" hidden="false" customHeight="false" outlineLevel="0" collapsed="false">
      <c r="A358" s="3" t="s">
        <v>370</v>
      </c>
      <c r="B358" s="3" t="s">
        <v>10</v>
      </c>
      <c r="C358" s="3" t="s">
        <v>17</v>
      </c>
      <c r="D358" s="3" t="s">
        <v>15</v>
      </c>
      <c r="E358" s="3" t="s">
        <v>1657</v>
      </c>
      <c r="F358" s="3" t="s">
        <v>1403</v>
      </c>
      <c r="G358" s="3"/>
      <c r="H358" s="3"/>
      <c r="I358" s="3"/>
      <c r="J358" s="4" t="str">
        <f aca="false">IF(AND($A358&lt;&gt;"",$A358=Подбор!$C$4),MAX(J$1:J357)+1,"")</f>
        <v/>
      </c>
    </row>
    <row r="359" customFormat="false" ht="15" hidden="false" customHeight="false" outlineLevel="0" collapsed="false">
      <c r="A359" s="3" t="s">
        <v>376</v>
      </c>
      <c r="B359" s="3" t="s">
        <v>47</v>
      </c>
      <c r="C359" s="3" t="s">
        <v>11</v>
      </c>
      <c r="D359" s="3" t="s">
        <v>12</v>
      </c>
      <c r="E359" s="3" t="s">
        <v>1429</v>
      </c>
      <c r="F359" s="3" t="s">
        <v>1417</v>
      </c>
      <c r="G359" s="3"/>
      <c r="H359" s="3"/>
      <c r="I359" s="3"/>
      <c r="J359" s="4" t="str">
        <f aca="false">IF(AND($A359&lt;&gt;"",$A359=Подбор!$C$4),MAX(J$1:J358)+1,"")</f>
        <v/>
      </c>
    </row>
    <row r="360" customFormat="false" ht="15" hidden="false" customHeight="false" outlineLevel="0" collapsed="false">
      <c r="A360" s="3" t="s">
        <v>376</v>
      </c>
      <c r="B360" s="3" t="s">
        <v>47</v>
      </c>
      <c r="C360" s="3" t="s">
        <v>14</v>
      </c>
      <c r="D360" s="3" t="s">
        <v>15</v>
      </c>
      <c r="E360" s="3" t="s">
        <v>1431</v>
      </c>
      <c r="F360" s="3" t="s">
        <v>1432</v>
      </c>
      <c r="G360" s="3" t="n">
        <v>60000</v>
      </c>
      <c r="H360" s="3"/>
      <c r="I360" s="3" t="s">
        <v>1415</v>
      </c>
      <c r="J360" s="4" t="str">
        <f aca="false">IF(AND($A360&lt;&gt;"",$A360=Подбор!$C$4),MAX(J$1:J359)+1,"")</f>
        <v/>
      </c>
    </row>
    <row r="361" customFormat="false" ht="15" hidden="false" customHeight="false" outlineLevel="0" collapsed="false">
      <c r="A361" s="3" t="s">
        <v>379</v>
      </c>
      <c r="B361" s="3" t="s">
        <v>10</v>
      </c>
      <c r="C361" s="3" t="s">
        <v>11</v>
      </c>
      <c r="D361" s="3" t="s">
        <v>12</v>
      </c>
      <c r="E361" s="3" t="s">
        <v>1671</v>
      </c>
      <c r="F361" s="3" t="s">
        <v>1403</v>
      </c>
      <c r="G361" s="3"/>
      <c r="H361" s="3"/>
      <c r="I361" s="3"/>
      <c r="J361" s="4" t="str">
        <f aca="false">IF(AND($A361&lt;&gt;"",$A361=Подбор!$C$4),MAX(J$1:J360)+1,"")</f>
        <v/>
      </c>
    </row>
    <row r="362" customFormat="false" ht="15" hidden="false" customHeight="false" outlineLevel="0" collapsed="false">
      <c r="A362" s="3" t="s">
        <v>379</v>
      </c>
      <c r="B362" s="3" t="s">
        <v>10</v>
      </c>
      <c r="C362" s="3" t="s">
        <v>14</v>
      </c>
      <c r="D362" s="3" t="s">
        <v>15</v>
      </c>
      <c r="E362" s="3" t="s">
        <v>1672</v>
      </c>
      <c r="F362" s="3" t="s">
        <v>1403</v>
      </c>
      <c r="G362" s="3"/>
      <c r="H362" s="3"/>
      <c r="I362" s="3"/>
      <c r="J362" s="4" t="str">
        <f aca="false">IF(AND($A362&lt;&gt;"",$A362=Подбор!$C$4),MAX(J$1:J361)+1,"")</f>
        <v/>
      </c>
    </row>
    <row r="363" customFormat="false" ht="15" hidden="false" customHeight="false" outlineLevel="0" collapsed="false">
      <c r="A363" s="3" t="s">
        <v>382</v>
      </c>
      <c r="B363" s="3" t="s">
        <v>51</v>
      </c>
      <c r="C363" s="3" t="s">
        <v>11</v>
      </c>
      <c r="D363" s="3" t="s">
        <v>12</v>
      </c>
      <c r="E363" s="3" t="s">
        <v>15</v>
      </c>
      <c r="F363" s="3"/>
      <c r="G363" s="3"/>
      <c r="H363" s="3"/>
      <c r="I363" s="3"/>
      <c r="J363" s="4" t="str">
        <f aca="false">IF(AND($A363&lt;&gt;"",$A363=Подбор!$C$4),MAX(J$1:J362)+1,"")</f>
        <v/>
      </c>
    </row>
    <row r="364" customFormat="false" ht="15" hidden="false" customHeight="false" outlineLevel="0" collapsed="false">
      <c r="A364" s="3" t="s">
        <v>382</v>
      </c>
      <c r="B364" s="3" t="s">
        <v>51</v>
      </c>
      <c r="C364" s="3" t="s">
        <v>14</v>
      </c>
      <c r="D364" s="3" t="s">
        <v>15</v>
      </c>
      <c r="E364" s="3" t="s">
        <v>15</v>
      </c>
      <c r="F364" s="3"/>
      <c r="G364" s="3"/>
      <c r="H364" s="3"/>
      <c r="I364" s="3"/>
      <c r="J364" s="4" t="str">
        <f aca="false">IF(AND($A364&lt;&gt;"",$A364=Подбор!$C$4),MAX(J$1:J363)+1,"")</f>
        <v/>
      </c>
    </row>
    <row r="365" customFormat="false" ht="15" hidden="false" customHeight="false" outlineLevel="0" collapsed="false">
      <c r="A365" s="3" t="s">
        <v>382</v>
      </c>
      <c r="B365" s="3" t="s">
        <v>51</v>
      </c>
      <c r="C365" s="3" t="s">
        <v>30</v>
      </c>
      <c r="D365" s="3" t="s">
        <v>15</v>
      </c>
      <c r="E365" s="3" t="s">
        <v>15</v>
      </c>
      <c r="F365" s="3"/>
      <c r="G365" s="3"/>
      <c r="H365" s="3"/>
      <c r="I365" s="3"/>
      <c r="J365" s="4" t="str">
        <f aca="false">IF(AND($A365&lt;&gt;"",$A365=Подбор!$C$4),MAX(J$1:J364)+1,"")</f>
        <v/>
      </c>
    </row>
    <row r="366" customFormat="false" ht="15" hidden="false" customHeight="false" outlineLevel="0" collapsed="false">
      <c r="A366" s="3" t="s">
        <v>382</v>
      </c>
      <c r="B366" s="3" t="s">
        <v>51</v>
      </c>
      <c r="C366" s="3" t="s">
        <v>17</v>
      </c>
      <c r="D366" s="3" t="s">
        <v>15</v>
      </c>
      <c r="E366" s="3" t="s">
        <v>15</v>
      </c>
      <c r="F366" s="3"/>
      <c r="G366" s="3"/>
      <c r="H366" s="3"/>
      <c r="I366" s="3"/>
      <c r="J366" s="4" t="str">
        <f aca="false">IF(AND($A366&lt;&gt;"",$A366=Подбор!$C$4),MAX(J$1:J365)+1,"")</f>
        <v/>
      </c>
    </row>
    <row r="367" customFormat="false" ht="15" hidden="false" customHeight="false" outlineLevel="0" collapsed="false">
      <c r="A367" s="3" t="s">
        <v>383</v>
      </c>
      <c r="B367" s="3" t="s">
        <v>34</v>
      </c>
      <c r="C367" s="3" t="s">
        <v>11</v>
      </c>
      <c r="D367" s="3" t="s">
        <v>12</v>
      </c>
      <c r="E367" s="3" t="s">
        <v>1673</v>
      </c>
      <c r="F367" s="3" t="s">
        <v>1403</v>
      </c>
      <c r="G367" s="3" t="n">
        <v>2000</v>
      </c>
      <c r="H367" s="3"/>
      <c r="I367" s="3" t="s">
        <v>1415</v>
      </c>
      <c r="J367" s="4" t="str">
        <f aca="false">IF(AND($A367&lt;&gt;"",$A367=Подбор!$C$4),MAX(J$1:J366)+1,"")</f>
        <v/>
      </c>
    </row>
    <row r="368" customFormat="false" ht="15" hidden="false" customHeight="false" outlineLevel="0" collapsed="false">
      <c r="A368" s="3" t="s">
        <v>383</v>
      </c>
      <c r="B368" s="3" t="s">
        <v>34</v>
      </c>
      <c r="C368" s="3" t="s">
        <v>11</v>
      </c>
      <c r="D368" s="3" t="s">
        <v>12</v>
      </c>
      <c r="E368" s="3" t="s">
        <v>1674</v>
      </c>
      <c r="F368" s="3" t="s">
        <v>1417</v>
      </c>
      <c r="G368" s="3" t="n">
        <v>2000</v>
      </c>
      <c r="H368" s="3"/>
      <c r="I368" s="3" t="s">
        <v>1415</v>
      </c>
      <c r="J368" s="4" t="str">
        <f aca="false">IF(AND($A368&lt;&gt;"",$A368=Подбор!$C$4),MAX(J$1:J367)+1,"")</f>
        <v/>
      </c>
    </row>
    <row r="369" customFormat="false" ht="15" hidden="false" customHeight="false" outlineLevel="0" collapsed="false">
      <c r="A369" s="3" t="s">
        <v>383</v>
      </c>
      <c r="B369" s="3" t="s">
        <v>34</v>
      </c>
      <c r="C369" s="3" t="s">
        <v>11</v>
      </c>
      <c r="D369" s="3" t="s">
        <v>12</v>
      </c>
      <c r="E369" s="3" t="s">
        <v>1675</v>
      </c>
      <c r="F369" s="3" t="s">
        <v>1423</v>
      </c>
      <c r="G369" s="3" t="n">
        <v>2000</v>
      </c>
      <c r="H369" s="3"/>
      <c r="I369" s="3" t="s">
        <v>1415</v>
      </c>
      <c r="J369" s="4" t="str">
        <f aca="false">IF(AND($A369&lt;&gt;"",$A369=Подбор!$C$4),MAX(J$1:J368)+1,"")</f>
        <v/>
      </c>
    </row>
    <row r="370" customFormat="false" ht="15" hidden="false" customHeight="false" outlineLevel="0" collapsed="false">
      <c r="A370" s="3" t="s">
        <v>383</v>
      </c>
      <c r="B370" s="3" t="s">
        <v>34</v>
      </c>
      <c r="C370" s="3" t="s">
        <v>11</v>
      </c>
      <c r="D370" s="3" t="s">
        <v>21</v>
      </c>
      <c r="E370" s="3" t="s">
        <v>1676</v>
      </c>
      <c r="F370" s="3" t="s">
        <v>1403</v>
      </c>
      <c r="G370" s="3" t="n">
        <v>2000</v>
      </c>
      <c r="H370" s="3"/>
      <c r="I370" s="3" t="s">
        <v>1415</v>
      </c>
      <c r="J370" s="4" t="str">
        <f aca="false">IF(AND($A370&lt;&gt;"",$A370=Подбор!$C$4),MAX(J$1:J369)+1,"")</f>
        <v/>
      </c>
    </row>
    <row r="371" customFormat="false" ht="15" hidden="false" customHeight="false" outlineLevel="0" collapsed="false">
      <c r="A371" s="3" t="s">
        <v>383</v>
      </c>
      <c r="B371" s="3" t="s">
        <v>34</v>
      </c>
      <c r="C371" s="3" t="s">
        <v>11</v>
      </c>
      <c r="D371" s="3" t="s">
        <v>23</v>
      </c>
      <c r="E371" s="3" t="s">
        <v>1677</v>
      </c>
      <c r="F371" s="3" t="s">
        <v>1403</v>
      </c>
      <c r="G371" s="3" t="n">
        <v>2000</v>
      </c>
      <c r="H371" s="3"/>
      <c r="I371" s="3" t="s">
        <v>1415</v>
      </c>
      <c r="J371" s="4" t="str">
        <f aca="false">IF(AND($A371&lt;&gt;"",$A371=Подбор!$C$4),MAX(J$1:J370)+1,"")</f>
        <v/>
      </c>
    </row>
    <row r="372" customFormat="false" ht="15" hidden="false" customHeight="false" outlineLevel="0" collapsed="false">
      <c r="A372" s="3" t="s">
        <v>383</v>
      </c>
      <c r="B372" s="3" t="s">
        <v>34</v>
      </c>
      <c r="C372" s="3" t="s">
        <v>11</v>
      </c>
      <c r="D372" s="3" t="s">
        <v>25</v>
      </c>
      <c r="E372" s="3" t="s">
        <v>1678</v>
      </c>
      <c r="F372" s="3" t="s">
        <v>1403</v>
      </c>
      <c r="G372" s="3" t="n">
        <v>2000</v>
      </c>
      <c r="H372" s="3"/>
      <c r="I372" s="3" t="s">
        <v>1415</v>
      </c>
      <c r="J372" s="4" t="str">
        <f aca="false">IF(AND($A372&lt;&gt;"",$A372=Подбор!$C$4),MAX(J$1:J371)+1,"")</f>
        <v/>
      </c>
    </row>
    <row r="373" customFormat="false" ht="15" hidden="false" customHeight="false" outlineLevel="0" collapsed="false">
      <c r="A373" s="3" t="s">
        <v>383</v>
      </c>
      <c r="B373" s="3" t="s">
        <v>34</v>
      </c>
      <c r="C373" s="3" t="s">
        <v>30</v>
      </c>
      <c r="D373" s="3" t="s">
        <v>15</v>
      </c>
      <c r="E373" s="3" t="s">
        <v>1679</v>
      </c>
      <c r="F373" s="3" t="s">
        <v>1403</v>
      </c>
      <c r="G373" s="3"/>
      <c r="H373" s="3"/>
      <c r="I373" s="3"/>
      <c r="J373" s="4" t="str">
        <f aca="false">IF(AND($A373&lt;&gt;"",$A373=Подбор!$C$4),MAX(J$1:J372)+1,"")</f>
        <v/>
      </c>
    </row>
    <row r="374" customFormat="false" ht="15" hidden="false" customHeight="false" outlineLevel="0" collapsed="false">
      <c r="A374" s="3" t="s">
        <v>388</v>
      </c>
      <c r="B374" s="3" t="s">
        <v>57</v>
      </c>
      <c r="C374" s="3" t="s">
        <v>11</v>
      </c>
      <c r="D374" s="3" t="s">
        <v>12</v>
      </c>
      <c r="E374" s="3" t="s">
        <v>1680</v>
      </c>
      <c r="F374" s="3" t="s">
        <v>1403</v>
      </c>
      <c r="G374" s="3" t="n">
        <v>25000</v>
      </c>
      <c r="H374" s="3"/>
      <c r="I374" s="3" t="s">
        <v>1415</v>
      </c>
      <c r="J374" s="4" t="str">
        <f aca="false">IF(AND($A374&lt;&gt;"",$A374=Подбор!$C$4),MAX(J$1:J373)+1,"")</f>
        <v/>
      </c>
    </row>
    <row r="375" customFormat="false" ht="15" hidden="false" customHeight="false" outlineLevel="0" collapsed="false">
      <c r="A375" s="3" t="s">
        <v>390</v>
      </c>
      <c r="B375" s="3" t="s">
        <v>47</v>
      </c>
      <c r="C375" s="3" t="s">
        <v>11</v>
      </c>
      <c r="D375" s="3" t="s">
        <v>12</v>
      </c>
      <c r="E375" s="3" t="s">
        <v>15</v>
      </c>
      <c r="F375" s="3"/>
      <c r="G375" s="3"/>
      <c r="H375" s="3"/>
      <c r="I375" s="3"/>
      <c r="J375" s="4" t="str">
        <f aca="false">IF(AND($A375&lt;&gt;"",$A375=Подбор!$C$4),MAX(J$1:J374)+1,"")</f>
        <v/>
      </c>
    </row>
    <row r="376" customFormat="false" ht="15" hidden="false" customHeight="false" outlineLevel="0" collapsed="false">
      <c r="A376" s="3" t="s">
        <v>391</v>
      </c>
      <c r="B376" s="3" t="s">
        <v>10</v>
      </c>
      <c r="C376" s="3" t="s">
        <v>11</v>
      </c>
      <c r="D376" s="3" t="s">
        <v>12</v>
      </c>
      <c r="E376" s="3" t="s">
        <v>1624</v>
      </c>
      <c r="F376" s="3" t="s">
        <v>1403</v>
      </c>
      <c r="G376" s="3"/>
      <c r="H376" s="3"/>
      <c r="I376" s="3"/>
      <c r="J376" s="4" t="str">
        <f aca="false">IF(AND($A376&lt;&gt;"",$A376=Подбор!$C$4),MAX(J$1:J375)+1,"")</f>
        <v/>
      </c>
    </row>
    <row r="377" customFormat="false" ht="15" hidden="false" customHeight="false" outlineLevel="0" collapsed="false">
      <c r="A377" s="3" t="s">
        <v>392</v>
      </c>
      <c r="B377" s="3" t="s">
        <v>57</v>
      </c>
      <c r="C377" s="3" t="s">
        <v>11</v>
      </c>
      <c r="D377" s="3" t="s">
        <v>12</v>
      </c>
      <c r="E377" s="3" t="s">
        <v>1681</v>
      </c>
      <c r="F377" s="3" t="s">
        <v>1403</v>
      </c>
      <c r="G377" s="3" t="n">
        <v>1500</v>
      </c>
      <c r="H377" s="3"/>
      <c r="I377" s="3" t="s">
        <v>1415</v>
      </c>
      <c r="J377" s="4" t="str">
        <f aca="false">IF(AND($A377&lt;&gt;"",$A377=Подбор!$C$4),MAX(J$1:J376)+1,"")</f>
        <v/>
      </c>
    </row>
    <row r="378" customFormat="false" ht="15" hidden="false" customHeight="false" outlineLevel="0" collapsed="false">
      <c r="A378" s="3" t="s">
        <v>392</v>
      </c>
      <c r="B378" s="3" t="s">
        <v>57</v>
      </c>
      <c r="C378" s="3" t="s">
        <v>11</v>
      </c>
      <c r="D378" s="3" t="s">
        <v>12</v>
      </c>
      <c r="E378" s="3" t="s">
        <v>1682</v>
      </c>
      <c r="F378" s="3" t="s">
        <v>1417</v>
      </c>
      <c r="G378" s="3" t="n">
        <v>1500</v>
      </c>
      <c r="H378" s="3"/>
      <c r="I378" s="3" t="s">
        <v>1415</v>
      </c>
      <c r="J378" s="4" t="str">
        <f aca="false">IF(AND($A378&lt;&gt;"",$A378=Подбор!$C$4),MAX(J$1:J377)+1,"")</f>
        <v/>
      </c>
    </row>
    <row r="379" customFormat="false" ht="15" hidden="false" customHeight="false" outlineLevel="0" collapsed="false">
      <c r="A379" s="3" t="s">
        <v>392</v>
      </c>
      <c r="B379" s="3" t="s">
        <v>57</v>
      </c>
      <c r="C379" s="3" t="s">
        <v>11</v>
      </c>
      <c r="D379" s="3" t="s">
        <v>12</v>
      </c>
      <c r="E379" s="3" t="s">
        <v>1683</v>
      </c>
      <c r="F379" s="3" t="s">
        <v>1421</v>
      </c>
      <c r="G379" s="3" t="n">
        <v>1500</v>
      </c>
      <c r="H379" s="3"/>
      <c r="I379" s="3" t="s">
        <v>1415</v>
      </c>
      <c r="J379" s="4" t="str">
        <f aca="false">IF(AND($A379&lt;&gt;"",$A379=Подбор!$C$4),MAX(J$1:J378)+1,"")</f>
        <v/>
      </c>
    </row>
    <row r="380" customFormat="false" ht="15" hidden="false" customHeight="false" outlineLevel="0" collapsed="false">
      <c r="A380" s="3" t="s">
        <v>394</v>
      </c>
      <c r="B380" s="3" t="s">
        <v>10</v>
      </c>
      <c r="C380" s="3" t="s">
        <v>11</v>
      </c>
      <c r="D380" s="3" t="s">
        <v>12</v>
      </c>
      <c r="E380" s="3" t="s">
        <v>1684</v>
      </c>
      <c r="F380" s="3" t="s">
        <v>1403</v>
      </c>
      <c r="G380" s="3"/>
      <c r="H380" s="3"/>
      <c r="I380" s="3"/>
      <c r="J380" s="4" t="str">
        <f aca="false">IF(AND($A380&lt;&gt;"",$A380=Подбор!$C$4),MAX(J$1:J379)+1,"")</f>
        <v/>
      </c>
    </row>
    <row r="381" customFormat="false" ht="15" hidden="false" customHeight="false" outlineLevel="0" collapsed="false">
      <c r="A381" s="3" t="s">
        <v>396</v>
      </c>
      <c r="B381" s="3" t="s">
        <v>397</v>
      </c>
      <c r="C381" s="3" t="s">
        <v>11</v>
      </c>
      <c r="D381" s="3" t="s">
        <v>12</v>
      </c>
      <c r="E381" s="3"/>
      <c r="F381" s="3"/>
      <c r="G381" s="3"/>
      <c r="H381" s="3"/>
      <c r="I381" s="3" t="s">
        <v>1440</v>
      </c>
      <c r="J381" s="4" t="str">
        <f aca="false">IF(AND($A381&lt;&gt;"",$A381=Подбор!$C$4),MAX(J$1:J380)+1,"")</f>
        <v/>
      </c>
    </row>
    <row r="382" customFormat="false" ht="15" hidden="false" customHeight="false" outlineLevel="0" collapsed="false">
      <c r="A382" s="3" t="s">
        <v>396</v>
      </c>
      <c r="B382" s="3" t="s">
        <v>397</v>
      </c>
      <c r="C382" s="3" t="s">
        <v>14</v>
      </c>
      <c r="D382" s="3" t="s">
        <v>15</v>
      </c>
      <c r="E382" s="3"/>
      <c r="F382" s="3"/>
      <c r="G382" s="3"/>
      <c r="H382" s="3"/>
      <c r="I382" s="3" t="s">
        <v>1440</v>
      </c>
      <c r="J382" s="4" t="str">
        <f aca="false">IF(AND($A382&lt;&gt;"",$A382=Подбор!$C$4),MAX(J$1:J381)+1,"")</f>
        <v/>
      </c>
    </row>
    <row r="383" customFormat="false" ht="15" hidden="false" customHeight="false" outlineLevel="0" collapsed="false">
      <c r="A383" s="3" t="s">
        <v>400</v>
      </c>
      <c r="B383" s="3" t="s">
        <v>397</v>
      </c>
      <c r="C383" s="3" t="s">
        <v>11</v>
      </c>
      <c r="D383" s="3" t="s">
        <v>12</v>
      </c>
      <c r="E383" s="3"/>
      <c r="F383" s="3"/>
      <c r="G383" s="3"/>
      <c r="H383" s="3"/>
      <c r="I383" s="3" t="s">
        <v>1440</v>
      </c>
      <c r="J383" s="4" t="str">
        <f aca="false">IF(AND($A383&lt;&gt;"",$A383=Подбор!$C$4),MAX(J$1:J382)+1,"")</f>
        <v/>
      </c>
    </row>
    <row r="384" customFormat="false" ht="15" hidden="false" customHeight="false" outlineLevel="0" collapsed="false">
      <c r="A384" s="3" t="s">
        <v>400</v>
      </c>
      <c r="B384" s="3" t="s">
        <v>397</v>
      </c>
      <c r="C384" s="3" t="s">
        <v>14</v>
      </c>
      <c r="D384" s="3" t="s">
        <v>15</v>
      </c>
      <c r="E384" s="3"/>
      <c r="F384" s="3"/>
      <c r="G384" s="3"/>
      <c r="H384" s="3"/>
      <c r="I384" s="3" t="s">
        <v>1440</v>
      </c>
      <c r="J384" s="4" t="str">
        <f aca="false">IF(AND($A384&lt;&gt;"",$A384=Подбор!$C$4),MAX(J$1:J383)+1,"")</f>
        <v/>
      </c>
    </row>
    <row r="385" customFormat="false" ht="15" hidden="false" customHeight="false" outlineLevel="0" collapsed="false">
      <c r="A385" s="3" t="s">
        <v>401</v>
      </c>
      <c r="B385" s="3" t="s">
        <v>47</v>
      </c>
      <c r="C385" s="3" t="s">
        <v>11</v>
      </c>
      <c r="D385" s="3" t="s">
        <v>12</v>
      </c>
      <c r="E385" s="3" t="s">
        <v>15</v>
      </c>
      <c r="F385" s="3"/>
      <c r="G385" s="3"/>
      <c r="H385" s="3"/>
      <c r="I385" s="3"/>
      <c r="J385" s="4" t="str">
        <f aca="false">IF(AND($A385&lt;&gt;"",$A385=Подбор!$C$4),MAX(J$1:J384)+1,"")</f>
        <v/>
      </c>
    </row>
    <row r="386" customFormat="false" ht="15" hidden="false" customHeight="false" outlineLevel="0" collapsed="false">
      <c r="A386" s="3" t="s">
        <v>402</v>
      </c>
      <c r="B386" s="3" t="s">
        <v>10</v>
      </c>
      <c r="C386" s="3" t="s">
        <v>11</v>
      </c>
      <c r="D386" s="3" t="s">
        <v>12</v>
      </c>
      <c r="E386" s="3"/>
      <c r="F386" s="3"/>
      <c r="G386" s="3"/>
      <c r="H386" s="3"/>
      <c r="I386" s="3" t="s">
        <v>1440</v>
      </c>
      <c r="J386" s="4" t="str">
        <f aca="false">IF(AND($A386&lt;&gt;"",$A386=Подбор!$C$4),MAX(J$1:J385)+1,"")</f>
        <v/>
      </c>
    </row>
    <row r="387" customFormat="false" ht="15" hidden="false" customHeight="false" outlineLevel="0" collapsed="false">
      <c r="A387" s="3" t="s">
        <v>404</v>
      </c>
      <c r="B387" s="3" t="s">
        <v>10</v>
      </c>
      <c r="C387" s="3" t="s">
        <v>11</v>
      </c>
      <c r="D387" s="3" t="s">
        <v>12</v>
      </c>
      <c r="E387" s="3"/>
      <c r="F387" s="3"/>
      <c r="G387" s="3"/>
      <c r="H387" s="3"/>
      <c r="I387" s="3" t="s">
        <v>1440</v>
      </c>
      <c r="J387" s="4" t="str">
        <f aca="false">IF(AND($A387&lt;&gt;"",$A387=Подбор!$C$4),MAX(J$1:J386)+1,"")</f>
        <v/>
      </c>
    </row>
    <row r="388" customFormat="false" ht="15" hidden="false" customHeight="false" outlineLevel="0" collapsed="false">
      <c r="A388" s="3" t="s">
        <v>405</v>
      </c>
      <c r="B388" s="3" t="s">
        <v>10</v>
      </c>
      <c r="C388" s="3" t="s">
        <v>11</v>
      </c>
      <c r="D388" s="3" t="s">
        <v>12</v>
      </c>
      <c r="E388" s="3"/>
      <c r="F388" s="3"/>
      <c r="G388" s="3"/>
      <c r="H388" s="3"/>
      <c r="I388" s="3" t="s">
        <v>1440</v>
      </c>
      <c r="J388" s="4" t="str">
        <f aca="false">IF(AND($A388&lt;&gt;"",$A388=Подбор!$C$4),MAX(J$1:J387)+1,"")</f>
        <v/>
      </c>
    </row>
    <row r="389" customFormat="false" ht="15" hidden="false" customHeight="false" outlineLevel="0" collapsed="false">
      <c r="A389" s="3" t="s">
        <v>407</v>
      </c>
      <c r="B389" s="3" t="s">
        <v>47</v>
      </c>
      <c r="C389" s="3" t="s">
        <v>11</v>
      </c>
      <c r="D389" s="3" t="s">
        <v>12</v>
      </c>
      <c r="E389" s="3" t="s">
        <v>1429</v>
      </c>
      <c r="F389" s="3" t="s">
        <v>1417</v>
      </c>
      <c r="G389" s="3"/>
      <c r="H389" s="3"/>
      <c r="I389" s="3"/>
      <c r="J389" s="4" t="str">
        <f aca="false">IF(AND($A389&lt;&gt;"",$A389=Подбор!$C$4),MAX(J$1:J388)+1,"")</f>
        <v/>
      </c>
    </row>
    <row r="390" customFormat="false" ht="15" hidden="false" customHeight="false" outlineLevel="0" collapsed="false">
      <c r="A390" s="3" t="s">
        <v>407</v>
      </c>
      <c r="B390" s="3" t="s">
        <v>47</v>
      </c>
      <c r="C390" s="3" t="s">
        <v>14</v>
      </c>
      <c r="D390" s="3" t="s">
        <v>15</v>
      </c>
      <c r="E390" s="3" t="s">
        <v>1431</v>
      </c>
      <c r="F390" s="3" t="s">
        <v>1432</v>
      </c>
      <c r="G390" s="3" t="n">
        <v>60000</v>
      </c>
      <c r="H390" s="3"/>
      <c r="I390" s="3" t="s">
        <v>1415</v>
      </c>
      <c r="J390" s="4" t="str">
        <f aca="false">IF(AND($A390&lt;&gt;"",$A390=Подбор!$C$4),MAX(J$1:J389)+1,"")</f>
        <v/>
      </c>
    </row>
    <row r="391" customFormat="false" ht="15" hidden="false" customHeight="false" outlineLevel="0" collapsed="false">
      <c r="A391" s="3" t="s">
        <v>408</v>
      </c>
      <c r="B391" s="3" t="s">
        <v>10</v>
      </c>
      <c r="C391" s="3" t="s">
        <v>11</v>
      </c>
      <c r="D391" s="3" t="s">
        <v>12</v>
      </c>
      <c r="E391" s="3" t="s">
        <v>1685</v>
      </c>
      <c r="F391" s="3" t="s">
        <v>1403</v>
      </c>
      <c r="G391" s="3"/>
      <c r="H391" s="3"/>
      <c r="I391" s="3"/>
      <c r="J391" s="4" t="str">
        <f aca="false">IF(AND($A391&lt;&gt;"",$A391=Подбор!$C$4),MAX(J$1:J390)+1,"")</f>
        <v/>
      </c>
    </row>
    <row r="392" customFormat="false" ht="15" hidden="false" customHeight="false" outlineLevel="0" collapsed="false">
      <c r="A392" s="3" t="s">
        <v>410</v>
      </c>
      <c r="B392" s="3" t="s">
        <v>10</v>
      </c>
      <c r="C392" s="3" t="s">
        <v>11</v>
      </c>
      <c r="D392" s="3" t="s">
        <v>12</v>
      </c>
      <c r="E392" s="3" t="s">
        <v>1686</v>
      </c>
      <c r="F392" s="3" t="s">
        <v>1403</v>
      </c>
      <c r="G392" s="3"/>
      <c r="H392" s="3"/>
      <c r="I392" s="3"/>
      <c r="J392" s="4" t="str">
        <f aca="false">IF(AND($A392&lt;&gt;"",$A392=Подбор!$C$4),MAX(J$1:J391)+1,"")</f>
        <v/>
      </c>
    </row>
    <row r="393" customFormat="false" ht="15" hidden="false" customHeight="false" outlineLevel="0" collapsed="false">
      <c r="A393" s="3" t="s">
        <v>410</v>
      </c>
      <c r="B393" s="3" t="s">
        <v>10</v>
      </c>
      <c r="C393" s="3" t="s">
        <v>14</v>
      </c>
      <c r="D393" s="3" t="s">
        <v>15</v>
      </c>
      <c r="E393" s="3"/>
      <c r="F393" s="3"/>
      <c r="G393" s="3"/>
      <c r="H393" s="3"/>
      <c r="I393" s="3" t="s">
        <v>1440</v>
      </c>
      <c r="J393" s="4" t="str">
        <f aca="false">IF(AND($A393&lt;&gt;"",$A393=Подбор!$C$4),MAX(J$1:J392)+1,"")</f>
        <v/>
      </c>
    </row>
    <row r="394" customFormat="false" ht="15" hidden="false" customHeight="false" outlineLevel="0" collapsed="false">
      <c r="A394" s="3" t="s">
        <v>412</v>
      </c>
      <c r="B394" s="3" t="s">
        <v>10</v>
      </c>
      <c r="C394" s="3" t="s">
        <v>11</v>
      </c>
      <c r="D394" s="3" t="s">
        <v>12</v>
      </c>
      <c r="E394" s="3" t="s">
        <v>1687</v>
      </c>
      <c r="F394" s="3" t="s">
        <v>1403</v>
      </c>
      <c r="G394" s="3"/>
      <c r="H394" s="3"/>
      <c r="I394" s="3"/>
      <c r="J394" s="4" t="str">
        <f aca="false">IF(AND($A394&lt;&gt;"",$A394=Подбор!$C$4),MAX(J$1:J393)+1,"")</f>
        <v/>
      </c>
    </row>
    <row r="395" customFormat="false" ht="15" hidden="false" customHeight="false" outlineLevel="0" collapsed="false">
      <c r="A395" s="3" t="s">
        <v>412</v>
      </c>
      <c r="B395" s="3" t="s">
        <v>10</v>
      </c>
      <c r="C395" s="3" t="s">
        <v>14</v>
      </c>
      <c r="D395" s="3" t="s">
        <v>15</v>
      </c>
      <c r="E395" s="3"/>
      <c r="F395" s="3"/>
      <c r="G395" s="3"/>
      <c r="H395" s="3"/>
      <c r="I395" s="3" t="s">
        <v>1440</v>
      </c>
      <c r="J395" s="4" t="str">
        <f aca="false">IF(AND($A395&lt;&gt;"",$A395=Подбор!$C$4),MAX(J$1:J394)+1,"")</f>
        <v/>
      </c>
    </row>
    <row r="396" customFormat="false" ht="15" hidden="false" customHeight="false" outlineLevel="0" collapsed="false">
      <c r="A396" s="3" t="s">
        <v>412</v>
      </c>
      <c r="B396" s="3" t="s">
        <v>10</v>
      </c>
      <c r="C396" s="3" t="s">
        <v>28</v>
      </c>
      <c r="D396" s="3" t="s">
        <v>15</v>
      </c>
      <c r="E396" s="3"/>
      <c r="F396" s="3"/>
      <c r="G396" s="3"/>
      <c r="H396" s="3"/>
      <c r="I396" s="3" t="s">
        <v>1440</v>
      </c>
      <c r="J396" s="4" t="str">
        <f aca="false">IF(AND($A396&lt;&gt;"",$A396=Подбор!$C$4),MAX(J$1:J395)+1,"")</f>
        <v/>
      </c>
    </row>
    <row r="397" customFormat="false" ht="15" hidden="false" customHeight="false" outlineLevel="0" collapsed="false">
      <c r="A397" s="3" t="s">
        <v>412</v>
      </c>
      <c r="B397" s="3" t="s">
        <v>10</v>
      </c>
      <c r="C397" s="3" t="s">
        <v>30</v>
      </c>
      <c r="D397" s="3" t="s">
        <v>15</v>
      </c>
      <c r="E397" s="3" t="s">
        <v>1473</v>
      </c>
      <c r="F397" s="3" t="s">
        <v>1403</v>
      </c>
      <c r="G397" s="3"/>
      <c r="H397" s="3"/>
      <c r="I397" s="3"/>
      <c r="J397" s="4" t="str">
        <f aca="false">IF(AND($A397&lt;&gt;"",$A397=Подбор!$C$4),MAX(J$1:J396)+1,"")</f>
        <v/>
      </c>
    </row>
    <row r="398" customFormat="false" ht="15" hidden="false" customHeight="false" outlineLevel="0" collapsed="false">
      <c r="A398" s="3" t="s">
        <v>412</v>
      </c>
      <c r="B398" s="3" t="s">
        <v>10</v>
      </c>
      <c r="C398" s="3" t="s">
        <v>17</v>
      </c>
      <c r="D398" s="3" t="s">
        <v>15</v>
      </c>
      <c r="E398" s="3" t="s">
        <v>1592</v>
      </c>
      <c r="F398" s="3" t="s">
        <v>1403</v>
      </c>
      <c r="G398" s="3"/>
      <c r="H398" s="3"/>
      <c r="I398" s="3"/>
      <c r="J398" s="4" t="str">
        <f aca="false">IF(AND($A398&lt;&gt;"",$A398=Подбор!$C$4),MAX(J$1:J397)+1,"")</f>
        <v/>
      </c>
    </row>
    <row r="399" customFormat="false" ht="15" hidden="false" customHeight="false" outlineLevel="0" collapsed="false">
      <c r="A399" s="3" t="s">
        <v>413</v>
      </c>
      <c r="B399" s="3" t="s">
        <v>10</v>
      </c>
      <c r="C399" s="3" t="s">
        <v>11</v>
      </c>
      <c r="D399" s="3" t="s">
        <v>12</v>
      </c>
      <c r="E399" s="3" t="s">
        <v>1467</v>
      </c>
      <c r="F399" s="3" t="s">
        <v>1403</v>
      </c>
      <c r="G399" s="3"/>
      <c r="H399" s="3"/>
      <c r="I399" s="3"/>
      <c r="J399" s="4" t="str">
        <f aca="false">IF(AND($A399&lt;&gt;"",$A399=Подбор!$C$4),MAX(J$1:J398)+1,"")</f>
        <v/>
      </c>
    </row>
    <row r="400" customFormat="false" ht="15" hidden="false" customHeight="false" outlineLevel="0" collapsed="false">
      <c r="A400" s="3" t="s">
        <v>413</v>
      </c>
      <c r="B400" s="3" t="s">
        <v>10</v>
      </c>
      <c r="C400" s="3" t="s">
        <v>11</v>
      </c>
      <c r="D400" s="3" t="s">
        <v>21</v>
      </c>
      <c r="E400" s="3" t="s">
        <v>1468</v>
      </c>
      <c r="F400" s="3" t="s">
        <v>1403</v>
      </c>
      <c r="G400" s="3"/>
      <c r="H400" s="3"/>
      <c r="I400" s="3"/>
      <c r="J400" s="4" t="str">
        <f aca="false">IF(AND($A400&lt;&gt;"",$A400=Подбор!$C$4),MAX(J$1:J399)+1,"")</f>
        <v/>
      </c>
    </row>
    <row r="401" customFormat="false" ht="15" hidden="false" customHeight="false" outlineLevel="0" collapsed="false">
      <c r="A401" s="3" t="s">
        <v>413</v>
      </c>
      <c r="B401" s="3" t="s">
        <v>10</v>
      </c>
      <c r="C401" s="3" t="s">
        <v>11</v>
      </c>
      <c r="D401" s="3" t="s">
        <v>23</v>
      </c>
      <c r="E401" s="3" t="s">
        <v>1469</v>
      </c>
      <c r="F401" s="3" t="s">
        <v>1403</v>
      </c>
      <c r="G401" s="3"/>
      <c r="H401" s="3"/>
      <c r="I401" s="3"/>
      <c r="J401" s="4" t="str">
        <f aca="false">IF(AND($A401&lt;&gt;"",$A401=Подбор!$C$4),MAX(J$1:J400)+1,"")</f>
        <v/>
      </c>
    </row>
    <row r="402" customFormat="false" ht="15" hidden="false" customHeight="false" outlineLevel="0" collapsed="false">
      <c r="A402" s="3" t="s">
        <v>413</v>
      </c>
      <c r="B402" s="3" t="s">
        <v>10</v>
      </c>
      <c r="C402" s="3" t="s">
        <v>11</v>
      </c>
      <c r="D402" s="3" t="s">
        <v>25</v>
      </c>
      <c r="E402" s="3" t="s">
        <v>1470</v>
      </c>
      <c r="F402" s="3" t="s">
        <v>1403</v>
      </c>
      <c r="G402" s="3"/>
      <c r="H402" s="3"/>
      <c r="I402" s="3"/>
      <c r="J402" s="4" t="str">
        <f aca="false">IF(AND($A402&lt;&gt;"",$A402=Подбор!$C$4),MAX(J$1:J401)+1,"")</f>
        <v/>
      </c>
    </row>
    <row r="403" customFormat="false" ht="15" hidden="false" customHeight="false" outlineLevel="0" collapsed="false">
      <c r="A403" s="3" t="s">
        <v>413</v>
      </c>
      <c r="B403" s="3" t="s">
        <v>10</v>
      </c>
      <c r="C403" s="3" t="s">
        <v>14</v>
      </c>
      <c r="D403" s="3" t="s">
        <v>15</v>
      </c>
      <c r="E403" s="3" t="s">
        <v>1471</v>
      </c>
      <c r="F403" s="3" t="s">
        <v>1472</v>
      </c>
      <c r="G403" s="3"/>
      <c r="H403" s="3"/>
      <c r="I403" s="3"/>
      <c r="J403" s="4" t="str">
        <f aca="false">IF(AND($A403&lt;&gt;"",$A403=Подбор!$C$4),MAX(J$1:J402)+1,"")</f>
        <v/>
      </c>
    </row>
    <row r="404" customFormat="false" ht="15" hidden="false" customHeight="false" outlineLevel="0" collapsed="false">
      <c r="A404" s="3" t="s">
        <v>413</v>
      </c>
      <c r="B404" s="3" t="s">
        <v>10</v>
      </c>
      <c r="C404" s="3" t="s">
        <v>28</v>
      </c>
      <c r="D404" s="3" t="s">
        <v>15</v>
      </c>
      <c r="E404" s="3"/>
      <c r="F404" s="3"/>
      <c r="G404" s="3"/>
      <c r="H404" s="3"/>
      <c r="I404" s="3" t="s">
        <v>1440</v>
      </c>
      <c r="J404" s="4" t="str">
        <f aca="false">IF(AND($A404&lt;&gt;"",$A404=Подбор!$C$4),MAX(J$1:J403)+1,"")</f>
        <v/>
      </c>
    </row>
    <row r="405" customFormat="false" ht="15" hidden="false" customHeight="false" outlineLevel="0" collapsed="false">
      <c r="A405" s="3" t="s">
        <v>413</v>
      </c>
      <c r="B405" s="3" t="s">
        <v>10</v>
      </c>
      <c r="C405" s="3" t="s">
        <v>30</v>
      </c>
      <c r="D405" s="3" t="s">
        <v>15</v>
      </c>
      <c r="E405" s="3" t="s">
        <v>1473</v>
      </c>
      <c r="F405" s="3" t="s">
        <v>1403</v>
      </c>
      <c r="G405" s="3"/>
      <c r="H405" s="3"/>
      <c r="I405" s="3"/>
      <c r="J405" s="4" t="str">
        <f aca="false">IF(AND($A405&lt;&gt;"",$A405=Подбор!$C$4),MAX(J$1:J404)+1,"")</f>
        <v/>
      </c>
    </row>
    <row r="406" customFormat="false" ht="15" hidden="false" customHeight="false" outlineLevel="0" collapsed="false">
      <c r="A406" s="3" t="s">
        <v>413</v>
      </c>
      <c r="B406" s="3" t="s">
        <v>10</v>
      </c>
      <c r="C406" s="3" t="s">
        <v>17</v>
      </c>
      <c r="D406" s="3" t="s">
        <v>15</v>
      </c>
      <c r="E406" s="3" t="s">
        <v>1474</v>
      </c>
      <c r="F406" s="3" t="s">
        <v>1475</v>
      </c>
      <c r="G406" s="3"/>
      <c r="H406" s="3"/>
      <c r="I406" s="3"/>
      <c r="J406" s="4" t="str">
        <f aca="false">IF(AND($A406&lt;&gt;"",$A406=Подбор!$C$4),MAX(J$1:J405)+1,"")</f>
        <v/>
      </c>
    </row>
    <row r="407" customFormat="false" ht="15" hidden="false" customHeight="false" outlineLevel="0" collapsed="false">
      <c r="A407" s="3" t="s">
        <v>414</v>
      </c>
      <c r="B407" s="3" t="s">
        <v>10</v>
      </c>
      <c r="C407" s="3" t="s">
        <v>11</v>
      </c>
      <c r="D407" s="3" t="s">
        <v>12</v>
      </c>
      <c r="E407" s="3" t="s">
        <v>1467</v>
      </c>
      <c r="F407" s="3" t="s">
        <v>1403</v>
      </c>
      <c r="G407" s="3"/>
      <c r="H407" s="3"/>
      <c r="I407" s="3"/>
      <c r="J407" s="4" t="str">
        <f aca="false">IF(AND($A407&lt;&gt;"",$A407=Подбор!$C$4),MAX(J$1:J406)+1,"")</f>
        <v/>
      </c>
    </row>
    <row r="408" customFormat="false" ht="15" hidden="false" customHeight="false" outlineLevel="0" collapsed="false">
      <c r="A408" s="3" t="s">
        <v>414</v>
      </c>
      <c r="B408" s="3" t="s">
        <v>10</v>
      </c>
      <c r="C408" s="3" t="s">
        <v>11</v>
      </c>
      <c r="D408" s="3" t="s">
        <v>21</v>
      </c>
      <c r="E408" s="3" t="s">
        <v>1468</v>
      </c>
      <c r="F408" s="3" t="s">
        <v>1403</v>
      </c>
      <c r="G408" s="3"/>
      <c r="H408" s="3"/>
      <c r="I408" s="3"/>
      <c r="J408" s="4" t="str">
        <f aca="false">IF(AND($A408&lt;&gt;"",$A408=Подбор!$C$4),MAX(J$1:J407)+1,"")</f>
        <v/>
      </c>
    </row>
    <row r="409" customFormat="false" ht="15" hidden="false" customHeight="false" outlineLevel="0" collapsed="false">
      <c r="A409" s="3" t="s">
        <v>414</v>
      </c>
      <c r="B409" s="3" t="s">
        <v>10</v>
      </c>
      <c r="C409" s="3" t="s">
        <v>11</v>
      </c>
      <c r="D409" s="3" t="s">
        <v>23</v>
      </c>
      <c r="E409" s="3" t="s">
        <v>1469</v>
      </c>
      <c r="F409" s="3" t="s">
        <v>1403</v>
      </c>
      <c r="G409" s="3"/>
      <c r="H409" s="3"/>
      <c r="I409" s="3"/>
      <c r="J409" s="4" t="str">
        <f aca="false">IF(AND($A409&lt;&gt;"",$A409=Подбор!$C$4),MAX(J$1:J408)+1,"")</f>
        <v/>
      </c>
    </row>
    <row r="410" customFormat="false" ht="15" hidden="false" customHeight="false" outlineLevel="0" collapsed="false">
      <c r="A410" s="3" t="s">
        <v>414</v>
      </c>
      <c r="B410" s="3" t="s">
        <v>10</v>
      </c>
      <c r="C410" s="3" t="s">
        <v>11</v>
      </c>
      <c r="D410" s="3" t="s">
        <v>25</v>
      </c>
      <c r="E410" s="3" t="s">
        <v>1470</v>
      </c>
      <c r="F410" s="3" t="s">
        <v>1403</v>
      </c>
      <c r="G410" s="3"/>
      <c r="H410" s="3"/>
      <c r="I410" s="3"/>
      <c r="J410" s="4" t="str">
        <f aca="false">IF(AND($A410&lt;&gt;"",$A410=Подбор!$C$4),MAX(J$1:J409)+1,"")</f>
        <v/>
      </c>
    </row>
    <row r="411" customFormat="false" ht="15" hidden="false" customHeight="false" outlineLevel="0" collapsed="false">
      <c r="A411" s="3" t="s">
        <v>414</v>
      </c>
      <c r="B411" s="3" t="s">
        <v>10</v>
      </c>
      <c r="C411" s="3" t="s">
        <v>14</v>
      </c>
      <c r="D411" s="3" t="s">
        <v>15</v>
      </c>
      <c r="E411" s="3" t="s">
        <v>1471</v>
      </c>
      <c r="F411" s="3" t="s">
        <v>1472</v>
      </c>
      <c r="G411" s="3"/>
      <c r="H411" s="3"/>
      <c r="I411" s="3"/>
      <c r="J411" s="4" t="str">
        <f aca="false">IF(AND($A411&lt;&gt;"",$A411=Подбор!$C$4),MAX(J$1:J410)+1,"")</f>
        <v/>
      </c>
    </row>
    <row r="412" customFormat="false" ht="15" hidden="false" customHeight="false" outlineLevel="0" collapsed="false">
      <c r="A412" s="3" t="s">
        <v>414</v>
      </c>
      <c r="B412" s="3" t="s">
        <v>10</v>
      </c>
      <c r="C412" s="3" t="s">
        <v>28</v>
      </c>
      <c r="D412" s="3" t="s">
        <v>15</v>
      </c>
      <c r="E412" s="3"/>
      <c r="F412" s="3"/>
      <c r="G412" s="3"/>
      <c r="H412" s="3"/>
      <c r="I412" s="3" t="s">
        <v>1440</v>
      </c>
      <c r="J412" s="4" t="str">
        <f aca="false">IF(AND($A412&lt;&gt;"",$A412=Подбор!$C$4),MAX(J$1:J411)+1,"")</f>
        <v/>
      </c>
    </row>
    <row r="413" customFormat="false" ht="15" hidden="false" customHeight="false" outlineLevel="0" collapsed="false">
      <c r="A413" s="3" t="s">
        <v>414</v>
      </c>
      <c r="B413" s="3" t="s">
        <v>10</v>
      </c>
      <c r="C413" s="3" t="s">
        <v>30</v>
      </c>
      <c r="D413" s="3" t="s">
        <v>15</v>
      </c>
      <c r="E413" s="3" t="s">
        <v>1473</v>
      </c>
      <c r="F413" s="3" t="s">
        <v>1403</v>
      </c>
      <c r="G413" s="3"/>
      <c r="H413" s="3"/>
      <c r="I413" s="3"/>
      <c r="J413" s="4" t="str">
        <f aca="false">IF(AND($A413&lt;&gt;"",$A413=Подбор!$C$4),MAX(J$1:J412)+1,"")</f>
        <v/>
      </c>
    </row>
    <row r="414" customFormat="false" ht="15" hidden="false" customHeight="false" outlineLevel="0" collapsed="false">
      <c r="A414" s="3" t="s">
        <v>414</v>
      </c>
      <c r="B414" s="3" t="s">
        <v>10</v>
      </c>
      <c r="C414" s="3" t="s">
        <v>17</v>
      </c>
      <c r="D414" s="3" t="s">
        <v>15</v>
      </c>
      <c r="E414" s="3" t="s">
        <v>1474</v>
      </c>
      <c r="F414" s="3" t="s">
        <v>1475</v>
      </c>
      <c r="G414" s="3"/>
      <c r="H414" s="3"/>
      <c r="I414" s="3"/>
      <c r="J414" s="4" t="str">
        <f aca="false">IF(AND($A414&lt;&gt;"",$A414=Подбор!$C$4),MAX(J$1:J413)+1,"")</f>
        <v/>
      </c>
    </row>
    <row r="415" customFormat="false" ht="15" hidden="false" customHeight="false" outlineLevel="0" collapsed="false">
      <c r="A415" s="3" t="s">
        <v>415</v>
      </c>
      <c r="B415" s="3" t="s">
        <v>10</v>
      </c>
      <c r="C415" s="3" t="s">
        <v>11</v>
      </c>
      <c r="D415" s="3" t="s">
        <v>12</v>
      </c>
      <c r="E415" s="3" t="s">
        <v>1688</v>
      </c>
      <c r="F415" s="3" t="s">
        <v>1403</v>
      </c>
      <c r="G415" s="3"/>
      <c r="H415" s="3"/>
      <c r="I415" s="3"/>
      <c r="J415" s="4" t="str">
        <f aca="false">IF(AND($A415&lt;&gt;"",$A415=Подбор!$C$4),MAX(J$1:J414)+1,"")</f>
        <v/>
      </c>
    </row>
    <row r="416" customFormat="false" ht="15" hidden="false" customHeight="false" outlineLevel="0" collapsed="false">
      <c r="A416" s="3" t="s">
        <v>415</v>
      </c>
      <c r="B416" s="3" t="s">
        <v>10</v>
      </c>
      <c r="C416" s="3" t="s">
        <v>11</v>
      </c>
      <c r="D416" s="3" t="s">
        <v>12</v>
      </c>
      <c r="E416" s="3" t="s">
        <v>1689</v>
      </c>
      <c r="F416" s="3" t="s">
        <v>1403</v>
      </c>
      <c r="G416" s="3"/>
      <c r="H416" s="3"/>
      <c r="I416" s="3"/>
      <c r="J416" s="4" t="str">
        <f aca="false">IF(AND($A416&lt;&gt;"",$A416=Подбор!$C$4),MAX(J$1:J415)+1,"")</f>
        <v/>
      </c>
    </row>
    <row r="417" customFormat="false" ht="15" hidden="false" customHeight="false" outlineLevel="0" collapsed="false">
      <c r="A417" s="3" t="s">
        <v>415</v>
      </c>
      <c r="B417" s="3" t="s">
        <v>10</v>
      </c>
      <c r="C417" s="3" t="s">
        <v>11</v>
      </c>
      <c r="D417" s="3" t="s">
        <v>12</v>
      </c>
      <c r="E417" s="3" t="s">
        <v>1690</v>
      </c>
      <c r="F417" s="3" t="s">
        <v>1421</v>
      </c>
      <c r="G417" s="3"/>
      <c r="H417" s="3"/>
      <c r="I417" s="3"/>
      <c r="J417" s="4" t="str">
        <f aca="false">IF(AND($A417&lt;&gt;"",$A417=Подбор!$C$4),MAX(J$1:J416)+1,"")</f>
        <v/>
      </c>
    </row>
    <row r="418" customFormat="false" ht="15" hidden="false" customHeight="false" outlineLevel="0" collapsed="false">
      <c r="A418" s="3" t="s">
        <v>415</v>
      </c>
      <c r="B418" s="3" t="s">
        <v>10</v>
      </c>
      <c r="C418" s="3" t="s">
        <v>14</v>
      </c>
      <c r="D418" s="3" t="s">
        <v>15</v>
      </c>
      <c r="E418" s="3" t="s">
        <v>1691</v>
      </c>
      <c r="F418" s="3" t="s">
        <v>1403</v>
      </c>
      <c r="G418" s="3"/>
      <c r="H418" s="3"/>
      <c r="I418" s="3"/>
      <c r="J418" s="4" t="str">
        <f aca="false">IF(AND($A418&lt;&gt;"",$A418=Подбор!$C$4),MAX(J$1:J417)+1,"")</f>
        <v/>
      </c>
    </row>
    <row r="419" customFormat="false" ht="15" hidden="false" customHeight="false" outlineLevel="0" collapsed="false">
      <c r="A419" s="3" t="s">
        <v>415</v>
      </c>
      <c r="B419" s="3" t="s">
        <v>10</v>
      </c>
      <c r="C419" s="3" t="s">
        <v>30</v>
      </c>
      <c r="D419" s="3" t="s">
        <v>15</v>
      </c>
      <c r="E419" s="3"/>
      <c r="F419" s="3"/>
      <c r="G419" s="3"/>
      <c r="H419" s="3"/>
      <c r="I419" s="3" t="s">
        <v>1440</v>
      </c>
      <c r="J419" s="4" t="str">
        <f aca="false">IF(AND($A419&lt;&gt;"",$A419=Подбор!$C$4),MAX(J$1:J418)+1,"")</f>
        <v/>
      </c>
    </row>
    <row r="420" customFormat="false" ht="15" hidden="false" customHeight="false" outlineLevel="0" collapsed="false">
      <c r="A420" s="3" t="s">
        <v>415</v>
      </c>
      <c r="B420" s="3" t="s">
        <v>10</v>
      </c>
      <c r="C420" s="3" t="s">
        <v>17</v>
      </c>
      <c r="D420" s="3" t="s">
        <v>15</v>
      </c>
      <c r="E420" s="3" t="s">
        <v>1657</v>
      </c>
      <c r="F420" s="3" t="s">
        <v>1403</v>
      </c>
      <c r="G420" s="3"/>
      <c r="H420" s="3"/>
      <c r="I420" s="3"/>
      <c r="J420" s="4" t="str">
        <f aca="false">IF(AND($A420&lt;&gt;"",$A420=Подбор!$C$4),MAX(J$1:J419)+1,"")</f>
        <v/>
      </c>
    </row>
    <row r="421" customFormat="false" ht="15" hidden="false" customHeight="false" outlineLevel="0" collapsed="false">
      <c r="A421" s="3" t="s">
        <v>417</v>
      </c>
      <c r="B421" s="3" t="s">
        <v>10</v>
      </c>
      <c r="C421" s="3" t="s">
        <v>11</v>
      </c>
      <c r="D421" s="3" t="s">
        <v>12</v>
      </c>
      <c r="E421" s="3" t="s">
        <v>1689</v>
      </c>
      <c r="F421" s="3" t="s">
        <v>1403</v>
      </c>
      <c r="G421" s="3"/>
      <c r="H421" s="3"/>
      <c r="I421" s="3"/>
      <c r="J421" s="4" t="str">
        <f aca="false">IF(AND($A421&lt;&gt;"",$A421=Подбор!$C$4),MAX(J$1:J420)+1,"")</f>
        <v/>
      </c>
    </row>
    <row r="422" customFormat="false" ht="15" hidden="false" customHeight="false" outlineLevel="0" collapsed="false">
      <c r="A422" s="3" t="s">
        <v>417</v>
      </c>
      <c r="B422" s="3" t="s">
        <v>10</v>
      </c>
      <c r="C422" s="3" t="s">
        <v>14</v>
      </c>
      <c r="D422" s="3" t="s">
        <v>15</v>
      </c>
      <c r="E422" s="3" t="s">
        <v>1691</v>
      </c>
      <c r="F422" s="3" t="s">
        <v>1403</v>
      </c>
      <c r="G422" s="3"/>
      <c r="H422" s="3"/>
      <c r="I422" s="3"/>
      <c r="J422" s="4" t="str">
        <f aca="false">IF(AND($A422&lt;&gt;"",$A422=Подбор!$C$4),MAX(J$1:J421)+1,"")</f>
        <v/>
      </c>
    </row>
    <row r="423" customFormat="false" ht="15" hidden="false" customHeight="false" outlineLevel="0" collapsed="false">
      <c r="A423" s="3" t="s">
        <v>417</v>
      </c>
      <c r="B423" s="3" t="s">
        <v>10</v>
      </c>
      <c r="C423" s="3" t="s">
        <v>30</v>
      </c>
      <c r="D423" s="3" t="s">
        <v>15</v>
      </c>
      <c r="E423" s="3"/>
      <c r="F423" s="3"/>
      <c r="G423" s="3"/>
      <c r="H423" s="3"/>
      <c r="I423" s="3" t="s">
        <v>1440</v>
      </c>
      <c r="J423" s="4" t="str">
        <f aca="false">IF(AND($A423&lt;&gt;"",$A423=Подбор!$C$4),MAX(J$1:J422)+1,"")</f>
        <v/>
      </c>
    </row>
    <row r="424" customFormat="false" ht="15" hidden="false" customHeight="false" outlineLevel="0" collapsed="false">
      <c r="A424" s="3" t="s">
        <v>417</v>
      </c>
      <c r="B424" s="3" t="s">
        <v>10</v>
      </c>
      <c r="C424" s="3" t="s">
        <v>17</v>
      </c>
      <c r="D424" s="3" t="s">
        <v>15</v>
      </c>
      <c r="E424" s="3" t="s">
        <v>1657</v>
      </c>
      <c r="F424" s="3" t="s">
        <v>1403</v>
      </c>
      <c r="G424" s="3"/>
      <c r="H424" s="3"/>
      <c r="I424" s="3"/>
      <c r="J424" s="4" t="str">
        <f aca="false">IF(AND($A424&lt;&gt;"",$A424=Подбор!$C$4),MAX(J$1:J423)+1,"")</f>
        <v/>
      </c>
    </row>
    <row r="425" customFormat="false" ht="15" hidden="false" customHeight="false" outlineLevel="0" collapsed="false">
      <c r="A425" s="3" t="s">
        <v>418</v>
      </c>
      <c r="B425" s="3" t="s">
        <v>47</v>
      </c>
      <c r="C425" s="3" t="s">
        <v>11</v>
      </c>
      <c r="D425" s="3" t="s">
        <v>12</v>
      </c>
      <c r="E425" s="3" t="s">
        <v>15</v>
      </c>
      <c r="F425" s="3"/>
      <c r="G425" s="3"/>
      <c r="H425" s="3"/>
      <c r="I425" s="3"/>
      <c r="J425" s="4" t="str">
        <f aca="false">IF(AND($A425&lt;&gt;"",$A425=Подбор!$C$4),MAX(J$1:J424)+1,"")</f>
        <v/>
      </c>
    </row>
    <row r="426" customFormat="false" ht="15" hidden="false" customHeight="false" outlineLevel="0" collapsed="false">
      <c r="A426" s="3" t="s">
        <v>418</v>
      </c>
      <c r="B426" s="3" t="s">
        <v>47</v>
      </c>
      <c r="C426" s="3" t="s">
        <v>14</v>
      </c>
      <c r="D426" s="3" t="s">
        <v>15</v>
      </c>
      <c r="E426" s="3"/>
      <c r="F426" s="3"/>
      <c r="G426" s="3"/>
      <c r="H426" s="3"/>
      <c r="I426" s="3" t="s">
        <v>1440</v>
      </c>
      <c r="J426" s="4" t="str">
        <f aca="false">IF(AND($A426&lt;&gt;"",$A426=Подбор!$C$4),MAX(J$1:J425)+1,"")</f>
        <v/>
      </c>
    </row>
    <row r="427" customFormat="false" ht="15" hidden="false" customHeight="false" outlineLevel="0" collapsed="false">
      <c r="A427" s="3" t="s">
        <v>421</v>
      </c>
      <c r="B427" s="3" t="s">
        <v>10</v>
      </c>
      <c r="C427" s="3" t="s">
        <v>11</v>
      </c>
      <c r="D427" s="3" t="s">
        <v>12</v>
      </c>
      <c r="E427" s="3" t="s">
        <v>1692</v>
      </c>
      <c r="F427" s="3" t="s">
        <v>1403</v>
      </c>
      <c r="G427" s="3"/>
      <c r="H427" s="3"/>
      <c r="I427" s="3"/>
      <c r="J427" s="4" t="str">
        <f aca="false">IF(AND($A427&lt;&gt;"",$A427=Подбор!$C$4),MAX(J$1:J426)+1,"")</f>
        <v/>
      </c>
    </row>
    <row r="428" customFormat="false" ht="15" hidden="false" customHeight="false" outlineLevel="0" collapsed="false">
      <c r="A428" s="3" t="s">
        <v>421</v>
      </c>
      <c r="B428" s="3" t="s">
        <v>10</v>
      </c>
      <c r="C428" s="3" t="s">
        <v>14</v>
      </c>
      <c r="D428" s="3" t="s">
        <v>15</v>
      </c>
      <c r="E428" s="3"/>
      <c r="F428" s="3"/>
      <c r="G428" s="3"/>
      <c r="H428" s="3"/>
      <c r="I428" s="3" t="s">
        <v>1440</v>
      </c>
      <c r="J428" s="4" t="str">
        <f aca="false">IF(AND($A428&lt;&gt;"",$A428=Подбор!$C$4),MAX(J$1:J427)+1,"")</f>
        <v/>
      </c>
    </row>
    <row r="429" customFormat="false" ht="15" hidden="false" customHeight="false" outlineLevel="0" collapsed="false">
      <c r="A429" s="3" t="s">
        <v>424</v>
      </c>
      <c r="B429" s="3" t="s">
        <v>10</v>
      </c>
      <c r="C429" s="3" t="s">
        <v>11</v>
      </c>
      <c r="D429" s="3" t="s">
        <v>12</v>
      </c>
      <c r="E429" s="3" t="s">
        <v>1693</v>
      </c>
      <c r="F429" s="3" t="s">
        <v>1403</v>
      </c>
      <c r="G429" s="3"/>
      <c r="H429" s="3"/>
      <c r="I429" s="3"/>
      <c r="J429" s="4" t="str">
        <f aca="false">IF(AND($A429&lt;&gt;"",$A429=Подбор!$C$4),MAX(J$1:J428)+1,"")</f>
        <v/>
      </c>
    </row>
    <row r="430" customFormat="false" ht="15" hidden="false" customHeight="false" outlineLevel="0" collapsed="false">
      <c r="A430" s="3" t="s">
        <v>424</v>
      </c>
      <c r="B430" s="3" t="s">
        <v>10</v>
      </c>
      <c r="C430" s="3" t="s">
        <v>11</v>
      </c>
      <c r="D430" s="3" t="s">
        <v>21</v>
      </c>
      <c r="E430" s="3" t="s">
        <v>1694</v>
      </c>
      <c r="F430" s="3" t="s">
        <v>1403</v>
      </c>
      <c r="G430" s="3"/>
      <c r="H430" s="3"/>
      <c r="I430" s="3"/>
      <c r="J430" s="4" t="str">
        <f aca="false">IF(AND($A430&lt;&gt;"",$A430=Подбор!$C$4),MAX(J$1:J429)+1,"")</f>
        <v/>
      </c>
    </row>
    <row r="431" customFormat="false" ht="15" hidden="false" customHeight="false" outlineLevel="0" collapsed="false">
      <c r="A431" s="3" t="s">
        <v>424</v>
      </c>
      <c r="B431" s="3" t="s">
        <v>10</v>
      </c>
      <c r="C431" s="3" t="s">
        <v>11</v>
      </c>
      <c r="D431" s="3" t="s">
        <v>23</v>
      </c>
      <c r="E431" s="3" t="s">
        <v>1695</v>
      </c>
      <c r="F431" s="3" t="s">
        <v>1403</v>
      </c>
      <c r="G431" s="3"/>
      <c r="H431" s="3"/>
      <c r="I431" s="3"/>
      <c r="J431" s="4" t="str">
        <f aca="false">IF(AND($A431&lt;&gt;"",$A431=Подбор!$C$4),MAX(J$1:J430)+1,"")</f>
        <v/>
      </c>
    </row>
    <row r="432" customFormat="false" ht="15" hidden="false" customHeight="false" outlineLevel="0" collapsed="false">
      <c r="A432" s="3" t="s">
        <v>424</v>
      </c>
      <c r="B432" s="3" t="s">
        <v>10</v>
      </c>
      <c r="C432" s="3" t="s">
        <v>11</v>
      </c>
      <c r="D432" s="3" t="s">
        <v>25</v>
      </c>
      <c r="E432" s="3" t="s">
        <v>1696</v>
      </c>
      <c r="F432" s="3" t="s">
        <v>1403</v>
      </c>
      <c r="G432" s="3"/>
      <c r="H432" s="3"/>
      <c r="I432" s="3"/>
      <c r="J432" s="4" t="str">
        <f aca="false">IF(AND($A432&lt;&gt;"",$A432=Подбор!$C$4),MAX(J$1:J431)+1,"")</f>
        <v/>
      </c>
    </row>
    <row r="433" customFormat="false" ht="15" hidden="false" customHeight="false" outlineLevel="0" collapsed="false">
      <c r="A433" s="3" t="s">
        <v>424</v>
      </c>
      <c r="B433" s="3" t="s">
        <v>10</v>
      </c>
      <c r="C433" s="3" t="s">
        <v>14</v>
      </c>
      <c r="D433" s="3" t="s">
        <v>15</v>
      </c>
      <c r="E433" s="3" t="s">
        <v>1471</v>
      </c>
      <c r="F433" s="3" t="s">
        <v>1472</v>
      </c>
      <c r="G433" s="3"/>
      <c r="H433" s="3"/>
      <c r="I433" s="3"/>
      <c r="J433" s="4" t="str">
        <f aca="false">IF(AND($A433&lt;&gt;"",$A433=Подбор!$C$4),MAX(J$1:J432)+1,"")</f>
        <v/>
      </c>
    </row>
    <row r="434" customFormat="false" ht="15" hidden="false" customHeight="false" outlineLevel="0" collapsed="false">
      <c r="A434" s="3" t="s">
        <v>424</v>
      </c>
      <c r="B434" s="3" t="s">
        <v>10</v>
      </c>
      <c r="C434" s="3" t="s">
        <v>30</v>
      </c>
      <c r="D434" s="3" t="s">
        <v>15</v>
      </c>
      <c r="E434" s="3" t="s">
        <v>1473</v>
      </c>
      <c r="F434" s="3" t="s">
        <v>1403</v>
      </c>
      <c r="G434" s="3"/>
      <c r="H434" s="3"/>
      <c r="I434" s="3"/>
      <c r="J434" s="4" t="str">
        <f aca="false">IF(AND($A434&lt;&gt;"",$A434=Подбор!$C$4),MAX(J$1:J433)+1,"")</f>
        <v/>
      </c>
    </row>
    <row r="435" customFormat="false" ht="15" hidden="false" customHeight="false" outlineLevel="0" collapsed="false">
      <c r="A435" s="3" t="s">
        <v>424</v>
      </c>
      <c r="B435" s="3" t="s">
        <v>10</v>
      </c>
      <c r="C435" s="3" t="s">
        <v>17</v>
      </c>
      <c r="D435" s="3" t="s">
        <v>15</v>
      </c>
      <c r="E435" s="3"/>
      <c r="F435" s="3"/>
      <c r="G435" s="3"/>
      <c r="H435" s="3"/>
      <c r="I435" s="3" t="s">
        <v>1440</v>
      </c>
      <c r="J435" s="4" t="str">
        <f aca="false">IF(AND($A435&lt;&gt;"",$A435=Подбор!$C$4),MAX(J$1:J434)+1,"")</f>
        <v/>
      </c>
    </row>
    <row r="436" customFormat="false" ht="15" hidden="false" customHeight="false" outlineLevel="0" collapsed="false">
      <c r="A436" s="3" t="s">
        <v>430</v>
      </c>
      <c r="B436" s="3" t="s">
        <v>10</v>
      </c>
      <c r="C436" s="3" t="s">
        <v>11</v>
      </c>
      <c r="D436" s="3" t="s">
        <v>12</v>
      </c>
      <c r="E436" s="3" t="s">
        <v>1697</v>
      </c>
      <c r="F436" s="3" t="s">
        <v>1403</v>
      </c>
      <c r="G436" s="3"/>
      <c r="H436" s="3"/>
      <c r="I436" s="3"/>
      <c r="J436" s="4" t="str">
        <f aca="false">IF(AND($A436&lt;&gt;"",$A436=Подбор!$C$4),MAX(J$1:J435)+1,"")</f>
        <v/>
      </c>
    </row>
    <row r="437" customFormat="false" ht="15" hidden="false" customHeight="false" outlineLevel="0" collapsed="false">
      <c r="A437" s="3" t="s">
        <v>432</v>
      </c>
      <c r="B437" s="3" t="s">
        <v>10</v>
      </c>
      <c r="C437" s="3" t="s">
        <v>11</v>
      </c>
      <c r="D437" s="3" t="s">
        <v>12</v>
      </c>
      <c r="E437" s="3" t="s">
        <v>1698</v>
      </c>
      <c r="F437" s="3" t="s">
        <v>1403</v>
      </c>
      <c r="G437" s="3"/>
      <c r="H437" s="3"/>
      <c r="I437" s="3"/>
      <c r="J437" s="4" t="str">
        <f aca="false">IF(AND($A437&lt;&gt;"",$A437=Подбор!$C$4),MAX(J$1:J436)+1,"")</f>
        <v/>
      </c>
    </row>
    <row r="438" customFormat="false" ht="15" hidden="false" customHeight="false" outlineLevel="0" collapsed="false">
      <c r="A438" s="3" t="s">
        <v>434</v>
      </c>
      <c r="B438" s="3" t="s">
        <v>397</v>
      </c>
      <c r="C438" s="3" t="s">
        <v>11</v>
      </c>
      <c r="D438" s="3" t="s">
        <v>12</v>
      </c>
      <c r="E438" s="3"/>
      <c r="F438" s="3"/>
      <c r="G438" s="3"/>
      <c r="H438" s="3"/>
      <c r="I438" s="3" t="s">
        <v>1440</v>
      </c>
      <c r="J438" s="4" t="str">
        <f aca="false">IF(AND($A438&lt;&gt;"",$A438=Подбор!$C$4),MAX(J$1:J437)+1,"")</f>
        <v/>
      </c>
    </row>
    <row r="439" customFormat="false" ht="15" hidden="false" customHeight="false" outlineLevel="0" collapsed="false">
      <c r="A439" s="3" t="s">
        <v>434</v>
      </c>
      <c r="B439" s="3" t="s">
        <v>397</v>
      </c>
      <c r="C439" s="3" t="s">
        <v>11</v>
      </c>
      <c r="D439" s="3" t="s">
        <v>21</v>
      </c>
      <c r="E439" s="3"/>
      <c r="F439" s="3"/>
      <c r="G439" s="3"/>
      <c r="H439" s="3"/>
      <c r="I439" s="3" t="s">
        <v>1440</v>
      </c>
      <c r="J439" s="4" t="str">
        <f aca="false">IF(AND($A439&lt;&gt;"",$A439=Подбор!$C$4),MAX(J$1:J438)+1,"")</f>
        <v/>
      </c>
    </row>
    <row r="440" customFormat="false" ht="15" hidden="false" customHeight="false" outlineLevel="0" collapsed="false">
      <c r="A440" s="3" t="s">
        <v>434</v>
      </c>
      <c r="B440" s="3" t="s">
        <v>397</v>
      </c>
      <c r="C440" s="3" t="s">
        <v>11</v>
      </c>
      <c r="D440" s="3" t="s">
        <v>23</v>
      </c>
      <c r="E440" s="3"/>
      <c r="F440" s="3"/>
      <c r="G440" s="3"/>
      <c r="H440" s="3"/>
      <c r="I440" s="3" t="s">
        <v>1440</v>
      </c>
      <c r="J440" s="4" t="str">
        <f aca="false">IF(AND($A440&lt;&gt;"",$A440=Подбор!$C$4),MAX(J$1:J439)+1,"")</f>
        <v/>
      </c>
    </row>
    <row r="441" customFormat="false" ht="15" hidden="false" customHeight="false" outlineLevel="0" collapsed="false">
      <c r="A441" s="3" t="s">
        <v>434</v>
      </c>
      <c r="B441" s="3" t="s">
        <v>397</v>
      </c>
      <c r="C441" s="3" t="s">
        <v>11</v>
      </c>
      <c r="D441" s="3" t="s">
        <v>25</v>
      </c>
      <c r="E441" s="3"/>
      <c r="F441" s="3"/>
      <c r="G441" s="3"/>
      <c r="H441" s="3"/>
      <c r="I441" s="3" t="s">
        <v>1440</v>
      </c>
      <c r="J441" s="4" t="str">
        <f aca="false">IF(AND($A441&lt;&gt;"",$A441=Подбор!$C$4),MAX(J$1:J440)+1,"")</f>
        <v/>
      </c>
    </row>
    <row r="442" customFormat="false" ht="15" hidden="false" customHeight="false" outlineLevel="0" collapsed="false">
      <c r="A442" s="3" t="s">
        <v>434</v>
      </c>
      <c r="B442" s="3" t="s">
        <v>397</v>
      </c>
      <c r="C442" s="3" t="s">
        <v>14</v>
      </c>
      <c r="D442" s="3" t="s">
        <v>15</v>
      </c>
      <c r="E442" s="3"/>
      <c r="F442" s="3"/>
      <c r="G442" s="3"/>
      <c r="H442" s="3"/>
      <c r="I442" s="3" t="s">
        <v>1440</v>
      </c>
      <c r="J442" s="4" t="str">
        <f aca="false">IF(AND($A442&lt;&gt;"",$A442=Подбор!$C$4),MAX(J$1:J441)+1,"")</f>
        <v/>
      </c>
    </row>
    <row r="443" customFormat="false" ht="15" hidden="false" customHeight="false" outlineLevel="0" collapsed="false">
      <c r="A443" s="3" t="s">
        <v>434</v>
      </c>
      <c r="B443" s="3" t="s">
        <v>397</v>
      </c>
      <c r="C443" s="3" t="s">
        <v>28</v>
      </c>
      <c r="D443" s="3" t="s">
        <v>15</v>
      </c>
      <c r="E443" s="3"/>
      <c r="F443" s="3"/>
      <c r="G443" s="3"/>
      <c r="H443" s="3"/>
      <c r="I443" s="3" t="s">
        <v>1440</v>
      </c>
      <c r="J443" s="4" t="str">
        <f aca="false">IF(AND($A443&lt;&gt;"",$A443=Подбор!$C$4),MAX(J$1:J442)+1,"")</f>
        <v/>
      </c>
    </row>
    <row r="444" customFormat="false" ht="15" hidden="false" customHeight="false" outlineLevel="0" collapsed="false">
      <c r="A444" s="3" t="s">
        <v>434</v>
      </c>
      <c r="B444" s="3" t="s">
        <v>397</v>
      </c>
      <c r="C444" s="3" t="s">
        <v>30</v>
      </c>
      <c r="D444" s="3" t="s">
        <v>15</v>
      </c>
      <c r="E444" s="3"/>
      <c r="F444" s="3"/>
      <c r="G444" s="3"/>
      <c r="H444" s="3"/>
      <c r="I444" s="3" t="s">
        <v>1440</v>
      </c>
      <c r="J444" s="4" t="str">
        <f aca="false">IF(AND($A444&lt;&gt;"",$A444=Подбор!$C$4),MAX(J$1:J443)+1,"")</f>
        <v/>
      </c>
    </row>
    <row r="445" customFormat="false" ht="15" hidden="false" customHeight="false" outlineLevel="0" collapsed="false">
      <c r="A445" s="3" t="s">
        <v>434</v>
      </c>
      <c r="B445" s="3" t="s">
        <v>397</v>
      </c>
      <c r="C445" s="3" t="s">
        <v>17</v>
      </c>
      <c r="D445" s="3" t="s">
        <v>15</v>
      </c>
      <c r="E445" s="3"/>
      <c r="F445" s="3"/>
      <c r="G445" s="3"/>
      <c r="H445" s="3"/>
      <c r="I445" s="3" t="s">
        <v>1440</v>
      </c>
      <c r="J445" s="4" t="str">
        <f aca="false">IF(AND($A445&lt;&gt;"",$A445=Подбор!$C$4),MAX(J$1:J444)+1,"")</f>
        <v/>
      </c>
    </row>
    <row r="446" customFormat="false" ht="15" hidden="false" customHeight="false" outlineLevel="0" collapsed="false">
      <c r="A446" s="3" t="s">
        <v>443</v>
      </c>
      <c r="B446" s="3" t="s">
        <v>397</v>
      </c>
      <c r="C446" s="3" t="s">
        <v>11</v>
      </c>
      <c r="D446" s="3" t="s">
        <v>12</v>
      </c>
      <c r="E446" s="3"/>
      <c r="F446" s="3"/>
      <c r="G446" s="3"/>
      <c r="H446" s="3"/>
      <c r="I446" s="3" t="s">
        <v>1440</v>
      </c>
      <c r="J446" s="4" t="str">
        <f aca="false">IF(AND($A446&lt;&gt;"",$A446=Подбор!$C$4),MAX(J$1:J445)+1,"")</f>
        <v/>
      </c>
    </row>
    <row r="447" customFormat="false" ht="15" hidden="false" customHeight="false" outlineLevel="0" collapsed="false">
      <c r="A447" s="3" t="s">
        <v>443</v>
      </c>
      <c r="B447" s="3" t="s">
        <v>397</v>
      </c>
      <c r="C447" s="3" t="s">
        <v>11</v>
      </c>
      <c r="D447" s="3" t="s">
        <v>21</v>
      </c>
      <c r="E447" s="3"/>
      <c r="F447" s="3"/>
      <c r="G447" s="3"/>
      <c r="H447" s="3"/>
      <c r="I447" s="3" t="s">
        <v>1440</v>
      </c>
      <c r="J447" s="4" t="str">
        <f aca="false">IF(AND($A447&lt;&gt;"",$A447=Подбор!$C$4),MAX(J$1:J446)+1,"")</f>
        <v/>
      </c>
    </row>
    <row r="448" customFormat="false" ht="15" hidden="false" customHeight="false" outlineLevel="0" collapsed="false">
      <c r="A448" s="3" t="s">
        <v>443</v>
      </c>
      <c r="B448" s="3" t="s">
        <v>397</v>
      </c>
      <c r="C448" s="3" t="s">
        <v>11</v>
      </c>
      <c r="D448" s="3" t="s">
        <v>23</v>
      </c>
      <c r="E448" s="3"/>
      <c r="F448" s="3"/>
      <c r="G448" s="3"/>
      <c r="H448" s="3"/>
      <c r="I448" s="3" t="s">
        <v>1440</v>
      </c>
      <c r="J448" s="4" t="str">
        <f aca="false">IF(AND($A448&lt;&gt;"",$A448=Подбор!$C$4),MAX(J$1:J447)+1,"")</f>
        <v/>
      </c>
    </row>
    <row r="449" customFormat="false" ht="15" hidden="false" customHeight="false" outlineLevel="0" collapsed="false">
      <c r="A449" s="3" t="s">
        <v>443</v>
      </c>
      <c r="B449" s="3" t="s">
        <v>397</v>
      </c>
      <c r="C449" s="3" t="s">
        <v>11</v>
      </c>
      <c r="D449" s="3" t="s">
        <v>25</v>
      </c>
      <c r="E449" s="3"/>
      <c r="F449" s="3"/>
      <c r="G449" s="3"/>
      <c r="H449" s="3"/>
      <c r="I449" s="3" t="s">
        <v>1440</v>
      </c>
      <c r="J449" s="4" t="str">
        <f aca="false">IF(AND($A449&lt;&gt;"",$A449=Подбор!$C$4),MAX(J$1:J448)+1,"")</f>
        <v/>
      </c>
    </row>
    <row r="450" customFormat="false" ht="15" hidden="false" customHeight="false" outlineLevel="0" collapsed="false">
      <c r="A450" s="3" t="s">
        <v>443</v>
      </c>
      <c r="B450" s="3" t="s">
        <v>397</v>
      </c>
      <c r="C450" s="3" t="s">
        <v>14</v>
      </c>
      <c r="D450" s="3" t="s">
        <v>15</v>
      </c>
      <c r="E450" s="3"/>
      <c r="F450" s="3"/>
      <c r="G450" s="3"/>
      <c r="H450" s="3"/>
      <c r="I450" s="3" t="s">
        <v>1440</v>
      </c>
      <c r="J450" s="4" t="str">
        <f aca="false">IF(AND($A450&lt;&gt;"",$A450=Подбор!$C$4),MAX(J$1:J449)+1,"")</f>
        <v/>
      </c>
    </row>
    <row r="451" customFormat="false" ht="15" hidden="false" customHeight="false" outlineLevel="0" collapsed="false">
      <c r="A451" s="3" t="s">
        <v>443</v>
      </c>
      <c r="B451" s="3" t="s">
        <v>397</v>
      </c>
      <c r="C451" s="3" t="s">
        <v>28</v>
      </c>
      <c r="D451" s="3" t="s">
        <v>15</v>
      </c>
      <c r="E451" s="3"/>
      <c r="F451" s="3"/>
      <c r="G451" s="3"/>
      <c r="H451" s="3"/>
      <c r="I451" s="3" t="s">
        <v>1440</v>
      </c>
      <c r="J451" s="4" t="str">
        <f aca="false">IF(AND($A451&lt;&gt;"",$A451=Подбор!$C$4),MAX(J$1:J450)+1,"")</f>
        <v/>
      </c>
    </row>
    <row r="452" customFormat="false" ht="15" hidden="false" customHeight="false" outlineLevel="0" collapsed="false">
      <c r="A452" s="3" t="s">
        <v>443</v>
      </c>
      <c r="B452" s="3" t="s">
        <v>397</v>
      </c>
      <c r="C452" s="3" t="s">
        <v>30</v>
      </c>
      <c r="D452" s="3" t="s">
        <v>15</v>
      </c>
      <c r="E452" s="3"/>
      <c r="F452" s="3"/>
      <c r="G452" s="3"/>
      <c r="H452" s="3"/>
      <c r="I452" s="3" t="s">
        <v>1440</v>
      </c>
      <c r="J452" s="4" t="str">
        <f aca="false">IF(AND($A452&lt;&gt;"",$A452=Подбор!$C$4),MAX(J$1:J451)+1,"")</f>
        <v/>
      </c>
    </row>
    <row r="453" customFormat="false" ht="15" hidden="false" customHeight="false" outlineLevel="0" collapsed="false">
      <c r="A453" s="3" t="s">
        <v>443</v>
      </c>
      <c r="B453" s="3" t="s">
        <v>397</v>
      </c>
      <c r="C453" s="3" t="s">
        <v>17</v>
      </c>
      <c r="D453" s="3" t="s">
        <v>15</v>
      </c>
      <c r="E453" s="3"/>
      <c r="F453" s="3"/>
      <c r="G453" s="3"/>
      <c r="H453" s="3"/>
      <c r="I453" s="3" t="s">
        <v>1440</v>
      </c>
      <c r="J453" s="4" t="str">
        <f aca="false">IF(AND($A453&lt;&gt;"",$A453=Подбор!$C$4),MAX(J$1:J452)+1,"")</f>
        <v/>
      </c>
    </row>
    <row r="454" customFormat="false" ht="15" hidden="false" customHeight="false" outlineLevel="0" collapsed="false">
      <c r="A454" s="3" t="s">
        <v>444</v>
      </c>
      <c r="B454" s="3" t="s">
        <v>10</v>
      </c>
      <c r="C454" s="3" t="s">
        <v>11</v>
      </c>
      <c r="D454" s="3" t="s">
        <v>12</v>
      </c>
      <c r="E454" s="3" t="s">
        <v>1699</v>
      </c>
      <c r="F454" s="3" t="s">
        <v>1403</v>
      </c>
      <c r="G454" s="3"/>
      <c r="H454" s="3"/>
      <c r="I454" s="3"/>
      <c r="J454" s="4" t="str">
        <f aca="false">IF(AND($A454&lt;&gt;"",$A454=Подбор!$C$4),MAX(J$1:J453)+1,"")</f>
        <v/>
      </c>
    </row>
    <row r="455" customFormat="false" ht="15" hidden="false" customHeight="false" outlineLevel="0" collapsed="false">
      <c r="A455" s="3" t="s">
        <v>446</v>
      </c>
      <c r="B455" s="3" t="s">
        <v>10</v>
      </c>
      <c r="C455" s="3" t="s">
        <v>11</v>
      </c>
      <c r="D455" s="3" t="s">
        <v>12</v>
      </c>
      <c r="E455" s="3" t="s">
        <v>1699</v>
      </c>
      <c r="F455" s="3" t="s">
        <v>1403</v>
      </c>
      <c r="G455" s="3"/>
      <c r="H455" s="3"/>
      <c r="I455" s="3"/>
      <c r="J455" s="4" t="str">
        <f aca="false">IF(AND($A455&lt;&gt;"",$A455=Подбор!$C$4),MAX(J$1:J454)+1,"")</f>
        <v/>
      </c>
    </row>
    <row r="456" customFormat="false" ht="15" hidden="false" customHeight="false" outlineLevel="0" collapsed="false">
      <c r="A456" s="3" t="s">
        <v>447</v>
      </c>
      <c r="B456" s="3" t="s">
        <v>10</v>
      </c>
      <c r="C456" s="3" t="s">
        <v>11</v>
      </c>
      <c r="D456" s="3" t="s">
        <v>12</v>
      </c>
      <c r="E456" s="3" t="s">
        <v>1406</v>
      </c>
      <c r="F456" s="3" t="s">
        <v>1403</v>
      </c>
      <c r="G456" s="3"/>
      <c r="H456" s="3"/>
      <c r="I456" s="3"/>
      <c r="J456" s="4" t="str">
        <f aca="false">IF(AND($A456&lt;&gt;"",$A456=Подбор!$C$4),MAX(J$1:J455)+1,"")</f>
        <v/>
      </c>
    </row>
    <row r="457" customFormat="false" ht="15" hidden="false" customHeight="false" outlineLevel="0" collapsed="false">
      <c r="A457" s="3" t="s">
        <v>447</v>
      </c>
      <c r="B457" s="3" t="s">
        <v>10</v>
      </c>
      <c r="C457" s="3" t="s">
        <v>11</v>
      </c>
      <c r="D457" s="3" t="s">
        <v>21</v>
      </c>
      <c r="E457" s="3" t="s">
        <v>1407</v>
      </c>
      <c r="F457" s="3" t="s">
        <v>1403</v>
      </c>
      <c r="G457" s="3"/>
      <c r="H457" s="3"/>
      <c r="I457" s="3"/>
      <c r="J457" s="4" t="str">
        <f aca="false">IF(AND($A457&lt;&gt;"",$A457=Подбор!$C$4),MAX(J$1:J456)+1,"")</f>
        <v/>
      </c>
    </row>
    <row r="458" customFormat="false" ht="15" hidden="false" customHeight="false" outlineLevel="0" collapsed="false">
      <c r="A458" s="3" t="s">
        <v>447</v>
      </c>
      <c r="B458" s="3" t="s">
        <v>10</v>
      </c>
      <c r="C458" s="3" t="s">
        <v>11</v>
      </c>
      <c r="D458" s="3" t="s">
        <v>23</v>
      </c>
      <c r="E458" s="3" t="s">
        <v>1408</v>
      </c>
      <c r="F458" s="3" t="s">
        <v>1403</v>
      </c>
      <c r="G458" s="3"/>
      <c r="H458" s="3"/>
      <c r="I458" s="3"/>
      <c r="J458" s="4" t="str">
        <f aca="false">IF(AND($A458&lt;&gt;"",$A458=Подбор!$C$4),MAX(J$1:J457)+1,"")</f>
        <v/>
      </c>
    </row>
    <row r="459" customFormat="false" ht="15" hidden="false" customHeight="false" outlineLevel="0" collapsed="false">
      <c r="A459" s="3" t="s">
        <v>447</v>
      </c>
      <c r="B459" s="3" t="s">
        <v>10</v>
      </c>
      <c r="C459" s="3" t="s">
        <v>11</v>
      </c>
      <c r="D459" s="3" t="s">
        <v>25</v>
      </c>
      <c r="E459" s="3" t="s">
        <v>1409</v>
      </c>
      <c r="F459" s="3" t="s">
        <v>1403</v>
      </c>
      <c r="G459" s="3"/>
      <c r="H459" s="3"/>
      <c r="I459" s="3"/>
      <c r="J459" s="4" t="str">
        <f aca="false">IF(AND($A459&lt;&gt;"",$A459=Подбор!$C$4),MAX(J$1:J458)+1,"")</f>
        <v/>
      </c>
    </row>
    <row r="460" customFormat="false" ht="15" hidden="false" customHeight="false" outlineLevel="0" collapsed="false">
      <c r="A460" s="3" t="s">
        <v>447</v>
      </c>
      <c r="B460" s="3" t="s">
        <v>10</v>
      </c>
      <c r="C460" s="3" t="s">
        <v>14</v>
      </c>
      <c r="D460" s="3" t="s">
        <v>15</v>
      </c>
      <c r="E460" s="3" t="s">
        <v>1410</v>
      </c>
      <c r="F460" s="3" t="s">
        <v>1403</v>
      </c>
      <c r="G460" s="3"/>
      <c r="H460" s="3"/>
      <c r="I460" s="3"/>
      <c r="J460" s="4" t="str">
        <f aca="false">IF(AND($A460&lt;&gt;"",$A460=Подбор!$C$4),MAX(J$1:J459)+1,"")</f>
        <v/>
      </c>
    </row>
    <row r="461" customFormat="false" ht="15" hidden="false" customHeight="false" outlineLevel="0" collapsed="false">
      <c r="A461" s="3" t="s">
        <v>447</v>
      </c>
      <c r="B461" s="3" t="s">
        <v>10</v>
      </c>
      <c r="C461" s="3" t="s">
        <v>28</v>
      </c>
      <c r="D461" s="3" t="s">
        <v>15</v>
      </c>
      <c r="E461" s="3" t="s">
        <v>1411</v>
      </c>
      <c r="F461" s="3" t="s">
        <v>1403</v>
      </c>
      <c r="G461" s="3"/>
      <c r="H461" s="3"/>
      <c r="I461" s="3"/>
      <c r="J461" s="4" t="str">
        <f aca="false">IF(AND($A461&lt;&gt;"",$A461=Подбор!$C$4),MAX(J$1:J460)+1,"")</f>
        <v/>
      </c>
    </row>
    <row r="462" customFormat="false" ht="15" hidden="false" customHeight="false" outlineLevel="0" collapsed="false">
      <c r="A462" s="3" t="s">
        <v>447</v>
      </c>
      <c r="B462" s="3" t="s">
        <v>10</v>
      </c>
      <c r="C462" s="3" t="s">
        <v>30</v>
      </c>
      <c r="D462" s="3" t="s">
        <v>15</v>
      </c>
      <c r="E462" s="3" t="s">
        <v>1412</v>
      </c>
      <c r="F462" s="3" t="s">
        <v>1403</v>
      </c>
      <c r="G462" s="3"/>
      <c r="H462" s="3"/>
      <c r="I462" s="3"/>
      <c r="J462" s="4" t="str">
        <f aca="false">IF(AND($A462&lt;&gt;"",$A462=Подбор!$C$4),MAX(J$1:J461)+1,"")</f>
        <v/>
      </c>
    </row>
    <row r="463" customFormat="false" ht="15" hidden="false" customHeight="false" outlineLevel="0" collapsed="false">
      <c r="A463" s="3" t="s">
        <v>447</v>
      </c>
      <c r="B463" s="3" t="s">
        <v>10</v>
      </c>
      <c r="C463" s="3" t="s">
        <v>17</v>
      </c>
      <c r="D463" s="3" t="s">
        <v>15</v>
      </c>
      <c r="E463" s="3" t="s">
        <v>1413</v>
      </c>
      <c r="F463" s="3" t="s">
        <v>1403</v>
      </c>
      <c r="G463" s="3"/>
      <c r="H463" s="3"/>
      <c r="I463" s="3"/>
      <c r="J463" s="4" t="str">
        <f aca="false">IF(AND($A463&lt;&gt;"",$A463=Подбор!$C$4),MAX(J$1:J462)+1,"")</f>
        <v/>
      </c>
    </row>
    <row r="464" customFormat="false" ht="15" hidden="false" customHeight="false" outlineLevel="0" collapsed="false">
      <c r="A464" s="3" t="s">
        <v>448</v>
      </c>
      <c r="B464" s="3" t="s">
        <v>10</v>
      </c>
      <c r="C464" s="3" t="s">
        <v>11</v>
      </c>
      <c r="D464" s="3" t="s">
        <v>12</v>
      </c>
      <c r="E464" s="3" t="s">
        <v>1406</v>
      </c>
      <c r="F464" s="3" t="s">
        <v>1403</v>
      </c>
      <c r="G464" s="3"/>
      <c r="H464" s="3"/>
      <c r="I464" s="3"/>
      <c r="J464" s="4" t="str">
        <f aca="false">IF(AND($A464&lt;&gt;"",$A464=Подбор!$C$4),MAX(J$1:J463)+1,"")</f>
        <v/>
      </c>
    </row>
    <row r="465" customFormat="false" ht="15" hidden="false" customHeight="false" outlineLevel="0" collapsed="false">
      <c r="A465" s="3" t="s">
        <v>448</v>
      </c>
      <c r="B465" s="3" t="s">
        <v>10</v>
      </c>
      <c r="C465" s="3" t="s">
        <v>11</v>
      </c>
      <c r="D465" s="3" t="s">
        <v>21</v>
      </c>
      <c r="E465" s="3" t="s">
        <v>1407</v>
      </c>
      <c r="F465" s="3" t="s">
        <v>1403</v>
      </c>
      <c r="G465" s="3"/>
      <c r="H465" s="3"/>
      <c r="I465" s="3"/>
      <c r="J465" s="4" t="str">
        <f aca="false">IF(AND($A465&lt;&gt;"",$A465=Подбор!$C$4),MAX(J$1:J464)+1,"")</f>
        <v/>
      </c>
    </row>
    <row r="466" customFormat="false" ht="15" hidden="false" customHeight="false" outlineLevel="0" collapsed="false">
      <c r="A466" s="3" t="s">
        <v>448</v>
      </c>
      <c r="B466" s="3" t="s">
        <v>10</v>
      </c>
      <c r="C466" s="3" t="s">
        <v>11</v>
      </c>
      <c r="D466" s="3" t="s">
        <v>23</v>
      </c>
      <c r="E466" s="3" t="s">
        <v>1408</v>
      </c>
      <c r="F466" s="3" t="s">
        <v>1403</v>
      </c>
      <c r="G466" s="3"/>
      <c r="H466" s="3"/>
      <c r="I466" s="3"/>
      <c r="J466" s="4" t="str">
        <f aca="false">IF(AND($A466&lt;&gt;"",$A466=Подбор!$C$4),MAX(J$1:J465)+1,"")</f>
        <v/>
      </c>
    </row>
    <row r="467" customFormat="false" ht="15" hidden="false" customHeight="false" outlineLevel="0" collapsed="false">
      <c r="A467" s="3" t="s">
        <v>448</v>
      </c>
      <c r="B467" s="3" t="s">
        <v>10</v>
      </c>
      <c r="C467" s="3" t="s">
        <v>11</v>
      </c>
      <c r="D467" s="3" t="s">
        <v>25</v>
      </c>
      <c r="E467" s="3" t="s">
        <v>1409</v>
      </c>
      <c r="F467" s="3" t="s">
        <v>1403</v>
      </c>
      <c r="G467" s="3"/>
      <c r="H467" s="3"/>
      <c r="I467" s="3"/>
      <c r="J467" s="4" t="str">
        <f aca="false">IF(AND($A467&lt;&gt;"",$A467=Подбор!$C$4),MAX(J$1:J466)+1,"")</f>
        <v/>
      </c>
    </row>
    <row r="468" customFormat="false" ht="15" hidden="false" customHeight="false" outlineLevel="0" collapsed="false">
      <c r="A468" s="3" t="s">
        <v>448</v>
      </c>
      <c r="B468" s="3" t="s">
        <v>10</v>
      </c>
      <c r="C468" s="3" t="s">
        <v>14</v>
      </c>
      <c r="D468" s="3" t="s">
        <v>15</v>
      </c>
      <c r="E468" s="3" t="s">
        <v>1410</v>
      </c>
      <c r="F468" s="3" t="s">
        <v>1403</v>
      </c>
      <c r="G468" s="3"/>
      <c r="H468" s="3"/>
      <c r="I468" s="3"/>
      <c r="J468" s="4" t="str">
        <f aca="false">IF(AND($A468&lt;&gt;"",$A468=Подбор!$C$4),MAX(J$1:J467)+1,"")</f>
        <v/>
      </c>
    </row>
    <row r="469" customFormat="false" ht="15" hidden="false" customHeight="false" outlineLevel="0" collapsed="false">
      <c r="A469" s="3" t="s">
        <v>448</v>
      </c>
      <c r="B469" s="3" t="s">
        <v>10</v>
      </c>
      <c r="C469" s="3" t="s">
        <v>28</v>
      </c>
      <c r="D469" s="3" t="s">
        <v>15</v>
      </c>
      <c r="E469" s="3" t="s">
        <v>1411</v>
      </c>
      <c r="F469" s="3" t="s">
        <v>1403</v>
      </c>
      <c r="G469" s="3"/>
      <c r="H469" s="3"/>
      <c r="I469" s="3"/>
      <c r="J469" s="4" t="str">
        <f aca="false">IF(AND($A469&lt;&gt;"",$A469=Подбор!$C$4),MAX(J$1:J468)+1,"")</f>
        <v/>
      </c>
    </row>
    <row r="470" customFormat="false" ht="15" hidden="false" customHeight="false" outlineLevel="0" collapsed="false">
      <c r="A470" s="3" t="s">
        <v>448</v>
      </c>
      <c r="B470" s="3" t="s">
        <v>10</v>
      </c>
      <c r="C470" s="3" t="s">
        <v>30</v>
      </c>
      <c r="D470" s="3" t="s">
        <v>15</v>
      </c>
      <c r="E470" s="3" t="s">
        <v>1412</v>
      </c>
      <c r="F470" s="3" t="s">
        <v>1403</v>
      </c>
      <c r="G470" s="3"/>
      <c r="H470" s="3"/>
      <c r="I470" s="3"/>
      <c r="J470" s="4" t="str">
        <f aca="false">IF(AND($A470&lt;&gt;"",$A470=Подбор!$C$4),MAX(J$1:J469)+1,"")</f>
        <v/>
      </c>
    </row>
    <row r="471" customFormat="false" ht="15" hidden="false" customHeight="false" outlineLevel="0" collapsed="false">
      <c r="A471" s="3" t="s">
        <v>448</v>
      </c>
      <c r="B471" s="3" t="s">
        <v>10</v>
      </c>
      <c r="C471" s="3" t="s">
        <v>17</v>
      </c>
      <c r="D471" s="3" t="s">
        <v>15</v>
      </c>
      <c r="E471" s="3" t="s">
        <v>1413</v>
      </c>
      <c r="F471" s="3" t="s">
        <v>1403</v>
      </c>
      <c r="G471" s="3"/>
      <c r="H471" s="3"/>
      <c r="I471" s="3"/>
      <c r="J471" s="4" t="str">
        <f aca="false">IF(AND($A471&lt;&gt;"",$A471=Подбор!$C$4),MAX(J$1:J470)+1,"")</f>
        <v/>
      </c>
    </row>
    <row r="472" customFormat="false" ht="15" hidden="false" customHeight="false" outlineLevel="0" collapsed="false">
      <c r="A472" s="3" t="s">
        <v>449</v>
      </c>
      <c r="B472" s="3" t="s">
        <v>10</v>
      </c>
      <c r="C472" s="3" t="s">
        <v>11</v>
      </c>
      <c r="D472" s="3" t="s">
        <v>12</v>
      </c>
      <c r="E472" s="3" t="s">
        <v>1699</v>
      </c>
      <c r="F472" s="3" t="s">
        <v>1403</v>
      </c>
      <c r="G472" s="3"/>
      <c r="H472" s="3"/>
      <c r="I472" s="3"/>
      <c r="J472" s="4" t="str">
        <f aca="false">IF(AND($A472&lt;&gt;"",$A472=Подбор!$C$4),MAX(J$1:J471)+1,"")</f>
        <v/>
      </c>
    </row>
    <row r="473" customFormat="false" ht="15" hidden="false" customHeight="false" outlineLevel="0" collapsed="false">
      <c r="A473" s="3" t="s">
        <v>451</v>
      </c>
      <c r="B473" s="3" t="s">
        <v>10</v>
      </c>
      <c r="C473" s="3" t="s">
        <v>11</v>
      </c>
      <c r="D473" s="3" t="s">
        <v>12</v>
      </c>
      <c r="E473" s="3" t="s">
        <v>1406</v>
      </c>
      <c r="F473" s="3" t="s">
        <v>1403</v>
      </c>
      <c r="G473" s="3"/>
      <c r="H473" s="3"/>
      <c r="I473" s="3"/>
      <c r="J473" s="4" t="str">
        <f aca="false">IF(AND($A473&lt;&gt;"",$A473=Подбор!$C$4),MAX(J$1:J472)+1,"")</f>
        <v/>
      </c>
    </row>
    <row r="474" customFormat="false" ht="15" hidden="false" customHeight="false" outlineLevel="0" collapsed="false">
      <c r="A474" s="3" t="s">
        <v>451</v>
      </c>
      <c r="B474" s="3" t="s">
        <v>10</v>
      </c>
      <c r="C474" s="3" t="s">
        <v>11</v>
      </c>
      <c r="D474" s="3" t="s">
        <v>21</v>
      </c>
      <c r="E474" s="3" t="s">
        <v>1407</v>
      </c>
      <c r="F474" s="3" t="s">
        <v>1403</v>
      </c>
      <c r="G474" s="3"/>
      <c r="H474" s="3"/>
      <c r="I474" s="3"/>
      <c r="J474" s="4" t="str">
        <f aca="false">IF(AND($A474&lt;&gt;"",$A474=Подбор!$C$4),MAX(J$1:J473)+1,"")</f>
        <v/>
      </c>
    </row>
    <row r="475" customFormat="false" ht="15" hidden="false" customHeight="false" outlineLevel="0" collapsed="false">
      <c r="A475" s="3" t="s">
        <v>451</v>
      </c>
      <c r="B475" s="3" t="s">
        <v>10</v>
      </c>
      <c r="C475" s="3" t="s">
        <v>11</v>
      </c>
      <c r="D475" s="3" t="s">
        <v>23</v>
      </c>
      <c r="E475" s="3" t="s">
        <v>1408</v>
      </c>
      <c r="F475" s="3" t="s">
        <v>1403</v>
      </c>
      <c r="G475" s="3"/>
      <c r="H475" s="3"/>
      <c r="I475" s="3"/>
      <c r="J475" s="4" t="str">
        <f aca="false">IF(AND($A475&lt;&gt;"",$A475=Подбор!$C$4),MAX(J$1:J474)+1,"")</f>
        <v/>
      </c>
    </row>
    <row r="476" customFormat="false" ht="15" hidden="false" customHeight="false" outlineLevel="0" collapsed="false">
      <c r="A476" s="3" t="s">
        <v>451</v>
      </c>
      <c r="B476" s="3" t="s">
        <v>10</v>
      </c>
      <c r="C476" s="3" t="s">
        <v>11</v>
      </c>
      <c r="D476" s="3" t="s">
        <v>25</v>
      </c>
      <c r="E476" s="3" t="s">
        <v>1409</v>
      </c>
      <c r="F476" s="3" t="s">
        <v>1403</v>
      </c>
      <c r="G476" s="3"/>
      <c r="H476" s="3"/>
      <c r="I476" s="3"/>
      <c r="J476" s="4" t="str">
        <f aca="false">IF(AND($A476&lt;&gt;"",$A476=Подбор!$C$4),MAX(J$1:J475)+1,"")</f>
        <v/>
      </c>
    </row>
    <row r="477" customFormat="false" ht="15" hidden="false" customHeight="false" outlineLevel="0" collapsed="false">
      <c r="A477" s="3" t="s">
        <v>451</v>
      </c>
      <c r="B477" s="3" t="s">
        <v>10</v>
      </c>
      <c r="C477" s="3" t="s">
        <v>14</v>
      </c>
      <c r="D477" s="3" t="s">
        <v>15</v>
      </c>
      <c r="E477" s="3" t="s">
        <v>1410</v>
      </c>
      <c r="F477" s="3" t="s">
        <v>1403</v>
      </c>
      <c r="G477" s="3"/>
      <c r="H477" s="3"/>
      <c r="I477" s="3"/>
      <c r="J477" s="4" t="str">
        <f aca="false">IF(AND($A477&lt;&gt;"",$A477=Подбор!$C$4),MAX(J$1:J476)+1,"")</f>
        <v/>
      </c>
    </row>
    <row r="478" customFormat="false" ht="15" hidden="false" customHeight="false" outlineLevel="0" collapsed="false">
      <c r="A478" s="3" t="s">
        <v>451</v>
      </c>
      <c r="B478" s="3" t="s">
        <v>10</v>
      </c>
      <c r="C478" s="3" t="s">
        <v>28</v>
      </c>
      <c r="D478" s="3" t="s">
        <v>15</v>
      </c>
      <c r="E478" s="3" t="s">
        <v>1411</v>
      </c>
      <c r="F478" s="3" t="s">
        <v>1403</v>
      </c>
      <c r="G478" s="3"/>
      <c r="H478" s="3"/>
      <c r="I478" s="3"/>
      <c r="J478" s="4" t="str">
        <f aca="false">IF(AND($A478&lt;&gt;"",$A478=Подбор!$C$4),MAX(J$1:J477)+1,"")</f>
        <v/>
      </c>
    </row>
    <row r="479" customFormat="false" ht="15" hidden="false" customHeight="false" outlineLevel="0" collapsed="false">
      <c r="A479" s="3" t="s">
        <v>451</v>
      </c>
      <c r="B479" s="3" t="s">
        <v>10</v>
      </c>
      <c r="C479" s="3" t="s">
        <v>30</v>
      </c>
      <c r="D479" s="3" t="s">
        <v>15</v>
      </c>
      <c r="E479" s="3" t="s">
        <v>1412</v>
      </c>
      <c r="F479" s="3" t="s">
        <v>1403</v>
      </c>
      <c r="G479" s="3"/>
      <c r="H479" s="3"/>
      <c r="I479" s="3"/>
      <c r="J479" s="4" t="str">
        <f aca="false">IF(AND($A479&lt;&gt;"",$A479=Подбор!$C$4),MAX(J$1:J478)+1,"")</f>
        <v/>
      </c>
    </row>
    <row r="480" customFormat="false" ht="15" hidden="false" customHeight="false" outlineLevel="0" collapsed="false">
      <c r="A480" s="3" t="s">
        <v>451</v>
      </c>
      <c r="B480" s="3" t="s">
        <v>10</v>
      </c>
      <c r="C480" s="3" t="s">
        <v>17</v>
      </c>
      <c r="D480" s="3" t="s">
        <v>15</v>
      </c>
      <c r="E480" s="3" t="s">
        <v>1413</v>
      </c>
      <c r="F480" s="3" t="s">
        <v>1403</v>
      </c>
      <c r="G480" s="3"/>
      <c r="H480" s="3"/>
      <c r="I480" s="3"/>
      <c r="J480" s="4" t="str">
        <f aca="false">IF(AND($A480&lt;&gt;"",$A480=Подбор!$C$4),MAX(J$1:J479)+1,"")</f>
        <v/>
      </c>
    </row>
    <row r="481" customFormat="false" ht="15" hidden="false" customHeight="false" outlineLevel="0" collapsed="false">
      <c r="A481" s="3" t="s">
        <v>452</v>
      </c>
      <c r="B481" s="3" t="s">
        <v>10</v>
      </c>
      <c r="C481" s="3" t="s">
        <v>11</v>
      </c>
      <c r="D481" s="3" t="s">
        <v>12</v>
      </c>
      <c r="E481" s="3" t="s">
        <v>1406</v>
      </c>
      <c r="F481" s="3" t="s">
        <v>1403</v>
      </c>
      <c r="G481" s="3"/>
      <c r="H481" s="3"/>
      <c r="I481" s="3"/>
      <c r="J481" s="4" t="str">
        <f aca="false">IF(AND($A481&lt;&gt;"",$A481=Подбор!$C$4),MAX(J$1:J480)+1,"")</f>
        <v/>
      </c>
    </row>
    <row r="482" customFormat="false" ht="15" hidden="false" customHeight="false" outlineLevel="0" collapsed="false">
      <c r="A482" s="3" t="s">
        <v>452</v>
      </c>
      <c r="B482" s="3" t="s">
        <v>10</v>
      </c>
      <c r="C482" s="3" t="s">
        <v>11</v>
      </c>
      <c r="D482" s="3" t="s">
        <v>21</v>
      </c>
      <c r="E482" s="3" t="s">
        <v>1407</v>
      </c>
      <c r="F482" s="3" t="s">
        <v>1403</v>
      </c>
      <c r="G482" s="3"/>
      <c r="H482" s="3"/>
      <c r="I482" s="3"/>
      <c r="J482" s="4" t="str">
        <f aca="false">IF(AND($A482&lt;&gt;"",$A482=Подбор!$C$4),MAX(J$1:J481)+1,"")</f>
        <v/>
      </c>
    </row>
    <row r="483" customFormat="false" ht="15" hidden="false" customHeight="false" outlineLevel="0" collapsed="false">
      <c r="A483" s="3" t="s">
        <v>452</v>
      </c>
      <c r="B483" s="3" t="s">
        <v>10</v>
      </c>
      <c r="C483" s="3" t="s">
        <v>11</v>
      </c>
      <c r="D483" s="3" t="s">
        <v>23</v>
      </c>
      <c r="E483" s="3" t="s">
        <v>1408</v>
      </c>
      <c r="F483" s="3" t="s">
        <v>1403</v>
      </c>
      <c r="G483" s="3"/>
      <c r="H483" s="3"/>
      <c r="I483" s="3"/>
      <c r="J483" s="4" t="str">
        <f aca="false">IF(AND($A483&lt;&gt;"",$A483=Подбор!$C$4),MAX(J$1:J482)+1,"")</f>
        <v/>
      </c>
    </row>
    <row r="484" customFormat="false" ht="15" hidden="false" customHeight="false" outlineLevel="0" collapsed="false">
      <c r="A484" s="3" t="s">
        <v>452</v>
      </c>
      <c r="B484" s="3" t="s">
        <v>10</v>
      </c>
      <c r="C484" s="3" t="s">
        <v>11</v>
      </c>
      <c r="D484" s="3" t="s">
        <v>25</v>
      </c>
      <c r="E484" s="3" t="s">
        <v>1409</v>
      </c>
      <c r="F484" s="3" t="s">
        <v>1403</v>
      </c>
      <c r="G484" s="3"/>
      <c r="H484" s="3"/>
      <c r="I484" s="3"/>
      <c r="J484" s="4" t="str">
        <f aca="false">IF(AND($A484&lt;&gt;"",$A484=Подбор!$C$4),MAX(J$1:J483)+1,"")</f>
        <v/>
      </c>
    </row>
    <row r="485" customFormat="false" ht="15" hidden="false" customHeight="false" outlineLevel="0" collapsed="false">
      <c r="A485" s="3" t="s">
        <v>452</v>
      </c>
      <c r="B485" s="3" t="s">
        <v>10</v>
      </c>
      <c r="C485" s="3" t="s">
        <v>14</v>
      </c>
      <c r="D485" s="3" t="s">
        <v>15</v>
      </c>
      <c r="E485" s="3" t="s">
        <v>1410</v>
      </c>
      <c r="F485" s="3" t="s">
        <v>1403</v>
      </c>
      <c r="G485" s="3"/>
      <c r="H485" s="3"/>
      <c r="I485" s="3"/>
      <c r="J485" s="4" t="str">
        <f aca="false">IF(AND($A485&lt;&gt;"",$A485=Подбор!$C$4),MAX(J$1:J484)+1,"")</f>
        <v/>
      </c>
    </row>
    <row r="486" customFormat="false" ht="15" hidden="false" customHeight="false" outlineLevel="0" collapsed="false">
      <c r="A486" s="3" t="s">
        <v>452</v>
      </c>
      <c r="B486" s="3" t="s">
        <v>10</v>
      </c>
      <c r="C486" s="3" t="s">
        <v>28</v>
      </c>
      <c r="D486" s="3" t="s">
        <v>15</v>
      </c>
      <c r="E486" s="3" t="s">
        <v>1411</v>
      </c>
      <c r="F486" s="3" t="s">
        <v>1403</v>
      </c>
      <c r="G486" s="3"/>
      <c r="H486" s="3"/>
      <c r="I486" s="3"/>
      <c r="J486" s="4" t="str">
        <f aca="false">IF(AND($A486&lt;&gt;"",$A486=Подбор!$C$4),MAX(J$1:J485)+1,"")</f>
        <v/>
      </c>
    </row>
    <row r="487" customFormat="false" ht="15" hidden="false" customHeight="false" outlineLevel="0" collapsed="false">
      <c r="A487" s="3" t="s">
        <v>452</v>
      </c>
      <c r="B487" s="3" t="s">
        <v>10</v>
      </c>
      <c r="C487" s="3" t="s">
        <v>30</v>
      </c>
      <c r="D487" s="3" t="s">
        <v>15</v>
      </c>
      <c r="E487" s="3" t="s">
        <v>1412</v>
      </c>
      <c r="F487" s="3" t="s">
        <v>1403</v>
      </c>
      <c r="G487" s="3"/>
      <c r="H487" s="3"/>
      <c r="I487" s="3"/>
      <c r="J487" s="4" t="str">
        <f aca="false">IF(AND($A487&lt;&gt;"",$A487=Подбор!$C$4),MAX(J$1:J486)+1,"")</f>
        <v/>
      </c>
    </row>
    <row r="488" customFormat="false" ht="15" hidden="false" customHeight="false" outlineLevel="0" collapsed="false">
      <c r="A488" s="3" t="s">
        <v>452</v>
      </c>
      <c r="B488" s="3" t="s">
        <v>10</v>
      </c>
      <c r="C488" s="3" t="s">
        <v>17</v>
      </c>
      <c r="D488" s="3" t="s">
        <v>15</v>
      </c>
      <c r="E488" s="3" t="s">
        <v>1413</v>
      </c>
      <c r="F488" s="3" t="s">
        <v>1403</v>
      </c>
      <c r="G488" s="3"/>
      <c r="H488" s="3"/>
      <c r="I488" s="3"/>
      <c r="J488" s="4" t="str">
        <f aca="false">IF(AND($A488&lt;&gt;"",$A488=Подбор!$C$4),MAX(J$1:J487)+1,"")</f>
        <v/>
      </c>
    </row>
    <row r="489" customFormat="false" ht="15" hidden="false" customHeight="false" outlineLevel="0" collapsed="false">
      <c r="A489" s="3" t="s">
        <v>453</v>
      </c>
      <c r="B489" s="3" t="s">
        <v>10</v>
      </c>
      <c r="C489" s="3" t="s">
        <v>11</v>
      </c>
      <c r="D489" s="3" t="s">
        <v>12</v>
      </c>
      <c r="E489" s="3" t="s">
        <v>1406</v>
      </c>
      <c r="F489" s="3" t="s">
        <v>1403</v>
      </c>
      <c r="G489" s="3"/>
      <c r="H489" s="3"/>
      <c r="I489" s="3"/>
      <c r="J489" s="4" t="str">
        <f aca="false">IF(AND($A489&lt;&gt;"",$A489=Подбор!$C$4),MAX(J$1:J488)+1,"")</f>
        <v/>
      </c>
    </row>
    <row r="490" customFormat="false" ht="15" hidden="false" customHeight="false" outlineLevel="0" collapsed="false">
      <c r="A490" s="3" t="s">
        <v>453</v>
      </c>
      <c r="B490" s="3" t="s">
        <v>10</v>
      </c>
      <c r="C490" s="3" t="s">
        <v>11</v>
      </c>
      <c r="D490" s="3" t="s">
        <v>21</v>
      </c>
      <c r="E490" s="3" t="s">
        <v>1407</v>
      </c>
      <c r="F490" s="3" t="s">
        <v>1403</v>
      </c>
      <c r="G490" s="3"/>
      <c r="H490" s="3"/>
      <c r="I490" s="3"/>
      <c r="J490" s="4" t="str">
        <f aca="false">IF(AND($A490&lt;&gt;"",$A490=Подбор!$C$4),MAX(J$1:J489)+1,"")</f>
        <v/>
      </c>
    </row>
    <row r="491" customFormat="false" ht="15" hidden="false" customHeight="false" outlineLevel="0" collapsed="false">
      <c r="A491" s="3" t="s">
        <v>453</v>
      </c>
      <c r="B491" s="3" t="s">
        <v>10</v>
      </c>
      <c r="C491" s="3" t="s">
        <v>11</v>
      </c>
      <c r="D491" s="3" t="s">
        <v>23</v>
      </c>
      <c r="E491" s="3" t="s">
        <v>1408</v>
      </c>
      <c r="F491" s="3" t="s">
        <v>1403</v>
      </c>
      <c r="G491" s="3"/>
      <c r="H491" s="3"/>
      <c r="I491" s="3"/>
      <c r="J491" s="4" t="str">
        <f aca="false">IF(AND($A491&lt;&gt;"",$A491=Подбор!$C$4),MAX(J$1:J490)+1,"")</f>
        <v/>
      </c>
    </row>
    <row r="492" customFormat="false" ht="15" hidden="false" customHeight="false" outlineLevel="0" collapsed="false">
      <c r="A492" s="3" t="s">
        <v>453</v>
      </c>
      <c r="B492" s="3" t="s">
        <v>10</v>
      </c>
      <c r="C492" s="3" t="s">
        <v>11</v>
      </c>
      <c r="D492" s="3" t="s">
        <v>25</v>
      </c>
      <c r="E492" s="3" t="s">
        <v>1409</v>
      </c>
      <c r="F492" s="3" t="s">
        <v>1403</v>
      </c>
      <c r="G492" s="3"/>
      <c r="H492" s="3"/>
      <c r="I492" s="3"/>
      <c r="J492" s="4" t="str">
        <f aca="false">IF(AND($A492&lt;&gt;"",$A492=Подбор!$C$4),MAX(J$1:J491)+1,"")</f>
        <v/>
      </c>
    </row>
    <row r="493" customFormat="false" ht="15" hidden="false" customHeight="false" outlineLevel="0" collapsed="false">
      <c r="A493" s="3" t="s">
        <v>453</v>
      </c>
      <c r="B493" s="3" t="s">
        <v>10</v>
      </c>
      <c r="C493" s="3" t="s">
        <v>14</v>
      </c>
      <c r="D493" s="3" t="s">
        <v>15</v>
      </c>
      <c r="E493" s="3" t="s">
        <v>1410</v>
      </c>
      <c r="F493" s="3" t="s">
        <v>1403</v>
      </c>
      <c r="G493" s="3"/>
      <c r="H493" s="3"/>
      <c r="I493" s="3"/>
      <c r="J493" s="4" t="str">
        <f aca="false">IF(AND($A493&lt;&gt;"",$A493=Подбор!$C$4),MAX(J$1:J492)+1,"")</f>
        <v/>
      </c>
    </row>
    <row r="494" customFormat="false" ht="15" hidden="false" customHeight="false" outlineLevel="0" collapsed="false">
      <c r="A494" s="3" t="s">
        <v>453</v>
      </c>
      <c r="B494" s="3" t="s">
        <v>10</v>
      </c>
      <c r="C494" s="3" t="s">
        <v>28</v>
      </c>
      <c r="D494" s="3" t="s">
        <v>15</v>
      </c>
      <c r="E494" s="3" t="s">
        <v>1411</v>
      </c>
      <c r="F494" s="3" t="s">
        <v>1403</v>
      </c>
      <c r="G494" s="3"/>
      <c r="H494" s="3"/>
      <c r="I494" s="3"/>
      <c r="J494" s="4" t="str">
        <f aca="false">IF(AND($A494&lt;&gt;"",$A494=Подбор!$C$4),MAX(J$1:J493)+1,"")</f>
        <v/>
      </c>
    </row>
    <row r="495" customFormat="false" ht="15" hidden="false" customHeight="false" outlineLevel="0" collapsed="false">
      <c r="A495" s="3" t="s">
        <v>453</v>
      </c>
      <c r="B495" s="3" t="s">
        <v>10</v>
      </c>
      <c r="C495" s="3" t="s">
        <v>30</v>
      </c>
      <c r="D495" s="3" t="s">
        <v>15</v>
      </c>
      <c r="E495" s="3" t="s">
        <v>1412</v>
      </c>
      <c r="F495" s="3" t="s">
        <v>1403</v>
      </c>
      <c r="G495" s="3"/>
      <c r="H495" s="3"/>
      <c r="I495" s="3"/>
      <c r="J495" s="4" t="str">
        <f aca="false">IF(AND($A495&lt;&gt;"",$A495=Подбор!$C$4),MAX(J$1:J494)+1,"")</f>
        <v/>
      </c>
    </row>
    <row r="496" customFormat="false" ht="15" hidden="false" customHeight="false" outlineLevel="0" collapsed="false">
      <c r="A496" s="3" t="s">
        <v>453</v>
      </c>
      <c r="B496" s="3" t="s">
        <v>10</v>
      </c>
      <c r="C496" s="3" t="s">
        <v>17</v>
      </c>
      <c r="D496" s="3" t="s">
        <v>15</v>
      </c>
      <c r="E496" s="3" t="s">
        <v>1413</v>
      </c>
      <c r="F496" s="3" t="s">
        <v>1403</v>
      </c>
      <c r="G496" s="3"/>
      <c r="H496" s="3"/>
      <c r="I496" s="3"/>
      <c r="J496" s="4" t="str">
        <f aca="false">IF(AND($A496&lt;&gt;"",$A496=Подбор!$C$4),MAX(J$1:J495)+1,"")</f>
        <v/>
      </c>
    </row>
    <row r="497" customFormat="false" ht="15" hidden="false" customHeight="false" outlineLevel="0" collapsed="false">
      <c r="A497" s="3" t="s">
        <v>454</v>
      </c>
      <c r="B497" s="3" t="s">
        <v>10</v>
      </c>
      <c r="C497" s="3" t="s">
        <v>11</v>
      </c>
      <c r="D497" s="3" t="s">
        <v>12</v>
      </c>
      <c r="E497" s="3" t="s">
        <v>1700</v>
      </c>
      <c r="F497" s="3" t="s">
        <v>1403</v>
      </c>
      <c r="G497" s="3"/>
      <c r="H497" s="3"/>
      <c r="I497" s="3"/>
      <c r="J497" s="4" t="str">
        <f aca="false">IF(AND($A497&lt;&gt;"",$A497=Подбор!$C$4),MAX(J$1:J496)+1,"")</f>
        <v/>
      </c>
    </row>
    <row r="498" customFormat="false" ht="15" hidden="false" customHeight="false" outlineLevel="0" collapsed="false">
      <c r="A498" s="3" t="s">
        <v>455</v>
      </c>
      <c r="B498" s="3" t="s">
        <v>10</v>
      </c>
      <c r="C498" s="3" t="s">
        <v>11</v>
      </c>
      <c r="D498" s="3" t="s">
        <v>12</v>
      </c>
      <c r="E498" s="3" t="s">
        <v>1700</v>
      </c>
      <c r="F498" s="3" t="s">
        <v>1403</v>
      </c>
      <c r="G498" s="3"/>
      <c r="H498" s="3"/>
      <c r="I498" s="3"/>
      <c r="J498" s="4" t="str">
        <f aca="false">IF(AND($A498&lt;&gt;"",$A498=Подбор!$C$4),MAX(J$1:J497)+1,"")</f>
        <v/>
      </c>
    </row>
    <row r="499" customFormat="false" ht="15" hidden="false" customHeight="false" outlineLevel="0" collapsed="false">
      <c r="A499" s="3" t="s">
        <v>456</v>
      </c>
      <c r="B499" s="3" t="s">
        <v>457</v>
      </c>
      <c r="C499" s="3" t="s">
        <v>11</v>
      </c>
      <c r="D499" s="3" t="s">
        <v>12</v>
      </c>
      <c r="E499" s="3" t="s">
        <v>1701</v>
      </c>
      <c r="F499" s="3"/>
      <c r="G499" s="3"/>
      <c r="H499" s="3"/>
      <c r="I499" s="3"/>
      <c r="J499" s="4" t="str">
        <f aca="false">IF(AND($A499&lt;&gt;"",$A499=Подбор!$C$4),MAX(J$1:J498)+1,"")</f>
        <v/>
      </c>
    </row>
    <row r="500" customFormat="false" ht="15" hidden="false" customHeight="false" outlineLevel="0" collapsed="false">
      <c r="A500" s="3" t="s">
        <v>456</v>
      </c>
      <c r="B500" s="3" t="s">
        <v>457</v>
      </c>
      <c r="C500" s="3" t="s">
        <v>14</v>
      </c>
      <c r="D500" s="3" t="s">
        <v>15</v>
      </c>
      <c r="E500" s="3"/>
      <c r="F500" s="3"/>
      <c r="G500" s="3"/>
      <c r="H500" s="3"/>
      <c r="I500" s="3" t="s">
        <v>1440</v>
      </c>
      <c r="J500" s="4" t="str">
        <f aca="false">IF(AND($A500&lt;&gt;"",$A500=Подбор!$C$4),MAX(J$1:J499)+1,"")</f>
        <v/>
      </c>
    </row>
    <row r="501" customFormat="false" ht="15" hidden="false" customHeight="false" outlineLevel="0" collapsed="false">
      <c r="A501" s="3" t="s">
        <v>456</v>
      </c>
      <c r="B501" s="3" t="s">
        <v>457</v>
      </c>
      <c r="C501" s="3" t="s">
        <v>17</v>
      </c>
      <c r="D501" s="3" t="s">
        <v>15</v>
      </c>
      <c r="E501" s="3"/>
      <c r="F501" s="3"/>
      <c r="G501" s="3"/>
      <c r="H501" s="3"/>
      <c r="I501" s="3" t="s">
        <v>1440</v>
      </c>
      <c r="J501" s="4" t="str">
        <f aca="false">IF(AND($A501&lt;&gt;"",$A501=Подбор!$C$4),MAX(J$1:J500)+1,"")</f>
        <v/>
      </c>
    </row>
    <row r="502" customFormat="false" ht="15" hidden="false" customHeight="false" outlineLevel="0" collapsed="false">
      <c r="A502" s="3" t="s">
        <v>461</v>
      </c>
      <c r="B502" s="3" t="s">
        <v>57</v>
      </c>
      <c r="C502" s="3" t="s">
        <v>11</v>
      </c>
      <c r="D502" s="3" t="s">
        <v>12</v>
      </c>
      <c r="E502" s="3" t="s">
        <v>1702</v>
      </c>
      <c r="F502" s="3" t="s">
        <v>1403</v>
      </c>
      <c r="G502" s="3" t="n">
        <v>2300</v>
      </c>
      <c r="H502" s="3"/>
      <c r="I502" s="3" t="s">
        <v>1415</v>
      </c>
      <c r="J502" s="4" t="str">
        <f aca="false">IF(AND($A502&lt;&gt;"",$A502=Подбор!$C$4),MAX(J$1:J501)+1,"")</f>
        <v/>
      </c>
    </row>
    <row r="503" customFormat="false" ht="15" hidden="false" customHeight="false" outlineLevel="0" collapsed="false">
      <c r="A503" s="3" t="s">
        <v>461</v>
      </c>
      <c r="B503" s="3" t="s">
        <v>57</v>
      </c>
      <c r="C503" s="3" t="s">
        <v>11</v>
      </c>
      <c r="D503" s="3" t="s">
        <v>12</v>
      </c>
      <c r="E503" s="3" t="s">
        <v>1703</v>
      </c>
      <c r="F503" s="3" t="s">
        <v>1421</v>
      </c>
      <c r="G503" s="3" t="n">
        <v>2300</v>
      </c>
      <c r="H503" s="3"/>
      <c r="I503" s="3" t="s">
        <v>1415</v>
      </c>
      <c r="J503" s="4" t="str">
        <f aca="false">IF(AND($A503&lt;&gt;"",$A503=Подбор!$C$4),MAX(J$1:J502)+1,"")</f>
        <v/>
      </c>
    </row>
    <row r="504" customFormat="false" ht="15" hidden="false" customHeight="false" outlineLevel="0" collapsed="false">
      <c r="A504" s="3" t="s">
        <v>461</v>
      </c>
      <c r="B504" s="3" t="s">
        <v>57</v>
      </c>
      <c r="C504" s="3" t="s">
        <v>11</v>
      </c>
      <c r="D504" s="3" t="s">
        <v>12</v>
      </c>
      <c r="E504" s="3" t="s">
        <v>1704</v>
      </c>
      <c r="F504" s="3" t="s">
        <v>1417</v>
      </c>
      <c r="G504" s="3" t="n">
        <v>2300</v>
      </c>
      <c r="H504" s="3"/>
      <c r="I504" s="3" t="s">
        <v>1415</v>
      </c>
      <c r="J504" s="4" t="str">
        <f aca="false">IF(AND($A504&lt;&gt;"",$A504=Подбор!$C$4),MAX(J$1:J503)+1,"")</f>
        <v/>
      </c>
    </row>
    <row r="505" customFormat="false" ht="15" hidden="false" customHeight="false" outlineLevel="0" collapsed="false">
      <c r="A505" s="3" t="s">
        <v>461</v>
      </c>
      <c r="B505" s="3" t="s">
        <v>57</v>
      </c>
      <c r="C505" s="3" t="s">
        <v>17</v>
      </c>
      <c r="D505" s="3" t="s">
        <v>15</v>
      </c>
      <c r="E505" s="3" t="s">
        <v>1705</v>
      </c>
      <c r="F505" s="3" t="s">
        <v>1403</v>
      </c>
      <c r="G505" s="3"/>
      <c r="H505" s="3"/>
      <c r="I505" s="3"/>
      <c r="J505" s="4" t="str">
        <f aca="false">IF(AND($A505&lt;&gt;"",$A505=Подбор!$C$4),MAX(J$1:J504)+1,"")</f>
        <v/>
      </c>
    </row>
    <row r="506" customFormat="false" ht="15" hidden="false" customHeight="false" outlineLevel="0" collapsed="false">
      <c r="A506" s="3" t="s">
        <v>464</v>
      </c>
      <c r="B506" s="3" t="s">
        <v>156</v>
      </c>
      <c r="C506" s="3" t="s">
        <v>11</v>
      </c>
      <c r="D506" s="3" t="s">
        <v>12</v>
      </c>
      <c r="E506" s="3" t="s">
        <v>1706</v>
      </c>
      <c r="F506" s="3" t="s">
        <v>1403</v>
      </c>
      <c r="G506" s="3"/>
      <c r="H506" s="3"/>
      <c r="I506" s="3"/>
      <c r="J506" s="4" t="str">
        <f aca="false">IF(AND($A506&lt;&gt;"",$A506=Подбор!$C$4),MAX(J$1:J505)+1,"")</f>
        <v/>
      </c>
    </row>
    <row r="507" customFormat="false" ht="15" hidden="false" customHeight="false" outlineLevel="0" collapsed="false">
      <c r="A507" s="3" t="s">
        <v>464</v>
      </c>
      <c r="B507" s="3" t="s">
        <v>156</v>
      </c>
      <c r="C507" s="3" t="s">
        <v>14</v>
      </c>
      <c r="D507" s="3" t="s">
        <v>15</v>
      </c>
      <c r="E507" s="3"/>
      <c r="F507" s="3"/>
      <c r="G507" s="3"/>
      <c r="H507" s="3"/>
      <c r="I507" s="3" t="s">
        <v>1440</v>
      </c>
      <c r="J507" s="4" t="str">
        <f aca="false">IF(AND($A507&lt;&gt;"",$A507=Подбор!$C$4),MAX(J$1:J506)+1,"")</f>
        <v/>
      </c>
    </row>
    <row r="508" customFormat="false" ht="15" hidden="false" customHeight="false" outlineLevel="0" collapsed="false">
      <c r="A508" s="3" t="s">
        <v>467</v>
      </c>
      <c r="B508" s="3" t="s">
        <v>47</v>
      </c>
      <c r="C508" s="3" t="s">
        <v>11</v>
      </c>
      <c r="D508" s="3" t="s">
        <v>12</v>
      </c>
      <c r="E508" s="3" t="s">
        <v>15</v>
      </c>
      <c r="F508" s="3"/>
      <c r="G508" s="3"/>
      <c r="H508" s="3"/>
      <c r="I508" s="3"/>
      <c r="J508" s="4" t="str">
        <f aca="false">IF(AND($A508&lt;&gt;"",$A508=Подбор!$C$4),MAX(J$1:J507)+1,"")</f>
        <v/>
      </c>
    </row>
    <row r="509" customFormat="false" ht="15" hidden="false" customHeight="false" outlineLevel="0" collapsed="false">
      <c r="A509" s="3" t="s">
        <v>467</v>
      </c>
      <c r="B509" s="3" t="s">
        <v>47</v>
      </c>
      <c r="C509" s="3" t="s">
        <v>14</v>
      </c>
      <c r="D509" s="3" t="s">
        <v>15</v>
      </c>
      <c r="E509" s="3" t="s">
        <v>1431</v>
      </c>
      <c r="F509" s="3" t="s">
        <v>1432</v>
      </c>
      <c r="G509" s="3" t="n">
        <v>60000</v>
      </c>
      <c r="H509" s="3"/>
      <c r="I509" s="3" t="s">
        <v>1415</v>
      </c>
      <c r="J509" s="4" t="str">
        <f aca="false">IF(AND($A509&lt;&gt;"",$A509=Подбор!$C$4),MAX(J$1:J508)+1,"")</f>
        <v/>
      </c>
    </row>
    <row r="510" customFormat="false" ht="15" hidden="false" customHeight="false" outlineLevel="0" collapsed="false">
      <c r="A510" s="3" t="s">
        <v>469</v>
      </c>
      <c r="B510" s="3" t="s">
        <v>47</v>
      </c>
      <c r="C510" s="3" t="s">
        <v>11</v>
      </c>
      <c r="D510" s="3" t="s">
        <v>12</v>
      </c>
      <c r="E510" s="3" t="s">
        <v>1429</v>
      </c>
      <c r="F510" s="3" t="s">
        <v>1417</v>
      </c>
      <c r="G510" s="3"/>
      <c r="H510" s="3"/>
      <c r="I510" s="3"/>
      <c r="J510" s="4" t="str">
        <f aca="false">IF(AND($A510&lt;&gt;"",$A510=Подбор!$C$4),MAX(J$1:J509)+1,"")</f>
        <v/>
      </c>
    </row>
    <row r="511" customFormat="false" ht="15" hidden="false" customHeight="false" outlineLevel="0" collapsed="false">
      <c r="A511" s="3" t="s">
        <v>469</v>
      </c>
      <c r="B511" s="3" t="s">
        <v>47</v>
      </c>
      <c r="C511" s="3" t="s">
        <v>14</v>
      </c>
      <c r="D511" s="3" t="s">
        <v>15</v>
      </c>
      <c r="E511" s="3" t="s">
        <v>1431</v>
      </c>
      <c r="F511" s="3" t="s">
        <v>1432</v>
      </c>
      <c r="G511" s="3" t="n">
        <v>60000</v>
      </c>
      <c r="H511" s="3"/>
      <c r="I511" s="3" t="s">
        <v>1415</v>
      </c>
      <c r="J511" s="4" t="str">
        <f aca="false">IF(AND($A511&lt;&gt;"",$A511=Подбор!$C$4),MAX(J$1:J510)+1,"")</f>
        <v/>
      </c>
    </row>
    <row r="512" customFormat="false" ht="15" hidden="false" customHeight="false" outlineLevel="0" collapsed="false">
      <c r="A512" s="3" t="s">
        <v>470</v>
      </c>
      <c r="B512" s="3" t="s">
        <v>47</v>
      </c>
      <c r="C512" s="3" t="s">
        <v>11</v>
      </c>
      <c r="D512" s="3" t="s">
        <v>12</v>
      </c>
      <c r="E512" s="3" t="s">
        <v>1707</v>
      </c>
      <c r="F512" s="3" t="s">
        <v>1708</v>
      </c>
      <c r="G512" s="3"/>
      <c r="H512" s="3"/>
      <c r="I512" s="3"/>
      <c r="J512" s="4" t="str">
        <f aca="false">IF(AND($A512&lt;&gt;"",$A512=Подбор!$C$4),MAX(J$1:J511)+1,"")</f>
        <v/>
      </c>
    </row>
    <row r="513" customFormat="false" ht="15" hidden="false" customHeight="false" outlineLevel="0" collapsed="false">
      <c r="A513" s="3" t="s">
        <v>470</v>
      </c>
      <c r="B513" s="3" t="s">
        <v>47</v>
      </c>
      <c r="C513" s="3" t="s">
        <v>14</v>
      </c>
      <c r="D513" s="3" t="s">
        <v>15</v>
      </c>
      <c r="E513" s="3" t="s">
        <v>1431</v>
      </c>
      <c r="F513" s="3" t="s">
        <v>1432</v>
      </c>
      <c r="G513" s="3" t="n">
        <v>60000</v>
      </c>
      <c r="H513" s="3"/>
      <c r="I513" s="3" t="s">
        <v>1415</v>
      </c>
      <c r="J513" s="4" t="str">
        <f aca="false">IF(AND($A513&lt;&gt;"",$A513=Подбор!$C$4),MAX(J$1:J512)+1,"")</f>
        <v/>
      </c>
    </row>
    <row r="514" customFormat="false" ht="15" hidden="false" customHeight="false" outlineLevel="0" collapsed="false">
      <c r="A514" s="3" t="s">
        <v>471</v>
      </c>
      <c r="B514" s="3" t="s">
        <v>472</v>
      </c>
      <c r="C514" s="3" t="s">
        <v>11</v>
      </c>
      <c r="D514" s="3" t="s">
        <v>12</v>
      </c>
      <c r="E514" s="3" t="s">
        <v>1709</v>
      </c>
      <c r="F514" s="3" t="s">
        <v>1403</v>
      </c>
      <c r="G514" s="3"/>
      <c r="H514" s="3"/>
      <c r="I514" s="3"/>
      <c r="J514" s="4" t="str">
        <f aca="false">IF(AND($A514&lt;&gt;"",$A514=Подбор!$C$4),MAX(J$1:J513)+1,"")</f>
        <v/>
      </c>
    </row>
    <row r="515" customFormat="false" ht="15" hidden="false" customHeight="false" outlineLevel="0" collapsed="false">
      <c r="A515" s="3" t="s">
        <v>471</v>
      </c>
      <c r="B515" s="3" t="s">
        <v>472</v>
      </c>
      <c r="C515" s="3" t="s">
        <v>11</v>
      </c>
      <c r="D515" s="3" t="s">
        <v>21</v>
      </c>
      <c r="E515" s="3" t="s">
        <v>1709</v>
      </c>
      <c r="F515" s="3" t="s">
        <v>1403</v>
      </c>
      <c r="G515" s="3"/>
      <c r="H515" s="3"/>
      <c r="I515" s="3"/>
      <c r="J515" s="4" t="str">
        <f aca="false">IF(AND($A515&lt;&gt;"",$A515=Подбор!$C$4),MAX(J$1:J514)+1,"")</f>
        <v/>
      </c>
    </row>
    <row r="516" customFormat="false" ht="15" hidden="false" customHeight="false" outlineLevel="0" collapsed="false">
      <c r="A516" s="3" t="s">
        <v>471</v>
      </c>
      <c r="B516" s="3" t="s">
        <v>472</v>
      </c>
      <c r="C516" s="3" t="s">
        <v>11</v>
      </c>
      <c r="D516" s="3" t="s">
        <v>23</v>
      </c>
      <c r="E516" s="3" t="s">
        <v>1710</v>
      </c>
      <c r="F516" s="3" t="s">
        <v>1403</v>
      </c>
      <c r="G516" s="3"/>
      <c r="H516" s="3"/>
      <c r="I516" s="3"/>
      <c r="J516" s="4" t="str">
        <f aca="false">IF(AND($A516&lt;&gt;"",$A516=Подбор!$C$4),MAX(J$1:J515)+1,"")</f>
        <v/>
      </c>
    </row>
    <row r="517" customFormat="false" ht="15" hidden="false" customHeight="false" outlineLevel="0" collapsed="false">
      <c r="A517" s="3" t="s">
        <v>471</v>
      </c>
      <c r="B517" s="3" t="s">
        <v>472</v>
      </c>
      <c r="C517" s="3" t="s">
        <v>11</v>
      </c>
      <c r="D517" s="3" t="s">
        <v>25</v>
      </c>
      <c r="E517" s="3" t="s">
        <v>1710</v>
      </c>
      <c r="F517" s="3" t="s">
        <v>1403</v>
      </c>
      <c r="G517" s="3"/>
      <c r="H517" s="3"/>
      <c r="I517" s="3"/>
      <c r="J517" s="4" t="str">
        <f aca="false">IF(AND($A517&lt;&gt;"",$A517=Подбор!$C$4),MAX(J$1:J516)+1,"")</f>
        <v/>
      </c>
    </row>
    <row r="518" customFormat="false" ht="15" hidden="false" customHeight="false" outlineLevel="0" collapsed="false">
      <c r="A518" s="3" t="s">
        <v>473</v>
      </c>
      <c r="B518" s="3" t="s">
        <v>47</v>
      </c>
      <c r="C518" s="3" t="s">
        <v>11</v>
      </c>
      <c r="D518" s="3" t="s">
        <v>12</v>
      </c>
      <c r="E518" s="3" t="s">
        <v>1429</v>
      </c>
      <c r="F518" s="3" t="s">
        <v>1417</v>
      </c>
      <c r="G518" s="3"/>
      <c r="H518" s="3"/>
      <c r="I518" s="3"/>
      <c r="J518" s="4" t="str">
        <f aca="false">IF(AND($A518&lt;&gt;"",$A518=Подбор!$C$4),MAX(J$1:J517)+1,"")</f>
        <v/>
      </c>
    </row>
    <row r="519" customFormat="false" ht="15" hidden="false" customHeight="false" outlineLevel="0" collapsed="false">
      <c r="A519" s="3" t="s">
        <v>473</v>
      </c>
      <c r="B519" s="3" t="s">
        <v>47</v>
      </c>
      <c r="C519" s="3" t="s">
        <v>14</v>
      </c>
      <c r="D519" s="3" t="s">
        <v>15</v>
      </c>
      <c r="E519" s="3" t="s">
        <v>1431</v>
      </c>
      <c r="F519" s="3" t="s">
        <v>1432</v>
      </c>
      <c r="G519" s="3" t="n">
        <v>60000</v>
      </c>
      <c r="H519" s="3"/>
      <c r="I519" s="3" t="s">
        <v>1415</v>
      </c>
      <c r="J519" s="4" t="str">
        <f aca="false">IF(AND($A519&lt;&gt;"",$A519=Подбор!$C$4),MAX(J$1:J518)+1,"")</f>
        <v/>
      </c>
    </row>
    <row r="520" customFormat="false" ht="15" hidden="false" customHeight="false" outlineLevel="0" collapsed="false">
      <c r="A520" s="3" t="s">
        <v>475</v>
      </c>
      <c r="B520" s="3" t="s">
        <v>47</v>
      </c>
      <c r="C520" s="3" t="s">
        <v>11</v>
      </c>
      <c r="D520" s="3" t="s">
        <v>12</v>
      </c>
      <c r="E520" s="3" t="s">
        <v>1429</v>
      </c>
      <c r="F520" s="3" t="s">
        <v>1417</v>
      </c>
      <c r="G520" s="3"/>
      <c r="H520" s="3"/>
      <c r="I520" s="3"/>
      <c r="J520" s="4" t="str">
        <f aca="false">IF(AND($A520&lt;&gt;"",$A520=Подбор!$C$4),MAX(J$1:J519)+1,"")</f>
        <v/>
      </c>
    </row>
    <row r="521" customFormat="false" ht="15" hidden="false" customHeight="false" outlineLevel="0" collapsed="false">
      <c r="A521" s="3" t="s">
        <v>475</v>
      </c>
      <c r="B521" s="3" t="s">
        <v>47</v>
      </c>
      <c r="C521" s="3" t="s">
        <v>14</v>
      </c>
      <c r="D521" s="3" t="s">
        <v>15</v>
      </c>
      <c r="E521" s="3" t="s">
        <v>1431</v>
      </c>
      <c r="F521" s="3" t="s">
        <v>1432</v>
      </c>
      <c r="G521" s="3" t="n">
        <v>60000</v>
      </c>
      <c r="H521" s="3"/>
      <c r="I521" s="3" t="s">
        <v>1415</v>
      </c>
      <c r="J521" s="4" t="str">
        <f aca="false">IF(AND($A521&lt;&gt;"",$A521=Подбор!$C$4),MAX(J$1:J520)+1,"")</f>
        <v/>
      </c>
    </row>
    <row r="522" customFormat="false" ht="15" hidden="false" customHeight="false" outlineLevel="0" collapsed="false">
      <c r="A522" s="3" t="s">
        <v>476</v>
      </c>
      <c r="B522" s="3" t="s">
        <v>47</v>
      </c>
      <c r="C522" s="3" t="s">
        <v>11</v>
      </c>
      <c r="D522" s="3" t="s">
        <v>12</v>
      </c>
      <c r="E522" s="3" t="s">
        <v>1429</v>
      </c>
      <c r="F522" s="3" t="s">
        <v>1417</v>
      </c>
      <c r="G522" s="3"/>
      <c r="H522" s="3"/>
      <c r="I522" s="3"/>
      <c r="J522" s="4" t="str">
        <f aca="false">IF(AND($A522&lt;&gt;"",$A522=Подбор!$C$4),MAX(J$1:J521)+1,"")</f>
        <v/>
      </c>
    </row>
    <row r="523" customFormat="false" ht="15" hidden="false" customHeight="false" outlineLevel="0" collapsed="false">
      <c r="A523" s="3" t="s">
        <v>476</v>
      </c>
      <c r="B523" s="3" t="s">
        <v>47</v>
      </c>
      <c r="C523" s="3" t="s">
        <v>14</v>
      </c>
      <c r="D523" s="3" t="s">
        <v>15</v>
      </c>
      <c r="E523" s="3" t="s">
        <v>1431</v>
      </c>
      <c r="F523" s="3" t="s">
        <v>1432</v>
      </c>
      <c r="G523" s="3" t="n">
        <v>60000</v>
      </c>
      <c r="H523" s="3"/>
      <c r="I523" s="3" t="s">
        <v>1415</v>
      </c>
      <c r="J523" s="4" t="str">
        <f aca="false">IF(AND($A523&lt;&gt;"",$A523=Подбор!$C$4),MAX(J$1:J522)+1,"")</f>
        <v/>
      </c>
    </row>
    <row r="524" customFormat="false" ht="15" hidden="false" customHeight="false" outlineLevel="0" collapsed="false">
      <c r="A524" s="3" t="s">
        <v>477</v>
      </c>
      <c r="B524" s="3" t="s">
        <v>47</v>
      </c>
      <c r="C524" s="3" t="s">
        <v>11</v>
      </c>
      <c r="D524" s="3" t="s">
        <v>12</v>
      </c>
      <c r="E524" s="3" t="s">
        <v>1429</v>
      </c>
      <c r="F524" s="3" t="s">
        <v>1417</v>
      </c>
      <c r="G524" s="3"/>
      <c r="H524" s="3"/>
      <c r="I524" s="3"/>
      <c r="J524" s="4" t="str">
        <f aca="false">IF(AND($A524&lt;&gt;"",$A524=Подбор!$C$4),MAX(J$1:J523)+1,"")</f>
        <v/>
      </c>
    </row>
    <row r="525" customFormat="false" ht="15" hidden="false" customHeight="false" outlineLevel="0" collapsed="false">
      <c r="A525" s="3" t="s">
        <v>477</v>
      </c>
      <c r="B525" s="3" t="s">
        <v>47</v>
      </c>
      <c r="C525" s="3" t="s">
        <v>14</v>
      </c>
      <c r="D525" s="3" t="s">
        <v>15</v>
      </c>
      <c r="E525" s="3" t="s">
        <v>1431</v>
      </c>
      <c r="F525" s="3" t="s">
        <v>1432</v>
      </c>
      <c r="G525" s="3" t="n">
        <v>60000</v>
      </c>
      <c r="H525" s="3"/>
      <c r="I525" s="3" t="s">
        <v>1415</v>
      </c>
      <c r="J525" s="4" t="str">
        <f aca="false">IF(AND($A525&lt;&gt;"",$A525=Подбор!$C$4),MAX(J$1:J524)+1,"")</f>
        <v/>
      </c>
    </row>
    <row r="526" customFormat="false" ht="15" hidden="false" customHeight="false" outlineLevel="0" collapsed="false">
      <c r="A526" s="3" t="s">
        <v>478</v>
      </c>
      <c r="B526" s="3" t="s">
        <v>47</v>
      </c>
      <c r="C526" s="3" t="s">
        <v>11</v>
      </c>
      <c r="D526" s="3" t="s">
        <v>12</v>
      </c>
      <c r="E526" s="3" t="s">
        <v>1429</v>
      </c>
      <c r="F526" s="3" t="s">
        <v>1417</v>
      </c>
      <c r="G526" s="3"/>
      <c r="H526" s="3"/>
      <c r="I526" s="3"/>
      <c r="J526" s="4" t="str">
        <f aca="false">IF(AND($A526&lt;&gt;"",$A526=Подбор!$C$4),MAX(J$1:J525)+1,"")</f>
        <v/>
      </c>
    </row>
    <row r="527" customFormat="false" ht="15" hidden="false" customHeight="false" outlineLevel="0" collapsed="false">
      <c r="A527" s="3" t="s">
        <v>478</v>
      </c>
      <c r="B527" s="3" t="s">
        <v>47</v>
      </c>
      <c r="C527" s="3" t="s">
        <v>14</v>
      </c>
      <c r="D527" s="3" t="s">
        <v>15</v>
      </c>
      <c r="E527" s="3" t="s">
        <v>1431</v>
      </c>
      <c r="F527" s="3" t="s">
        <v>1432</v>
      </c>
      <c r="G527" s="3" t="n">
        <v>60000</v>
      </c>
      <c r="H527" s="3"/>
      <c r="I527" s="3" t="s">
        <v>1415</v>
      </c>
      <c r="J527" s="4" t="str">
        <f aca="false">IF(AND($A527&lt;&gt;"",$A527=Подбор!$C$4),MAX(J$1:J526)+1,"")</f>
        <v/>
      </c>
    </row>
    <row r="528" customFormat="false" ht="15" hidden="false" customHeight="false" outlineLevel="0" collapsed="false">
      <c r="A528" s="3" t="s">
        <v>479</v>
      </c>
      <c r="B528" s="3" t="s">
        <v>47</v>
      </c>
      <c r="C528" s="3" t="s">
        <v>11</v>
      </c>
      <c r="D528" s="3" t="s">
        <v>12</v>
      </c>
      <c r="E528" s="3" t="s">
        <v>15</v>
      </c>
      <c r="F528" s="3"/>
      <c r="G528" s="3"/>
      <c r="H528" s="3"/>
      <c r="I528" s="3"/>
      <c r="J528" s="4" t="str">
        <f aca="false">IF(AND($A528&lt;&gt;"",$A528=Подбор!$C$4),MAX(J$1:J527)+1,"")</f>
        <v/>
      </c>
    </row>
    <row r="529" customFormat="false" ht="15" hidden="false" customHeight="false" outlineLevel="0" collapsed="false">
      <c r="A529" s="3" t="s">
        <v>479</v>
      </c>
      <c r="B529" s="3" t="s">
        <v>47</v>
      </c>
      <c r="C529" s="3" t="s">
        <v>14</v>
      </c>
      <c r="D529" s="3" t="s">
        <v>15</v>
      </c>
      <c r="E529" s="3" t="s">
        <v>1431</v>
      </c>
      <c r="F529" s="3" t="s">
        <v>1432</v>
      </c>
      <c r="G529" s="3" t="n">
        <v>60000</v>
      </c>
      <c r="H529" s="3"/>
      <c r="I529" s="3" t="s">
        <v>1415</v>
      </c>
      <c r="J529" s="4" t="str">
        <f aca="false">IF(AND($A529&lt;&gt;"",$A529=Подбор!$C$4),MAX(J$1:J528)+1,"")</f>
        <v/>
      </c>
    </row>
    <row r="530" customFormat="false" ht="15" hidden="false" customHeight="false" outlineLevel="0" collapsed="false">
      <c r="A530" s="3" t="s">
        <v>481</v>
      </c>
      <c r="B530" s="3" t="s">
        <v>110</v>
      </c>
      <c r="C530" s="3" t="s">
        <v>11</v>
      </c>
      <c r="D530" s="3" t="s">
        <v>12</v>
      </c>
      <c r="E530" s="3" t="s">
        <v>1711</v>
      </c>
      <c r="F530" s="3" t="s">
        <v>1403</v>
      </c>
      <c r="G530" s="3"/>
      <c r="H530" s="3"/>
      <c r="I530" s="3"/>
      <c r="J530" s="4" t="str">
        <f aca="false">IF(AND($A530&lt;&gt;"",$A530=Подбор!$C$4),MAX(J$1:J529)+1,"")</f>
        <v/>
      </c>
    </row>
    <row r="531" customFormat="false" ht="15" hidden="false" customHeight="false" outlineLevel="0" collapsed="false">
      <c r="A531" s="3" t="s">
        <v>481</v>
      </c>
      <c r="B531" s="3" t="s">
        <v>110</v>
      </c>
      <c r="C531" s="3" t="s">
        <v>11</v>
      </c>
      <c r="D531" s="3" t="s">
        <v>12</v>
      </c>
      <c r="E531" s="3" t="s">
        <v>1712</v>
      </c>
      <c r="F531" s="3" t="s">
        <v>1713</v>
      </c>
      <c r="G531" s="3"/>
      <c r="H531" s="3"/>
      <c r="I531" s="3"/>
      <c r="J531" s="4" t="str">
        <f aca="false">IF(AND($A531&lt;&gt;"",$A531=Подбор!$C$4),MAX(J$1:J530)+1,"")</f>
        <v/>
      </c>
    </row>
    <row r="532" customFormat="false" ht="15" hidden="false" customHeight="false" outlineLevel="0" collapsed="false">
      <c r="A532" s="3" t="s">
        <v>483</v>
      </c>
      <c r="B532" s="3" t="s">
        <v>156</v>
      </c>
      <c r="C532" s="3" t="s">
        <v>11</v>
      </c>
      <c r="D532" s="3" t="s">
        <v>12</v>
      </c>
      <c r="E532" s="3" t="s">
        <v>1517</v>
      </c>
      <c r="F532" s="3" t="s">
        <v>1403</v>
      </c>
      <c r="G532" s="3"/>
      <c r="H532" s="3"/>
      <c r="I532" s="3"/>
      <c r="J532" s="4" t="str">
        <f aca="false">IF(AND($A532&lt;&gt;"",$A532=Подбор!$C$4),MAX(J$1:J531)+1,"")</f>
        <v/>
      </c>
    </row>
    <row r="533" customFormat="false" ht="15" hidden="false" customHeight="false" outlineLevel="0" collapsed="false">
      <c r="A533" s="3" t="s">
        <v>483</v>
      </c>
      <c r="B533" s="3" t="s">
        <v>156</v>
      </c>
      <c r="C533" s="3" t="s">
        <v>14</v>
      </c>
      <c r="D533" s="3" t="s">
        <v>15</v>
      </c>
      <c r="E533" s="3" t="s">
        <v>1518</v>
      </c>
      <c r="F533" s="3" t="s">
        <v>1403</v>
      </c>
      <c r="G533" s="3" t="n">
        <v>6000</v>
      </c>
      <c r="H533" s="3"/>
      <c r="I533" s="3"/>
      <c r="J533" s="4" t="str">
        <f aca="false">IF(AND($A533&lt;&gt;"",$A533=Подбор!$C$4),MAX(J$1:J532)+1,"")</f>
        <v/>
      </c>
    </row>
    <row r="534" customFormat="false" ht="15" hidden="false" customHeight="false" outlineLevel="0" collapsed="false">
      <c r="A534" s="3" t="s">
        <v>484</v>
      </c>
      <c r="B534" s="3" t="s">
        <v>57</v>
      </c>
      <c r="C534" s="3" t="s">
        <v>11</v>
      </c>
      <c r="D534" s="3" t="s">
        <v>12</v>
      </c>
      <c r="E534" s="3" t="s">
        <v>1714</v>
      </c>
      <c r="F534" s="3" t="s">
        <v>1403</v>
      </c>
      <c r="G534" s="3" t="n">
        <v>26000</v>
      </c>
      <c r="H534" s="3"/>
      <c r="I534" s="3" t="s">
        <v>1415</v>
      </c>
      <c r="J534" s="4" t="str">
        <f aca="false">IF(AND($A534&lt;&gt;"",$A534=Подбор!$C$4),MAX(J$1:J533)+1,"")</f>
        <v/>
      </c>
    </row>
    <row r="535" customFormat="false" ht="15" hidden="false" customHeight="false" outlineLevel="0" collapsed="false">
      <c r="A535" s="3" t="s">
        <v>484</v>
      </c>
      <c r="B535" s="3" t="s">
        <v>57</v>
      </c>
      <c r="C535" s="3" t="s">
        <v>11</v>
      </c>
      <c r="D535" s="3" t="s">
        <v>12</v>
      </c>
      <c r="E535" s="3" t="s">
        <v>1715</v>
      </c>
      <c r="F535" s="3" t="s">
        <v>1417</v>
      </c>
      <c r="G535" s="3" t="n">
        <v>26000</v>
      </c>
      <c r="H535" s="3"/>
      <c r="I535" s="3" t="s">
        <v>1415</v>
      </c>
      <c r="J535" s="4" t="str">
        <f aca="false">IF(AND($A535&lt;&gt;"",$A535=Подбор!$C$4),MAX(J$1:J534)+1,"")</f>
        <v/>
      </c>
    </row>
    <row r="536" customFormat="false" ht="15" hidden="false" customHeight="false" outlineLevel="0" collapsed="false">
      <c r="A536" s="3" t="s">
        <v>484</v>
      </c>
      <c r="B536" s="3" t="s">
        <v>57</v>
      </c>
      <c r="C536" s="3" t="s">
        <v>11</v>
      </c>
      <c r="D536" s="3" t="s">
        <v>12</v>
      </c>
      <c r="E536" s="3" t="s">
        <v>1716</v>
      </c>
      <c r="F536" s="3" t="s">
        <v>1421</v>
      </c>
      <c r="G536" s="3" t="n">
        <v>26000</v>
      </c>
      <c r="H536" s="3"/>
      <c r="I536" s="3" t="s">
        <v>1415</v>
      </c>
      <c r="J536" s="4" t="str">
        <f aca="false">IF(AND($A536&lt;&gt;"",$A536=Подбор!$C$4),MAX(J$1:J535)+1,"")</f>
        <v/>
      </c>
    </row>
    <row r="537" customFormat="false" ht="15" hidden="false" customHeight="false" outlineLevel="0" collapsed="false">
      <c r="A537" s="3" t="s">
        <v>484</v>
      </c>
      <c r="B537" s="3" t="s">
        <v>57</v>
      </c>
      <c r="C537" s="3" t="s">
        <v>11</v>
      </c>
      <c r="D537" s="3" t="s">
        <v>21</v>
      </c>
      <c r="E537" s="3" t="s">
        <v>1717</v>
      </c>
      <c r="F537" s="3" t="s">
        <v>1403</v>
      </c>
      <c r="G537" s="3" t="n">
        <v>16000</v>
      </c>
      <c r="H537" s="3"/>
      <c r="I537" s="3" t="s">
        <v>1415</v>
      </c>
      <c r="J537" s="4" t="str">
        <f aca="false">IF(AND($A537&lt;&gt;"",$A537=Подбор!$C$4),MAX(J$1:J536)+1,"")</f>
        <v/>
      </c>
    </row>
    <row r="538" customFormat="false" ht="15" hidden="false" customHeight="false" outlineLevel="0" collapsed="false">
      <c r="A538" s="3" t="s">
        <v>484</v>
      </c>
      <c r="B538" s="3" t="s">
        <v>57</v>
      </c>
      <c r="C538" s="3" t="s">
        <v>11</v>
      </c>
      <c r="D538" s="3" t="s">
        <v>23</v>
      </c>
      <c r="E538" s="3" t="s">
        <v>1718</v>
      </c>
      <c r="F538" s="3" t="s">
        <v>1403</v>
      </c>
      <c r="G538" s="3" t="n">
        <v>16000</v>
      </c>
      <c r="H538" s="3"/>
      <c r="I538" s="3" t="s">
        <v>1415</v>
      </c>
      <c r="J538" s="4" t="str">
        <f aca="false">IF(AND($A538&lt;&gt;"",$A538=Подбор!$C$4),MAX(J$1:J537)+1,"")</f>
        <v/>
      </c>
    </row>
    <row r="539" customFormat="false" ht="15" hidden="false" customHeight="false" outlineLevel="0" collapsed="false">
      <c r="A539" s="3" t="s">
        <v>484</v>
      </c>
      <c r="B539" s="3" t="s">
        <v>57</v>
      </c>
      <c r="C539" s="3" t="s">
        <v>11</v>
      </c>
      <c r="D539" s="3" t="s">
        <v>25</v>
      </c>
      <c r="E539" s="3" t="s">
        <v>1719</v>
      </c>
      <c r="F539" s="3" t="s">
        <v>1403</v>
      </c>
      <c r="G539" s="3" t="n">
        <v>16000</v>
      </c>
      <c r="H539" s="3"/>
      <c r="I539" s="3" t="s">
        <v>1415</v>
      </c>
      <c r="J539" s="4" t="str">
        <f aca="false">IF(AND($A539&lt;&gt;"",$A539=Подбор!$C$4),MAX(J$1:J538)+1,"")</f>
        <v/>
      </c>
    </row>
    <row r="540" customFormat="false" ht="15" hidden="false" customHeight="false" outlineLevel="0" collapsed="false">
      <c r="A540" s="3" t="s">
        <v>484</v>
      </c>
      <c r="B540" s="3" t="s">
        <v>57</v>
      </c>
      <c r="C540" s="3" t="s">
        <v>14</v>
      </c>
      <c r="D540" s="3" t="s">
        <v>15</v>
      </c>
      <c r="E540" s="3" t="s">
        <v>1720</v>
      </c>
      <c r="F540" s="3" t="s">
        <v>1417</v>
      </c>
      <c r="G540" s="3"/>
      <c r="H540" s="3"/>
      <c r="I540" s="3"/>
      <c r="J540" s="4" t="str">
        <f aca="false">IF(AND($A540&lt;&gt;"",$A540=Подбор!$C$4),MAX(J$1:J539)+1,"")</f>
        <v/>
      </c>
    </row>
    <row r="541" customFormat="false" ht="15" hidden="false" customHeight="false" outlineLevel="0" collapsed="false">
      <c r="A541" s="3" t="s">
        <v>484</v>
      </c>
      <c r="B541" s="3" t="s">
        <v>57</v>
      </c>
      <c r="C541" s="3" t="s">
        <v>14</v>
      </c>
      <c r="D541" s="3" t="s">
        <v>15</v>
      </c>
      <c r="E541" s="3" t="s">
        <v>1721</v>
      </c>
      <c r="F541" s="3" t="s">
        <v>1421</v>
      </c>
      <c r="G541" s="3"/>
      <c r="H541" s="3"/>
      <c r="I541" s="3"/>
      <c r="J541" s="4" t="str">
        <f aca="false">IF(AND($A541&lt;&gt;"",$A541=Подбор!$C$4),MAX(J$1:J540)+1,"")</f>
        <v/>
      </c>
    </row>
    <row r="542" customFormat="false" ht="15" hidden="false" customHeight="false" outlineLevel="0" collapsed="false">
      <c r="A542" s="3" t="s">
        <v>484</v>
      </c>
      <c r="B542" s="3" t="s">
        <v>57</v>
      </c>
      <c r="C542" s="3" t="s">
        <v>30</v>
      </c>
      <c r="D542" s="3" t="s">
        <v>15</v>
      </c>
      <c r="E542" s="3"/>
      <c r="F542" s="3"/>
      <c r="G542" s="3"/>
      <c r="H542" s="3"/>
      <c r="I542" s="3" t="s">
        <v>1440</v>
      </c>
      <c r="J542" s="4" t="str">
        <f aca="false">IF(AND($A542&lt;&gt;"",$A542=Подбор!$C$4),MAX(J$1:J541)+1,"")</f>
        <v/>
      </c>
    </row>
    <row r="543" customFormat="false" ht="15" hidden="false" customHeight="false" outlineLevel="0" collapsed="false">
      <c r="A543" s="3" t="s">
        <v>491</v>
      </c>
      <c r="B543" s="3" t="s">
        <v>10</v>
      </c>
      <c r="C543" s="3" t="s">
        <v>11</v>
      </c>
      <c r="D543" s="3" t="s">
        <v>12</v>
      </c>
      <c r="E543" s="3" t="s">
        <v>1671</v>
      </c>
      <c r="F543" s="3" t="s">
        <v>1403</v>
      </c>
      <c r="G543" s="3"/>
      <c r="H543" s="3"/>
      <c r="I543" s="3"/>
      <c r="J543" s="4" t="str">
        <f aca="false">IF(AND($A543&lt;&gt;"",$A543=Подбор!$C$4),MAX(J$1:J542)+1,"")</f>
        <v/>
      </c>
    </row>
    <row r="544" customFormat="false" ht="15" hidden="false" customHeight="false" outlineLevel="0" collapsed="false">
      <c r="A544" s="3" t="s">
        <v>491</v>
      </c>
      <c r="B544" s="3" t="s">
        <v>10</v>
      </c>
      <c r="C544" s="3" t="s">
        <v>14</v>
      </c>
      <c r="D544" s="3" t="s">
        <v>15</v>
      </c>
      <c r="E544" s="3" t="s">
        <v>1672</v>
      </c>
      <c r="F544" s="3" t="s">
        <v>1403</v>
      </c>
      <c r="G544" s="3"/>
      <c r="H544" s="3"/>
      <c r="I544" s="3"/>
      <c r="J544" s="4" t="str">
        <f aca="false">IF(AND($A544&lt;&gt;"",$A544=Подбор!$C$4),MAX(J$1:J543)+1,"")</f>
        <v/>
      </c>
    </row>
    <row r="545" customFormat="false" ht="15" hidden="false" customHeight="false" outlineLevel="0" collapsed="false">
      <c r="A545" s="3" t="s">
        <v>492</v>
      </c>
      <c r="B545" s="3" t="s">
        <v>472</v>
      </c>
      <c r="C545" s="3" t="s">
        <v>11</v>
      </c>
      <c r="D545" s="3" t="s">
        <v>12</v>
      </c>
      <c r="E545" s="3" t="s">
        <v>15</v>
      </c>
      <c r="F545" s="3"/>
      <c r="G545" s="3"/>
      <c r="H545" s="3"/>
      <c r="I545" s="3"/>
      <c r="J545" s="4" t="str">
        <f aca="false">IF(AND($A545&lt;&gt;"",$A545=Подбор!$C$4),MAX(J$1:J544)+1,"")</f>
        <v/>
      </c>
    </row>
    <row r="546" customFormat="false" ht="15" hidden="false" customHeight="false" outlineLevel="0" collapsed="false">
      <c r="A546" s="3" t="s">
        <v>492</v>
      </c>
      <c r="B546" s="3" t="s">
        <v>472</v>
      </c>
      <c r="C546" s="3" t="s">
        <v>11</v>
      </c>
      <c r="D546" s="3" t="s">
        <v>21</v>
      </c>
      <c r="E546" s="3" t="s">
        <v>15</v>
      </c>
      <c r="F546" s="3"/>
      <c r="G546" s="3"/>
      <c r="H546" s="3"/>
      <c r="I546" s="3"/>
      <c r="J546" s="4" t="str">
        <f aca="false">IF(AND($A546&lt;&gt;"",$A546=Подбор!$C$4),MAX(J$1:J545)+1,"")</f>
        <v/>
      </c>
    </row>
    <row r="547" customFormat="false" ht="15" hidden="false" customHeight="false" outlineLevel="0" collapsed="false">
      <c r="A547" s="3" t="s">
        <v>492</v>
      </c>
      <c r="B547" s="3" t="s">
        <v>472</v>
      </c>
      <c r="C547" s="3" t="s">
        <v>11</v>
      </c>
      <c r="D547" s="3" t="s">
        <v>23</v>
      </c>
      <c r="E547" s="3" t="s">
        <v>15</v>
      </c>
      <c r="F547" s="3"/>
      <c r="G547" s="3"/>
      <c r="H547" s="3"/>
      <c r="I547" s="3"/>
      <c r="J547" s="4" t="str">
        <f aca="false">IF(AND($A547&lt;&gt;"",$A547=Подбор!$C$4),MAX(J$1:J546)+1,"")</f>
        <v/>
      </c>
    </row>
    <row r="548" customFormat="false" ht="15" hidden="false" customHeight="false" outlineLevel="0" collapsed="false">
      <c r="A548" s="3" t="s">
        <v>492</v>
      </c>
      <c r="B548" s="3" t="s">
        <v>472</v>
      </c>
      <c r="C548" s="3" t="s">
        <v>11</v>
      </c>
      <c r="D548" s="3" t="s">
        <v>25</v>
      </c>
      <c r="E548" s="3" t="s">
        <v>15</v>
      </c>
      <c r="F548" s="3"/>
      <c r="G548" s="3"/>
      <c r="H548" s="3"/>
      <c r="I548" s="3"/>
      <c r="J548" s="4" t="str">
        <f aca="false">IF(AND($A548&lt;&gt;"",$A548=Подбор!$C$4),MAX(J$1:J547)+1,"")</f>
        <v/>
      </c>
    </row>
    <row r="549" customFormat="false" ht="15" hidden="false" customHeight="false" outlineLevel="0" collapsed="false">
      <c r="A549" s="3" t="s">
        <v>493</v>
      </c>
      <c r="B549" s="3" t="s">
        <v>57</v>
      </c>
      <c r="C549" s="3" t="s">
        <v>11</v>
      </c>
      <c r="D549" s="3" t="s">
        <v>12</v>
      </c>
      <c r="E549" s="3" t="s">
        <v>1554</v>
      </c>
      <c r="F549" s="3" t="s">
        <v>1403</v>
      </c>
      <c r="G549" s="3" t="n">
        <v>2700</v>
      </c>
      <c r="H549" s="3"/>
      <c r="I549" s="3" t="s">
        <v>1415</v>
      </c>
      <c r="J549" s="4" t="str">
        <f aca="false">IF(AND($A549&lt;&gt;"",$A549=Подбор!$C$4),MAX(J$1:J548)+1,"")</f>
        <v/>
      </c>
    </row>
    <row r="550" customFormat="false" ht="15" hidden="false" customHeight="false" outlineLevel="0" collapsed="false">
      <c r="A550" s="3" t="s">
        <v>493</v>
      </c>
      <c r="B550" s="3" t="s">
        <v>57</v>
      </c>
      <c r="C550" s="3" t="s">
        <v>11</v>
      </c>
      <c r="D550" s="3" t="s">
        <v>12</v>
      </c>
      <c r="E550" s="3" t="s">
        <v>1722</v>
      </c>
      <c r="F550" s="3" t="s">
        <v>1421</v>
      </c>
      <c r="G550" s="3" t="n">
        <v>2700</v>
      </c>
      <c r="H550" s="3"/>
      <c r="I550" s="3" t="s">
        <v>1415</v>
      </c>
      <c r="J550" s="4" t="str">
        <f aca="false">IF(AND($A550&lt;&gt;"",$A550=Подбор!$C$4),MAX(J$1:J549)+1,"")</f>
        <v/>
      </c>
    </row>
    <row r="551" customFormat="false" ht="15" hidden="false" customHeight="false" outlineLevel="0" collapsed="false">
      <c r="A551" s="3" t="s">
        <v>493</v>
      </c>
      <c r="B551" s="3" t="s">
        <v>57</v>
      </c>
      <c r="C551" s="3" t="s">
        <v>17</v>
      </c>
      <c r="D551" s="3" t="s">
        <v>15</v>
      </c>
      <c r="E551" s="3" t="s">
        <v>1723</v>
      </c>
      <c r="F551" s="3" t="s">
        <v>1403</v>
      </c>
      <c r="G551" s="3"/>
      <c r="H551" s="3"/>
      <c r="I551" s="3"/>
      <c r="J551" s="4" t="str">
        <f aca="false">IF(AND($A551&lt;&gt;"",$A551=Подбор!$C$4),MAX(J$1:J550)+1,"")</f>
        <v/>
      </c>
    </row>
    <row r="552" customFormat="false" ht="15" hidden="false" customHeight="false" outlineLevel="0" collapsed="false">
      <c r="A552" s="3" t="s">
        <v>494</v>
      </c>
      <c r="B552" s="3" t="s">
        <v>51</v>
      </c>
      <c r="C552" s="3" t="s">
        <v>11</v>
      </c>
      <c r="D552" s="3" t="s">
        <v>12</v>
      </c>
      <c r="E552" s="3" t="s">
        <v>1724</v>
      </c>
      <c r="F552" s="3" t="s">
        <v>1403</v>
      </c>
      <c r="G552" s="3"/>
      <c r="H552" s="3"/>
      <c r="I552" s="3"/>
      <c r="J552" s="4" t="str">
        <f aca="false">IF(AND($A552&lt;&gt;"",$A552=Подбор!$C$4),MAX(J$1:J551)+1,"")</f>
        <v/>
      </c>
    </row>
    <row r="553" customFormat="false" ht="15" hidden="false" customHeight="false" outlineLevel="0" collapsed="false">
      <c r="A553" s="3" t="s">
        <v>494</v>
      </c>
      <c r="B553" s="3" t="s">
        <v>51</v>
      </c>
      <c r="C553" s="3" t="s">
        <v>14</v>
      </c>
      <c r="D553" s="3" t="s">
        <v>15</v>
      </c>
      <c r="E553" s="3"/>
      <c r="F553" s="3"/>
      <c r="G553" s="3"/>
      <c r="H553" s="3"/>
      <c r="I553" s="3" t="s">
        <v>1440</v>
      </c>
      <c r="J553" s="4" t="str">
        <f aca="false">IF(AND($A553&lt;&gt;"",$A553=Подбор!$C$4),MAX(J$1:J552)+1,"")</f>
        <v/>
      </c>
    </row>
    <row r="554" customFormat="false" ht="15" hidden="false" customHeight="false" outlineLevel="0" collapsed="false">
      <c r="A554" s="3" t="s">
        <v>497</v>
      </c>
      <c r="B554" s="3" t="s">
        <v>498</v>
      </c>
      <c r="C554" s="3" t="s">
        <v>11</v>
      </c>
      <c r="D554" s="3" t="s">
        <v>12</v>
      </c>
      <c r="E554" s="3" t="s">
        <v>1725</v>
      </c>
      <c r="F554" s="3" t="s">
        <v>1403</v>
      </c>
      <c r="G554" s="3" t="n">
        <v>2500</v>
      </c>
      <c r="H554" s="3"/>
      <c r="I554" s="3" t="s">
        <v>1415</v>
      </c>
      <c r="J554" s="4" t="str">
        <f aca="false">IF(AND($A554&lt;&gt;"",$A554=Подбор!$C$4),MAX(J$1:J553)+1,"")</f>
        <v/>
      </c>
    </row>
    <row r="555" customFormat="false" ht="15" hidden="false" customHeight="false" outlineLevel="0" collapsed="false">
      <c r="A555" s="3" t="s">
        <v>497</v>
      </c>
      <c r="B555" s="3" t="s">
        <v>498</v>
      </c>
      <c r="C555" s="3" t="s">
        <v>11</v>
      </c>
      <c r="D555" s="3" t="s">
        <v>12</v>
      </c>
      <c r="E555" s="3" t="s">
        <v>1726</v>
      </c>
      <c r="F555" s="3" t="s">
        <v>1727</v>
      </c>
      <c r="G555" s="3"/>
      <c r="H555" s="3"/>
      <c r="I555" s="3"/>
      <c r="J555" s="4" t="str">
        <f aca="false">IF(AND($A555&lt;&gt;"",$A555=Подбор!$C$4),MAX(J$1:J554)+1,"")</f>
        <v/>
      </c>
    </row>
    <row r="556" customFormat="false" ht="15" hidden="false" customHeight="false" outlineLevel="0" collapsed="false">
      <c r="A556" s="3" t="s">
        <v>497</v>
      </c>
      <c r="B556" s="3" t="s">
        <v>498</v>
      </c>
      <c r="C556" s="3" t="s">
        <v>14</v>
      </c>
      <c r="D556" s="3" t="s">
        <v>15</v>
      </c>
      <c r="E556" s="3" t="s">
        <v>1728</v>
      </c>
      <c r="F556" s="3" t="s">
        <v>1403</v>
      </c>
      <c r="G556" s="3"/>
      <c r="H556" s="3"/>
      <c r="I556" s="3"/>
      <c r="J556" s="4" t="str">
        <f aca="false">IF(AND($A556&lt;&gt;"",$A556=Подбор!$C$4),MAX(J$1:J555)+1,"")</f>
        <v/>
      </c>
    </row>
    <row r="557" customFormat="false" ht="15" hidden="false" customHeight="false" outlineLevel="0" collapsed="false">
      <c r="A557" s="3" t="s">
        <v>501</v>
      </c>
      <c r="B557" s="3" t="s">
        <v>472</v>
      </c>
      <c r="C557" s="3" t="s">
        <v>11</v>
      </c>
      <c r="D557" s="3" t="s">
        <v>12</v>
      </c>
      <c r="E557" s="3" t="s">
        <v>1729</v>
      </c>
      <c r="F557" s="3" t="s">
        <v>1403</v>
      </c>
      <c r="G557" s="3"/>
      <c r="H557" s="3"/>
      <c r="I557" s="3"/>
      <c r="J557" s="4" t="str">
        <f aca="false">IF(AND($A557&lt;&gt;"",$A557=Подбор!$C$4),MAX(J$1:J556)+1,"")</f>
        <v/>
      </c>
    </row>
    <row r="558" customFormat="false" ht="15" hidden="false" customHeight="false" outlineLevel="0" collapsed="false">
      <c r="A558" s="3" t="s">
        <v>502</v>
      </c>
      <c r="B558" s="3" t="s">
        <v>47</v>
      </c>
      <c r="C558" s="3" t="s">
        <v>11</v>
      </c>
      <c r="D558" s="3" t="s">
        <v>12</v>
      </c>
      <c r="E558" s="3" t="s">
        <v>1429</v>
      </c>
      <c r="F558" s="3" t="s">
        <v>1417</v>
      </c>
      <c r="G558" s="3"/>
      <c r="H558" s="3"/>
      <c r="I558" s="3"/>
      <c r="J558" s="4" t="str">
        <f aca="false">IF(AND($A558&lt;&gt;"",$A558=Подбор!$C$4),MAX(J$1:J557)+1,"")</f>
        <v/>
      </c>
    </row>
    <row r="559" customFormat="false" ht="15" hidden="false" customHeight="false" outlineLevel="0" collapsed="false">
      <c r="A559" s="3" t="s">
        <v>502</v>
      </c>
      <c r="B559" s="3" t="s">
        <v>47</v>
      </c>
      <c r="C559" s="3" t="s">
        <v>14</v>
      </c>
      <c r="D559" s="3" t="s">
        <v>15</v>
      </c>
      <c r="E559" s="3" t="s">
        <v>1431</v>
      </c>
      <c r="F559" s="3" t="s">
        <v>1432</v>
      </c>
      <c r="G559" s="3" t="n">
        <v>60000</v>
      </c>
      <c r="H559" s="3"/>
      <c r="I559" s="3" t="s">
        <v>1415</v>
      </c>
      <c r="J559" s="4" t="str">
        <f aca="false">IF(AND($A559&lt;&gt;"",$A559=Подбор!$C$4),MAX(J$1:J558)+1,"")</f>
        <v/>
      </c>
    </row>
    <row r="560" customFormat="false" ht="15" hidden="false" customHeight="false" outlineLevel="0" collapsed="false">
      <c r="A560" s="3" t="s">
        <v>503</v>
      </c>
      <c r="B560" s="3" t="s">
        <v>47</v>
      </c>
      <c r="C560" s="3" t="s">
        <v>11</v>
      </c>
      <c r="D560" s="3" t="s">
        <v>12</v>
      </c>
      <c r="E560" s="3" t="s">
        <v>1429</v>
      </c>
      <c r="F560" s="3" t="s">
        <v>1417</v>
      </c>
      <c r="G560" s="3"/>
      <c r="H560" s="3"/>
      <c r="I560" s="3"/>
      <c r="J560" s="4" t="str">
        <f aca="false">IF(AND($A560&lt;&gt;"",$A560=Подбор!$C$4),MAX(J$1:J559)+1,"")</f>
        <v/>
      </c>
    </row>
    <row r="561" customFormat="false" ht="15" hidden="false" customHeight="false" outlineLevel="0" collapsed="false">
      <c r="A561" s="3" t="s">
        <v>503</v>
      </c>
      <c r="B561" s="3" t="s">
        <v>47</v>
      </c>
      <c r="C561" s="3" t="s">
        <v>14</v>
      </c>
      <c r="D561" s="3" t="s">
        <v>15</v>
      </c>
      <c r="E561" s="3" t="s">
        <v>1431</v>
      </c>
      <c r="F561" s="3" t="s">
        <v>1432</v>
      </c>
      <c r="G561" s="3" t="n">
        <v>60000</v>
      </c>
      <c r="H561" s="3"/>
      <c r="I561" s="3" t="s">
        <v>1415</v>
      </c>
      <c r="J561" s="4" t="str">
        <f aca="false">IF(AND($A561&lt;&gt;"",$A561=Подбор!$C$4),MAX(J$1:J560)+1,"")</f>
        <v/>
      </c>
    </row>
    <row r="562" customFormat="false" ht="15" hidden="false" customHeight="false" outlineLevel="0" collapsed="false">
      <c r="A562" s="3" t="s">
        <v>504</v>
      </c>
      <c r="B562" s="3" t="s">
        <v>47</v>
      </c>
      <c r="C562" s="3" t="s">
        <v>11</v>
      </c>
      <c r="D562" s="3" t="s">
        <v>12</v>
      </c>
      <c r="E562" s="3" t="s">
        <v>1429</v>
      </c>
      <c r="F562" s="3" t="s">
        <v>1417</v>
      </c>
      <c r="G562" s="3"/>
      <c r="H562" s="3"/>
      <c r="I562" s="3"/>
      <c r="J562" s="4" t="str">
        <f aca="false">IF(AND($A562&lt;&gt;"",$A562=Подбор!$C$4),MAX(J$1:J561)+1,"")</f>
        <v/>
      </c>
    </row>
    <row r="563" customFormat="false" ht="15" hidden="false" customHeight="false" outlineLevel="0" collapsed="false">
      <c r="A563" s="3" t="s">
        <v>504</v>
      </c>
      <c r="B563" s="3" t="s">
        <v>47</v>
      </c>
      <c r="C563" s="3" t="s">
        <v>14</v>
      </c>
      <c r="D563" s="3" t="s">
        <v>15</v>
      </c>
      <c r="E563" s="3" t="s">
        <v>1431</v>
      </c>
      <c r="F563" s="3" t="s">
        <v>1432</v>
      </c>
      <c r="G563" s="3" t="n">
        <v>60000</v>
      </c>
      <c r="H563" s="3"/>
      <c r="I563" s="3" t="s">
        <v>1415</v>
      </c>
      <c r="J563" s="4" t="str">
        <f aca="false">IF(AND($A563&lt;&gt;"",$A563=Подбор!$C$4),MAX(J$1:J562)+1,"")</f>
        <v/>
      </c>
    </row>
    <row r="564" customFormat="false" ht="15" hidden="false" customHeight="false" outlineLevel="0" collapsed="false">
      <c r="A564" s="3" t="s">
        <v>505</v>
      </c>
      <c r="B564" s="3" t="s">
        <v>47</v>
      </c>
      <c r="C564" s="3" t="s">
        <v>11</v>
      </c>
      <c r="D564" s="3" t="s">
        <v>12</v>
      </c>
      <c r="E564" s="3" t="s">
        <v>1429</v>
      </c>
      <c r="F564" s="3" t="s">
        <v>1417</v>
      </c>
      <c r="G564" s="3"/>
      <c r="H564" s="3"/>
      <c r="I564" s="3"/>
      <c r="J564" s="4" t="str">
        <f aca="false">IF(AND($A564&lt;&gt;"",$A564=Подбор!$C$4),MAX(J$1:J563)+1,"")</f>
        <v/>
      </c>
    </row>
    <row r="565" customFormat="false" ht="15" hidden="false" customHeight="false" outlineLevel="0" collapsed="false">
      <c r="A565" s="3" t="s">
        <v>505</v>
      </c>
      <c r="B565" s="3" t="s">
        <v>47</v>
      </c>
      <c r="C565" s="3" t="s">
        <v>14</v>
      </c>
      <c r="D565" s="3" t="s">
        <v>15</v>
      </c>
      <c r="E565" s="3" t="s">
        <v>1431</v>
      </c>
      <c r="F565" s="3" t="s">
        <v>1432</v>
      </c>
      <c r="G565" s="3" t="n">
        <v>60000</v>
      </c>
      <c r="H565" s="3"/>
      <c r="I565" s="3" t="s">
        <v>1415</v>
      </c>
      <c r="J565" s="4" t="str">
        <f aca="false">IF(AND($A565&lt;&gt;"",$A565=Подбор!$C$4),MAX(J$1:J564)+1,"")</f>
        <v/>
      </c>
    </row>
    <row r="566" customFormat="false" ht="15" hidden="false" customHeight="false" outlineLevel="0" collapsed="false">
      <c r="A566" s="3" t="s">
        <v>506</v>
      </c>
      <c r="B566" s="3" t="s">
        <v>47</v>
      </c>
      <c r="C566" s="3" t="s">
        <v>11</v>
      </c>
      <c r="D566" s="3" t="s">
        <v>12</v>
      </c>
      <c r="E566" s="3" t="s">
        <v>15</v>
      </c>
      <c r="F566" s="3"/>
      <c r="G566" s="3"/>
      <c r="H566" s="3"/>
      <c r="I566" s="3"/>
      <c r="J566" s="4" t="str">
        <f aca="false">IF(AND($A566&lt;&gt;"",$A566=Подбор!$C$4),MAX(J$1:J565)+1,"")</f>
        <v/>
      </c>
    </row>
    <row r="567" customFormat="false" ht="15" hidden="false" customHeight="false" outlineLevel="0" collapsed="false">
      <c r="A567" s="3" t="s">
        <v>506</v>
      </c>
      <c r="B567" s="3" t="s">
        <v>47</v>
      </c>
      <c r="C567" s="3" t="s">
        <v>14</v>
      </c>
      <c r="D567" s="3" t="s">
        <v>15</v>
      </c>
      <c r="E567" s="3" t="s">
        <v>1431</v>
      </c>
      <c r="F567" s="3" t="s">
        <v>1432</v>
      </c>
      <c r="G567" s="3" t="n">
        <v>60000</v>
      </c>
      <c r="H567" s="3"/>
      <c r="I567" s="3" t="s">
        <v>1415</v>
      </c>
      <c r="J567" s="4" t="str">
        <f aca="false">IF(AND($A567&lt;&gt;"",$A567=Подбор!$C$4),MAX(J$1:J566)+1,"")</f>
        <v/>
      </c>
    </row>
    <row r="568" customFormat="false" ht="15" hidden="false" customHeight="false" outlineLevel="0" collapsed="false">
      <c r="A568" s="3" t="s">
        <v>507</v>
      </c>
      <c r="B568" s="3" t="s">
        <v>508</v>
      </c>
      <c r="C568" s="3" t="s">
        <v>11</v>
      </c>
      <c r="D568" s="3" t="s">
        <v>12</v>
      </c>
      <c r="E568" s="3" t="s">
        <v>15</v>
      </c>
      <c r="F568" s="3"/>
      <c r="G568" s="3"/>
      <c r="H568" s="3"/>
      <c r="I568" s="3"/>
      <c r="J568" s="4" t="str">
        <f aca="false">IF(AND($A568&lt;&gt;"",$A568=Подбор!$C$4),MAX(J$1:J567)+1,"")</f>
        <v/>
      </c>
    </row>
    <row r="569" customFormat="false" ht="15" hidden="false" customHeight="false" outlineLevel="0" collapsed="false">
      <c r="A569" s="3" t="s">
        <v>509</v>
      </c>
      <c r="B569" s="3" t="s">
        <v>47</v>
      </c>
      <c r="C569" s="3" t="s">
        <v>11</v>
      </c>
      <c r="D569" s="3" t="s">
        <v>12</v>
      </c>
      <c r="E569" s="3" t="s">
        <v>15</v>
      </c>
      <c r="F569" s="3"/>
      <c r="G569" s="3"/>
      <c r="H569" s="3"/>
      <c r="I569" s="3"/>
      <c r="J569" s="4" t="str">
        <f aca="false">IF(AND($A569&lt;&gt;"",$A569=Подбор!$C$4),MAX(J$1:J568)+1,"")</f>
        <v/>
      </c>
    </row>
    <row r="570" customFormat="false" ht="15" hidden="false" customHeight="false" outlineLevel="0" collapsed="false">
      <c r="A570" s="3" t="s">
        <v>510</v>
      </c>
      <c r="B570" s="3" t="s">
        <v>47</v>
      </c>
      <c r="C570" s="3" t="s">
        <v>11</v>
      </c>
      <c r="D570" s="3" t="s">
        <v>12</v>
      </c>
      <c r="E570" s="3" t="s">
        <v>15</v>
      </c>
      <c r="F570" s="3"/>
      <c r="G570" s="3"/>
      <c r="H570" s="3"/>
      <c r="I570" s="3"/>
      <c r="J570" s="4" t="str">
        <f aca="false">IF(AND($A570&lt;&gt;"",$A570=Подбор!$C$4),MAX(J$1:J569)+1,"")</f>
        <v/>
      </c>
    </row>
    <row r="571" customFormat="false" ht="15" hidden="false" customHeight="false" outlineLevel="0" collapsed="false">
      <c r="A571" s="3" t="s">
        <v>511</v>
      </c>
      <c r="B571" s="3" t="s">
        <v>47</v>
      </c>
      <c r="C571" s="3" t="s">
        <v>11</v>
      </c>
      <c r="D571" s="3" t="s">
        <v>12</v>
      </c>
      <c r="E571" s="3" t="s">
        <v>15</v>
      </c>
      <c r="F571" s="3"/>
      <c r="G571" s="3"/>
      <c r="H571" s="3"/>
      <c r="I571" s="3"/>
      <c r="J571" s="4" t="str">
        <f aca="false">IF(AND($A571&lt;&gt;"",$A571=Подбор!$C$4),MAX(J$1:J570)+1,"")</f>
        <v/>
      </c>
    </row>
    <row r="572" customFormat="false" ht="15" hidden="false" customHeight="false" outlineLevel="0" collapsed="false">
      <c r="A572" s="3" t="s">
        <v>511</v>
      </c>
      <c r="B572" s="3" t="s">
        <v>47</v>
      </c>
      <c r="C572" s="3" t="s">
        <v>14</v>
      </c>
      <c r="D572" s="3" t="s">
        <v>15</v>
      </c>
      <c r="E572" s="3"/>
      <c r="F572" s="3"/>
      <c r="G572" s="3"/>
      <c r="H572" s="3"/>
      <c r="I572" s="3" t="s">
        <v>1440</v>
      </c>
      <c r="J572" s="4" t="str">
        <f aca="false">IF(AND($A572&lt;&gt;"",$A572=Подбор!$C$4),MAX(J$1:J571)+1,"")</f>
        <v/>
      </c>
    </row>
    <row r="573" customFormat="false" ht="15" hidden="false" customHeight="false" outlineLevel="0" collapsed="false">
      <c r="A573" s="3" t="s">
        <v>512</v>
      </c>
      <c r="B573" s="3" t="s">
        <v>47</v>
      </c>
      <c r="C573" s="3" t="s">
        <v>11</v>
      </c>
      <c r="D573" s="3" t="s">
        <v>12</v>
      </c>
      <c r="E573" s="3" t="s">
        <v>15</v>
      </c>
      <c r="F573" s="3"/>
      <c r="G573" s="3"/>
      <c r="H573" s="3"/>
      <c r="I573" s="3"/>
      <c r="J573" s="4" t="str">
        <f aca="false">IF(AND($A573&lt;&gt;"",$A573=Подбор!$C$4),MAX(J$1:J572)+1,"")</f>
        <v/>
      </c>
    </row>
    <row r="574" customFormat="false" ht="15" hidden="false" customHeight="false" outlineLevel="0" collapsed="false">
      <c r="A574" s="3" t="s">
        <v>512</v>
      </c>
      <c r="B574" s="3" t="s">
        <v>47</v>
      </c>
      <c r="C574" s="3" t="s">
        <v>14</v>
      </c>
      <c r="D574" s="3" t="s">
        <v>15</v>
      </c>
      <c r="E574" s="3"/>
      <c r="F574" s="3"/>
      <c r="G574" s="3"/>
      <c r="H574" s="3"/>
      <c r="I574" s="3" t="s">
        <v>1440</v>
      </c>
      <c r="J574" s="4" t="str">
        <f aca="false">IF(AND($A574&lt;&gt;"",$A574=Подбор!$C$4),MAX(J$1:J573)+1,"")</f>
        <v/>
      </c>
    </row>
    <row r="575" customFormat="false" ht="15" hidden="false" customHeight="false" outlineLevel="0" collapsed="false">
      <c r="A575" s="3" t="s">
        <v>513</v>
      </c>
      <c r="B575" s="3" t="s">
        <v>47</v>
      </c>
      <c r="C575" s="3" t="s">
        <v>11</v>
      </c>
      <c r="D575" s="3" t="s">
        <v>12</v>
      </c>
      <c r="E575" s="3" t="s">
        <v>15</v>
      </c>
      <c r="F575" s="3"/>
      <c r="G575" s="3"/>
      <c r="H575" s="3"/>
      <c r="I575" s="3"/>
      <c r="J575" s="4" t="str">
        <f aca="false">IF(AND($A575&lt;&gt;"",$A575=Подбор!$C$4),MAX(J$1:J574)+1,"")</f>
        <v/>
      </c>
    </row>
    <row r="576" customFormat="false" ht="15" hidden="false" customHeight="false" outlineLevel="0" collapsed="false">
      <c r="A576" s="3" t="s">
        <v>514</v>
      </c>
      <c r="B576" s="3" t="s">
        <v>47</v>
      </c>
      <c r="C576" s="3" t="s">
        <v>11</v>
      </c>
      <c r="D576" s="3" t="s">
        <v>12</v>
      </c>
      <c r="E576" s="3" t="s">
        <v>15</v>
      </c>
      <c r="F576" s="3"/>
      <c r="G576" s="3"/>
      <c r="H576" s="3"/>
      <c r="I576" s="3"/>
      <c r="J576" s="4" t="str">
        <f aca="false">IF(AND($A576&lt;&gt;"",$A576=Подбор!$C$4),MAX(J$1:J575)+1,"")</f>
        <v/>
      </c>
    </row>
    <row r="577" customFormat="false" ht="15" hidden="false" customHeight="false" outlineLevel="0" collapsed="false">
      <c r="A577" s="3" t="s">
        <v>515</v>
      </c>
      <c r="B577" s="3" t="s">
        <v>47</v>
      </c>
      <c r="C577" s="3" t="s">
        <v>11</v>
      </c>
      <c r="D577" s="3" t="s">
        <v>12</v>
      </c>
      <c r="E577" s="3" t="s">
        <v>15</v>
      </c>
      <c r="F577" s="3"/>
      <c r="G577" s="3"/>
      <c r="H577" s="3"/>
      <c r="I577" s="3"/>
      <c r="J577" s="4" t="str">
        <f aca="false">IF(AND($A577&lt;&gt;"",$A577=Подбор!$C$4),MAX(J$1:J576)+1,"")</f>
        <v/>
      </c>
    </row>
    <row r="578" customFormat="false" ht="15" hidden="false" customHeight="false" outlineLevel="0" collapsed="false">
      <c r="A578" s="3" t="s">
        <v>515</v>
      </c>
      <c r="B578" s="3" t="s">
        <v>47</v>
      </c>
      <c r="C578" s="3" t="s">
        <v>14</v>
      </c>
      <c r="D578" s="3" t="s">
        <v>15</v>
      </c>
      <c r="E578" s="3"/>
      <c r="F578" s="3"/>
      <c r="G578" s="3"/>
      <c r="H578" s="3"/>
      <c r="I578" s="3" t="s">
        <v>1440</v>
      </c>
      <c r="J578" s="4" t="str">
        <f aca="false">IF(AND($A578&lt;&gt;"",$A578=Подбор!$C$4),MAX(J$1:J577)+1,"")</f>
        <v/>
      </c>
    </row>
    <row r="579" customFormat="false" ht="15" hidden="false" customHeight="false" outlineLevel="0" collapsed="false">
      <c r="A579" s="3" t="s">
        <v>518</v>
      </c>
      <c r="B579" s="3" t="s">
        <v>47</v>
      </c>
      <c r="C579" s="3" t="s">
        <v>11</v>
      </c>
      <c r="D579" s="3" t="s">
        <v>12</v>
      </c>
      <c r="E579" s="3" t="s">
        <v>15</v>
      </c>
      <c r="F579" s="3"/>
      <c r="G579" s="3"/>
      <c r="H579" s="3"/>
      <c r="I579" s="3"/>
      <c r="J579" s="4" t="str">
        <f aca="false">IF(AND($A579&lt;&gt;"",$A579=Подбор!$C$4),MAX(J$1:J578)+1,"")</f>
        <v/>
      </c>
    </row>
    <row r="580" customFormat="false" ht="15" hidden="false" customHeight="false" outlineLevel="0" collapsed="false">
      <c r="A580" s="3" t="s">
        <v>518</v>
      </c>
      <c r="B580" s="3" t="s">
        <v>47</v>
      </c>
      <c r="C580" s="3" t="s">
        <v>14</v>
      </c>
      <c r="D580" s="3" t="s">
        <v>15</v>
      </c>
      <c r="E580" s="3"/>
      <c r="F580" s="3"/>
      <c r="G580" s="3"/>
      <c r="H580" s="3"/>
      <c r="I580" s="3" t="s">
        <v>1440</v>
      </c>
      <c r="J580" s="4" t="str">
        <f aca="false">IF(AND($A580&lt;&gt;"",$A580=Подбор!$C$4),MAX(J$1:J579)+1,"")</f>
        <v/>
      </c>
    </row>
    <row r="581" customFormat="false" ht="15" hidden="false" customHeight="false" outlineLevel="0" collapsed="false">
      <c r="A581" s="3" t="s">
        <v>519</v>
      </c>
      <c r="B581" s="3" t="s">
        <v>47</v>
      </c>
      <c r="C581" s="3" t="s">
        <v>11</v>
      </c>
      <c r="D581" s="3" t="s">
        <v>12</v>
      </c>
      <c r="E581" s="3" t="s">
        <v>15</v>
      </c>
      <c r="F581" s="3"/>
      <c r="G581" s="3"/>
      <c r="H581" s="3"/>
      <c r="I581" s="3"/>
      <c r="J581" s="4" t="str">
        <f aca="false">IF(AND($A581&lt;&gt;"",$A581=Подбор!$C$4),MAX(J$1:J580)+1,"")</f>
        <v/>
      </c>
    </row>
    <row r="582" customFormat="false" ht="15" hidden="false" customHeight="false" outlineLevel="0" collapsed="false">
      <c r="A582" s="3" t="s">
        <v>520</v>
      </c>
      <c r="B582" s="3" t="s">
        <v>47</v>
      </c>
      <c r="C582" s="3" t="s">
        <v>11</v>
      </c>
      <c r="D582" s="3" t="s">
        <v>12</v>
      </c>
      <c r="E582" s="3" t="s">
        <v>15</v>
      </c>
      <c r="F582" s="3"/>
      <c r="G582" s="3"/>
      <c r="H582" s="3"/>
      <c r="I582" s="3"/>
      <c r="J582" s="4" t="str">
        <f aca="false">IF(AND($A582&lt;&gt;"",$A582=Подбор!$C$4),MAX(J$1:J581)+1,"")</f>
        <v/>
      </c>
    </row>
    <row r="583" customFormat="false" ht="15" hidden="false" customHeight="false" outlineLevel="0" collapsed="false">
      <c r="A583" s="3" t="s">
        <v>521</v>
      </c>
      <c r="B583" s="3" t="s">
        <v>57</v>
      </c>
      <c r="C583" s="3" t="s">
        <v>11</v>
      </c>
      <c r="D583" s="3" t="s">
        <v>12</v>
      </c>
      <c r="E583" s="3" t="s">
        <v>1515</v>
      </c>
      <c r="F583" s="3" t="s">
        <v>1403</v>
      </c>
      <c r="G583" s="3" t="n">
        <v>15000</v>
      </c>
      <c r="H583" s="3"/>
      <c r="I583" s="3" t="s">
        <v>1415</v>
      </c>
      <c r="J583" s="4" t="str">
        <f aca="false">IF(AND($A583&lt;&gt;"",$A583=Подбор!$C$4),MAX(J$1:J582)+1,"")</f>
        <v/>
      </c>
    </row>
    <row r="584" customFormat="false" ht="15" hidden="false" customHeight="false" outlineLevel="0" collapsed="false">
      <c r="A584" s="3" t="s">
        <v>522</v>
      </c>
      <c r="B584" s="3" t="s">
        <v>156</v>
      </c>
      <c r="C584" s="3" t="s">
        <v>11</v>
      </c>
      <c r="D584" s="3" t="s">
        <v>12</v>
      </c>
      <c r="E584" s="3" t="s">
        <v>1706</v>
      </c>
      <c r="F584" s="3" t="s">
        <v>1403</v>
      </c>
      <c r="G584" s="3"/>
      <c r="H584" s="3"/>
      <c r="I584" s="3"/>
      <c r="J584" s="4" t="str">
        <f aca="false">IF(AND($A584&lt;&gt;"",$A584=Подбор!$C$4),MAX(J$1:J583)+1,"")</f>
        <v/>
      </c>
    </row>
    <row r="585" customFormat="false" ht="15" hidden="false" customHeight="false" outlineLevel="0" collapsed="false">
      <c r="A585" s="3" t="s">
        <v>522</v>
      </c>
      <c r="B585" s="3" t="s">
        <v>156</v>
      </c>
      <c r="C585" s="3" t="s">
        <v>14</v>
      </c>
      <c r="D585" s="3" t="s">
        <v>15</v>
      </c>
      <c r="E585" s="3"/>
      <c r="F585" s="3"/>
      <c r="G585" s="3"/>
      <c r="H585" s="3"/>
      <c r="I585" s="3" t="s">
        <v>1440</v>
      </c>
      <c r="J585" s="4" t="str">
        <f aca="false">IF(AND($A585&lt;&gt;"",$A585=Подбор!$C$4),MAX(J$1:J584)+1,"")</f>
        <v/>
      </c>
    </row>
    <row r="586" customFormat="false" ht="15" hidden="false" customHeight="false" outlineLevel="0" collapsed="false">
      <c r="A586" s="3" t="s">
        <v>523</v>
      </c>
      <c r="B586" s="3" t="s">
        <v>524</v>
      </c>
      <c r="C586" s="3" t="s">
        <v>11</v>
      </c>
      <c r="D586" s="3" t="s">
        <v>12</v>
      </c>
      <c r="E586" s="3"/>
      <c r="F586" s="3"/>
      <c r="G586" s="3"/>
      <c r="H586" s="3"/>
      <c r="I586" s="3" t="s">
        <v>1440</v>
      </c>
      <c r="J586" s="4" t="str">
        <f aca="false">IF(AND($A586&lt;&gt;"",$A586=Подбор!$C$4),MAX(J$1:J585)+1,"")</f>
        <v/>
      </c>
    </row>
    <row r="587" customFormat="false" ht="15" hidden="false" customHeight="false" outlineLevel="0" collapsed="false">
      <c r="A587" s="3" t="s">
        <v>523</v>
      </c>
      <c r="B587" s="3" t="s">
        <v>524</v>
      </c>
      <c r="C587" s="3" t="s">
        <v>11</v>
      </c>
      <c r="D587" s="3" t="s">
        <v>21</v>
      </c>
      <c r="E587" s="3"/>
      <c r="F587" s="3"/>
      <c r="G587" s="3"/>
      <c r="H587" s="3"/>
      <c r="I587" s="3" t="s">
        <v>1440</v>
      </c>
      <c r="J587" s="4" t="str">
        <f aca="false">IF(AND($A587&lt;&gt;"",$A587=Подбор!$C$4),MAX(J$1:J586)+1,"")</f>
        <v/>
      </c>
    </row>
    <row r="588" customFormat="false" ht="15" hidden="false" customHeight="false" outlineLevel="0" collapsed="false">
      <c r="A588" s="3" t="s">
        <v>523</v>
      </c>
      <c r="B588" s="3" t="s">
        <v>524</v>
      </c>
      <c r="C588" s="3" t="s">
        <v>11</v>
      </c>
      <c r="D588" s="3" t="s">
        <v>23</v>
      </c>
      <c r="E588" s="3"/>
      <c r="F588" s="3"/>
      <c r="G588" s="3"/>
      <c r="H588" s="3"/>
      <c r="I588" s="3" t="s">
        <v>1440</v>
      </c>
      <c r="J588" s="4" t="str">
        <f aca="false">IF(AND($A588&lt;&gt;"",$A588=Подбор!$C$4),MAX(J$1:J587)+1,"")</f>
        <v/>
      </c>
    </row>
    <row r="589" customFormat="false" ht="15" hidden="false" customHeight="false" outlineLevel="0" collapsed="false">
      <c r="A589" s="3" t="s">
        <v>523</v>
      </c>
      <c r="B589" s="3" t="s">
        <v>524</v>
      </c>
      <c r="C589" s="3" t="s">
        <v>11</v>
      </c>
      <c r="D589" s="3" t="s">
        <v>25</v>
      </c>
      <c r="E589" s="3"/>
      <c r="F589" s="3"/>
      <c r="G589" s="3"/>
      <c r="H589" s="3"/>
      <c r="I589" s="3" t="s">
        <v>1440</v>
      </c>
      <c r="J589" s="4" t="str">
        <f aca="false">IF(AND($A589&lt;&gt;"",$A589=Подбор!$C$4),MAX(J$1:J588)+1,"")</f>
        <v/>
      </c>
    </row>
    <row r="590" customFormat="false" ht="15" hidden="false" customHeight="false" outlineLevel="0" collapsed="false">
      <c r="A590" s="3" t="s">
        <v>525</v>
      </c>
      <c r="B590" s="3" t="s">
        <v>457</v>
      </c>
      <c r="C590" s="3" t="s">
        <v>11</v>
      </c>
      <c r="D590" s="3" t="s">
        <v>12</v>
      </c>
      <c r="E590" s="3"/>
      <c r="F590" s="3"/>
      <c r="G590" s="3"/>
      <c r="H590" s="3"/>
      <c r="I590" s="3" t="s">
        <v>1440</v>
      </c>
      <c r="J590" s="4" t="str">
        <f aca="false">IF(AND($A590&lt;&gt;"",$A590=Подбор!$C$4),MAX(J$1:J589)+1,"")</f>
        <v/>
      </c>
    </row>
    <row r="591" customFormat="false" ht="15" hidden="false" customHeight="false" outlineLevel="0" collapsed="false">
      <c r="A591" s="3" t="s">
        <v>525</v>
      </c>
      <c r="B591" s="3" t="s">
        <v>457</v>
      </c>
      <c r="C591" s="3" t="s">
        <v>14</v>
      </c>
      <c r="D591" s="3" t="s">
        <v>15</v>
      </c>
      <c r="E591" s="3"/>
      <c r="F591" s="3"/>
      <c r="G591" s="3"/>
      <c r="H591" s="3"/>
      <c r="I591" s="3" t="s">
        <v>1440</v>
      </c>
      <c r="J591" s="4" t="str">
        <f aca="false">IF(AND($A591&lt;&gt;"",$A591=Подбор!$C$4),MAX(J$1:J590)+1,"")</f>
        <v/>
      </c>
    </row>
    <row r="592" customFormat="false" ht="15" hidden="false" customHeight="false" outlineLevel="0" collapsed="false">
      <c r="A592" s="3" t="s">
        <v>528</v>
      </c>
      <c r="B592" s="3" t="s">
        <v>457</v>
      </c>
      <c r="C592" s="3" t="s">
        <v>11</v>
      </c>
      <c r="D592" s="3" t="s">
        <v>12</v>
      </c>
      <c r="E592" s="3"/>
      <c r="F592" s="3"/>
      <c r="G592" s="3"/>
      <c r="H592" s="3"/>
      <c r="I592" s="3" t="s">
        <v>1440</v>
      </c>
      <c r="J592" s="4" t="str">
        <f aca="false">IF(AND($A592&lt;&gt;"",$A592=Подбор!$C$4),MAX(J$1:J591)+1,"")</f>
        <v/>
      </c>
    </row>
    <row r="593" customFormat="false" ht="15" hidden="false" customHeight="false" outlineLevel="0" collapsed="false">
      <c r="A593" s="3" t="s">
        <v>528</v>
      </c>
      <c r="B593" s="3" t="s">
        <v>457</v>
      </c>
      <c r="C593" s="3" t="s">
        <v>14</v>
      </c>
      <c r="D593" s="3" t="s">
        <v>15</v>
      </c>
      <c r="E593" s="3"/>
      <c r="F593" s="3"/>
      <c r="G593" s="3"/>
      <c r="H593" s="3"/>
      <c r="I593" s="3" t="s">
        <v>1440</v>
      </c>
      <c r="J593" s="4" t="str">
        <f aca="false">IF(AND($A593&lt;&gt;"",$A593=Подбор!$C$4),MAX(J$1:J592)+1,"")</f>
        <v/>
      </c>
    </row>
    <row r="594" customFormat="false" ht="15" hidden="false" customHeight="false" outlineLevel="0" collapsed="false">
      <c r="A594" s="3" t="s">
        <v>528</v>
      </c>
      <c r="B594" s="3" t="s">
        <v>457</v>
      </c>
      <c r="C594" s="3" t="s">
        <v>17</v>
      </c>
      <c r="D594" s="3" t="s">
        <v>15</v>
      </c>
      <c r="E594" s="3"/>
      <c r="F594" s="3"/>
      <c r="G594" s="3"/>
      <c r="H594" s="3"/>
      <c r="I594" s="3" t="s">
        <v>1440</v>
      </c>
      <c r="J594" s="4" t="str">
        <f aca="false">IF(AND($A594&lt;&gt;"",$A594=Подбор!$C$4),MAX(J$1:J593)+1,"")</f>
        <v/>
      </c>
    </row>
    <row r="595" customFormat="false" ht="15" hidden="false" customHeight="false" outlineLevel="0" collapsed="false">
      <c r="A595" s="3" t="s">
        <v>530</v>
      </c>
      <c r="B595" s="3" t="s">
        <v>40</v>
      </c>
      <c r="C595" s="3" t="s">
        <v>11</v>
      </c>
      <c r="D595" s="3" t="s">
        <v>12</v>
      </c>
      <c r="E595" s="3" t="s">
        <v>1730</v>
      </c>
      <c r="F595" s="3" t="s">
        <v>1421</v>
      </c>
      <c r="G595" s="3" t="n">
        <v>17500</v>
      </c>
      <c r="H595" s="3"/>
      <c r="I595" s="3" t="s">
        <v>1415</v>
      </c>
      <c r="J595" s="4" t="str">
        <f aca="false">IF(AND($A595&lt;&gt;"",$A595=Подбор!$C$4),MAX(J$1:J594)+1,"")</f>
        <v/>
      </c>
    </row>
    <row r="596" customFormat="false" ht="15" hidden="false" customHeight="false" outlineLevel="0" collapsed="false">
      <c r="A596" s="3" t="s">
        <v>532</v>
      </c>
      <c r="B596" s="3" t="s">
        <v>40</v>
      </c>
      <c r="C596" s="3" t="s">
        <v>11</v>
      </c>
      <c r="D596" s="3" t="s">
        <v>12</v>
      </c>
      <c r="E596" s="3" t="s">
        <v>1424</v>
      </c>
      <c r="F596" s="3" t="s">
        <v>1403</v>
      </c>
      <c r="G596" s="3" t="n">
        <v>30000</v>
      </c>
      <c r="H596" s="3"/>
      <c r="I596" s="3" t="s">
        <v>1415</v>
      </c>
      <c r="J596" s="4" t="str">
        <f aca="false">IF(AND($A596&lt;&gt;"",$A596=Подбор!$C$4),MAX(J$1:J595)+1,"")</f>
        <v/>
      </c>
    </row>
    <row r="597" customFormat="false" ht="15" hidden="false" customHeight="false" outlineLevel="0" collapsed="false">
      <c r="A597" s="3" t="s">
        <v>532</v>
      </c>
      <c r="B597" s="3" t="s">
        <v>40</v>
      </c>
      <c r="C597" s="3" t="s">
        <v>11</v>
      </c>
      <c r="D597" s="3" t="s">
        <v>21</v>
      </c>
      <c r="E597" s="3" t="s">
        <v>1425</v>
      </c>
      <c r="F597" s="3" t="s">
        <v>1403</v>
      </c>
      <c r="G597" s="3"/>
      <c r="H597" s="3"/>
      <c r="I597" s="3"/>
      <c r="J597" s="4" t="str">
        <f aca="false">IF(AND($A597&lt;&gt;"",$A597=Подбор!$C$4),MAX(J$1:J596)+1,"")</f>
        <v/>
      </c>
    </row>
    <row r="598" customFormat="false" ht="15" hidden="false" customHeight="false" outlineLevel="0" collapsed="false">
      <c r="A598" s="3" t="s">
        <v>532</v>
      </c>
      <c r="B598" s="3" t="s">
        <v>40</v>
      </c>
      <c r="C598" s="3" t="s">
        <v>11</v>
      </c>
      <c r="D598" s="3" t="s">
        <v>23</v>
      </c>
      <c r="E598" s="3" t="s">
        <v>1426</v>
      </c>
      <c r="F598" s="3" t="s">
        <v>1403</v>
      </c>
      <c r="G598" s="3"/>
      <c r="H598" s="3"/>
      <c r="I598" s="3"/>
      <c r="J598" s="4" t="str">
        <f aca="false">IF(AND($A598&lt;&gt;"",$A598=Подбор!$C$4),MAX(J$1:J597)+1,"")</f>
        <v/>
      </c>
    </row>
    <row r="599" customFormat="false" ht="15" hidden="false" customHeight="false" outlineLevel="0" collapsed="false">
      <c r="A599" s="3" t="s">
        <v>532</v>
      </c>
      <c r="B599" s="3" t="s">
        <v>40</v>
      </c>
      <c r="C599" s="3" t="s">
        <v>11</v>
      </c>
      <c r="D599" s="3" t="s">
        <v>25</v>
      </c>
      <c r="E599" s="3" t="s">
        <v>1427</v>
      </c>
      <c r="F599" s="3" t="s">
        <v>1403</v>
      </c>
      <c r="G599" s="3"/>
      <c r="H599" s="3"/>
      <c r="I599" s="3"/>
      <c r="J599" s="4" t="str">
        <f aca="false">IF(AND($A599&lt;&gt;"",$A599=Подбор!$C$4),MAX(J$1:J598)+1,"")</f>
        <v/>
      </c>
    </row>
    <row r="600" customFormat="false" ht="15" hidden="false" customHeight="false" outlineLevel="0" collapsed="false">
      <c r="A600" s="3" t="s">
        <v>532</v>
      </c>
      <c r="B600" s="3" t="s">
        <v>40</v>
      </c>
      <c r="C600" s="3" t="s">
        <v>14</v>
      </c>
      <c r="D600" s="3" t="s">
        <v>15</v>
      </c>
      <c r="E600" s="3" t="s">
        <v>1428</v>
      </c>
      <c r="F600" s="3"/>
      <c r="G600" s="3"/>
      <c r="H600" s="3"/>
      <c r="I600" s="3"/>
      <c r="J600" s="4" t="str">
        <f aca="false">IF(AND($A600&lt;&gt;"",$A600=Подбор!$C$4),MAX(J$1:J599)+1,"")</f>
        <v/>
      </c>
    </row>
    <row r="601" customFormat="false" ht="15" hidden="false" customHeight="false" outlineLevel="0" collapsed="false">
      <c r="A601" s="3" t="s">
        <v>533</v>
      </c>
      <c r="B601" s="3" t="s">
        <v>40</v>
      </c>
      <c r="C601" s="3" t="s">
        <v>11</v>
      </c>
      <c r="D601" s="3" t="s">
        <v>12</v>
      </c>
      <c r="E601" s="3" t="s">
        <v>1731</v>
      </c>
      <c r="F601" s="3" t="s">
        <v>1417</v>
      </c>
      <c r="G601" s="3" t="n">
        <v>30000</v>
      </c>
      <c r="H601" s="3"/>
      <c r="I601" s="3" t="s">
        <v>1415</v>
      </c>
      <c r="J601" s="4" t="str">
        <f aca="false">IF(AND($A601&lt;&gt;"",$A601=Подбор!$C$4),MAX(J$1:J600)+1,"")</f>
        <v/>
      </c>
    </row>
    <row r="602" customFormat="false" ht="15" hidden="false" customHeight="false" outlineLevel="0" collapsed="false">
      <c r="A602" s="3" t="s">
        <v>535</v>
      </c>
      <c r="B602" s="3" t="s">
        <v>524</v>
      </c>
      <c r="C602" s="3" t="s">
        <v>11</v>
      </c>
      <c r="D602" s="3" t="s">
        <v>12</v>
      </c>
      <c r="E602" s="3" t="s">
        <v>15</v>
      </c>
      <c r="F602" s="3"/>
      <c r="G602" s="3"/>
      <c r="H602" s="3"/>
      <c r="I602" s="3"/>
      <c r="J602" s="4" t="str">
        <f aca="false">IF(AND($A602&lt;&gt;"",$A602=Подбор!$C$4),MAX(J$1:J601)+1,"")</f>
        <v/>
      </c>
    </row>
    <row r="603" customFormat="false" ht="15" hidden="false" customHeight="false" outlineLevel="0" collapsed="false">
      <c r="A603" s="3" t="s">
        <v>536</v>
      </c>
      <c r="B603" s="3" t="s">
        <v>40</v>
      </c>
      <c r="C603" s="3" t="s">
        <v>11</v>
      </c>
      <c r="D603" s="3" t="s">
        <v>12</v>
      </c>
      <c r="E603" s="3" t="s">
        <v>1424</v>
      </c>
      <c r="F603" s="3" t="s">
        <v>1403</v>
      </c>
      <c r="G603" s="3" t="n">
        <v>30000</v>
      </c>
      <c r="H603" s="3"/>
      <c r="I603" s="3" t="s">
        <v>1415</v>
      </c>
      <c r="J603" s="4" t="str">
        <f aca="false">IF(AND($A603&lt;&gt;"",$A603=Подбор!$C$4),MAX(J$1:J602)+1,"")</f>
        <v/>
      </c>
    </row>
    <row r="604" customFormat="false" ht="15" hidden="false" customHeight="false" outlineLevel="0" collapsed="false">
      <c r="A604" s="3" t="s">
        <v>536</v>
      </c>
      <c r="B604" s="3" t="s">
        <v>40</v>
      </c>
      <c r="C604" s="3" t="s">
        <v>11</v>
      </c>
      <c r="D604" s="3" t="s">
        <v>21</v>
      </c>
      <c r="E604" s="3" t="s">
        <v>1425</v>
      </c>
      <c r="F604" s="3" t="s">
        <v>1403</v>
      </c>
      <c r="G604" s="3"/>
      <c r="H604" s="3"/>
      <c r="I604" s="3"/>
      <c r="J604" s="4" t="str">
        <f aca="false">IF(AND($A604&lt;&gt;"",$A604=Подбор!$C$4),MAX(J$1:J603)+1,"")</f>
        <v/>
      </c>
    </row>
    <row r="605" customFormat="false" ht="15" hidden="false" customHeight="false" outlineLevel="0" collapsed="false">
      <c r="A605" s="3" t="s">
        <v>536</v>
      </c>
      <c r="B605" s="3" t="s">
        <v>40</v>
      </c>
      <c r="C605" s="3" t="s">
        <v>11</v>
      </c>
      <c r="D605" s="3" t="s">
        <v>23</v>
      </c>
      <c r="E605" s="3" t="s">
        <v>1426</v>
      </c>
      <c r="F605" s="3" t="s">
        <v>1403</v>
      </c>
      <c r="G605" s="3"/>
      <c r="H605" s="3"/>
      <c r="I605" s="3"/>
      <c r="J605" s="4" t="str">
        <f aca="false">IF(AND($A605&lt;&gt;"",$A605=Подбор!$C$4),MAX(J$1:J604)+1,"")</f>
        <v/>
      </c>
    </row>
    <row r="606" customFormat="false" ht="15" hidden="false" customHeight="false" outlineLevel="0" collapsed="false">
      <c r="A606" s="3" t="s">
        <v>536</v>
      </c>
      <c r="B606" s="3" t="s">
        <v>40</v>
      </c>
      <c r="C606" s="3" t="s">
        <v>11</v>
      </c>
      <c r="D606" s="3" t="s">
        <v>25</v>
      </c>
      <c r="E606" s="3" t="s">
        <v>1427</v>
      </c>
      <c r="F606" s="3" t="s">
        <v>1403</v>
      </c>
      <c r="G606" s="3"/>
      <c r="H606" s="3"/>
      <c r="I606" s="3"/>
      <c r="J606" s="4" t="str">
        <f aca="false">IF(AND($A606&lt;&gt;"",$A606=Подбор!$C$4),MAX(J$1:J605)+1,"")</f>
        <v/>
      </c>
    </row>
    <row r="607" customFormat="false" ht="15" hidden="false" customHeight="false" outlineLevel="0" collapsed="false">
      <c r="A607" s="3" t="s">
        <v>537</v>
      </c>
      <c r="B607" s="3" t="s">
        <v>68</v>
      </c>
      <c r="C607" s="3" t="s">
        <v>11</v>
      </c>
      <c r="D607" s="3" t="s">
        <v>12</v>
      </c>
      <c r="E607" s="3" t="s">
        <v>1513</v>
      </c>
      <c r="F607" s="3" t="s">
        <v>1403</v>
      </c>
      <c r="G607" s="3" t="n">
        <v>15000</v>
      </c>
      <c r="H607" s="3"/>
      <c r="I607" s="3" t="s">
        <v>1415</v>
      </c>
      <c r="J607" s="4" t="str">
        <f aca="false">IF(AND($A607&lt;&gt;"",$A607=Подбор!$C$4),MAX(J$1:J606)+1,"")</f>
        <v/>
      </c>
    </row>
    <row r="608" customFormat="false" ht="15" hidden="false" customHeight="false" outlineLevel="0" collapsed="false">
      <c r="A608" s="3" t="s">
        <v>537</v>
      </c>
      <c r="B608" s="3" t="s">
        <v>68</v>
      </c>
      <c r="C608" s="3" t="s">
        <v>28</v>
      </c>
      <c r="D608" s="3" t="s">
        <v>15</v>
      </c>
      <c r="E608" s="3"/>
      <c r="F608" s="3"/>
      <c r="G608" s="3"/>
      <c r="H608" s="3"/>
      <c r="I608" s="3" t="s">
        <v>1440</v>
      </c>
      <c r="J608" s="4" t="str">
        <f aca="false">IF(AND($A608&lt;&gt;"",$A608=Подбор!$C$4),MAX(J$1:J607)+1,"")</f>
        <v/>
      </c>
    </row>
    <row r="609" customFormat="false" ht="15" hidden="false" customHeight="false" outlineLevel="0" collapsed="false">
      <c r="A609" s="3" t="s">
        <v>538</v>
      </c>
      <c r="B609" s="3" t="s">
        <v>68</v>
      </c>
      <c r="C609" s="3" t="s">
        <v>11</v>
      </c>
      <c r="D609" s="3" t="s">
        <v>12</v>
      </c>
      <c r="E609" s="3" t="s">
        <v>1513</v>
      </c>
      <c r="F609" s="3" t="s">
        <v>1403</v>
      </c>
      <c r="G609" s="3" t="n">
        <v>15000</v>
      </c>
      <c r="H609" s="3"/>
      <c r="I609" s="3" t="s">
        <v>1415</v>
      </c>
      <c r="J609" s="4" t="str">
        <f aca="false">IF(AND($A609&lt;&gt;"",$A609=Подбор!$C$4),MAX(J$1:J608)+1,"")</f>
        <v/>
      </c>
    </row>
    <row r="610" customFormat="false" ht="15" hidden="false" customHeight="false" outlineLevel="0" collapsed="false">
      <c r="A610" s="3" t="s">
        <v>538</v>
      </c>
      <c r="B610" s="3" t="s">
        <v>68</v>
      </c>
      <c r="C610" s="3" t="s">
        <v>28</v>
      </c>
      <c r="D610" s="3" t="s">
        <v>15</v>
      </c>
      <c r="E610" s="3"/>
      <c r="F610" s="3"/>
      <c r="G610" s="3"/>
      <c r="H610" s="3"/>
      <c r="I610" s="3" t="s">
        <v>1440</v>
      </c>
      <c r="J610" s="4" t="str">
        <f aca="false">IF(AND($A610&lt;&gt;"",$A610=Подбор!$C$4),MAX(J$1:J609)+1,"")</f>
        <v/>
      </c>
    </row>
    <row r="611" customFormat="false" ht="15" hidden="false" customHeight="false" outlineLevel="0" collapsed="false">
      <c r="A611" s="3" t="s">
        <v>539</v>
      </c>
      <c r="B611" s="3" t="s">
        <v>68</v>
      </c>
      <c r="C611" s="3" t="s">
        <v>11</v>
      </c>
      <c r="D611" s="3" t="s">
        <v>12</v>
      </c>
      <c r="E611" s="3" t="s">
        <v>1513</v>
      </c>
      <c r="F611" s="3" t="s">
        <v>1403</v>
      </c>
      <c r="G611" s="3" t="n">
        <v>15000</v>
      </c>
      <c r="H611" s="3"/>
      <c r="I611" s="3" t="s">
        <v>1415</v>
      </c>
      <c r="J611" s="4" t="str">
        <f aca="false">IF(AND($A611&lt;&gt;"",$A611=Подбор!$C$4),MAX(J$1:J610)+1,"")</f>
        <v/>
      </c>
    </row>
    <row r="612" customFormat="false" ht="15" hidden="false" customHeight="false" outlineLevel="0" collapsed="false">
      <c r="A612" s="3" t="s">
        <v>539</v>
      </c>
      <c r="B612" s="3" t="s">
        <v>68</v>
      </c>
      <c r="C612" s="3" t="s">
        <v>28</v>
      </c>
      <c r="D612" s="3" t="s">
        <v>15</v>
      </c>
      <c r="E612" s="3"/>
      <c r="F612" s="3"/>
      <c r="G612" s="3"/>
      <c r="H612" s="3"/>
      <c r="I612" s="3" t="s">
        <v>1440</v>
      </c>
      <c r="J612" s="4" t="str">
        <f aca="false">IF(AND($A612&lt;&gt;"",$A612=Подбор!$C$4),MAX(J$1:J611)+1,"")</f>
        <v/>
      </c>
    </row>
    <row r="613" customFormat="false" ht="15" hidden="false" customHeight="false" outlineLevel="0" collapsed="false">
      <c r="A613" s="3" t="s">
        <v>540</v>
      </c>
      <c r="B613" s="3" t="s">
        <v>524</v>
      </c>
      <c r="C613" s="3" t="s">
        <v>11</v>
      </c>
      <c r="D613" s="3" t="s">
        <v>12</v>
      </c>
      <c r="E613" s="3" t="s">
        <v>1732</v>
      </c>
      <c r="F613" s="3" t="s">
        <v>1421</v>
      </c>
      <c r="G613" s="3"/>
      <c r="H613" s="3"/>
      <c r="I613" s="3"/>
      <c r="J613" s="4" t="str">
        <f aca="false">IF(AND($A613&lt;&gt;"",$A613=Подбор!$C$4),MAX(J$1:J612)+1,"")</f>
        <v/>
      </c>
    </row>
    <row r="614" customFormat="false" ht="15" hidden="false" customHeight="false" outlineLevel="0" collapsed="false">
      <c r="A614" s="3" t="s">
        <v>541</v>
      </c>
      <c r="B614" s="3" t="s">
        <v>524</v>
      </c>
      <c r="C614" s="3" t="s">
        <v>11</v>
      </c>
      <c r="D614" s="3" t="s">
        <v>12</v>
      </c>
      <c r="E614" s="3"/>
      <c r="F614" s="3"/>
      <c r="G614" s="3"/>
      <c r="H614" s="3"/>
      <c r="I614" s="3" t="s">
        <v>1440</v>
      </c>
      <c r="J614" s="4" t="str">
        <f aca="false">IF(AND($A614&lt;&gt;"",$A614=Подбор!$C$4),MAX(J$1:J613)+1,"")</f>
        <v/>
      </c>
    </row>
    <row r="615" customFormat="false" ht="15" hidden="false" customHeight="false" outlineLevel="0" collapsed="false">
      <c r="A615" s="3" t="s">
        <v>541</v>
      </c>
      <c r="B615" s="3" t="s">
        <v>524</v>
      </c>
      <c r="C615" s="3" t="s">
        <v>11</v>
      </c>
      <c r="D615" s="3" t="s">
        <v>21</v>
      </c>
      <c r="E615" s="3"/>
      <c r="F615" s="3"/>
      <c r="G615" s="3"/>
      <c r="H615" s="3"/>
      <c r="I615" s="3" t="s">
        <v>1440</v>
      </c>
      <c r="J615" s="4" t="str">
        <f aca="false">IF(AND($A615&lt;&gt;"",$A615=Подбор!$C$4),MAX(J$1:J614)+1,"")</f>
        <v/>
      </c>
    </row>
    <row r="616" customFormat="false" ht="15" hidden="false" customHeight="false" outlineLevel="0" collapsed="false">
      <c r="A616" s="3" t="s">
        <v>541</v>
      </c>
      <c r="B616" s="3" t="s">
        <v>524</v>
      </c>
      <c r="C616" s="3" t="s">
        <v>11</v>
      </c>
      <c r="D616" s="3" t="s">
        <v>23</v>
      </c>
      <c r="E616" s="3"/>
      <c r="F616" s="3"/>
      <c r="G616" s="3"/>
      <c r="H616" s="3"/>
      <c r="I616" s="3" t="s">
        <v>1440</v>
      </c>
      <c r="J616" s="4" t="str">
        <f aca="false">IF(AND($A616&lt;&gt;"",$A616=Подбор!$C$4),MAX(J$1:J615)+1,"")</f>
        <v/>
      </c>
    </row>
    <row r="617" customFormat="false" ht="15" hidden="false" customHeight="false" outlineLevel="0" collapsed="false">
      <c r="A617" s="3" t="s">
        <v>541</v>
      </c>
      <c r="B617" s="3" t="s">
        <v>524</v>
      </c>
      <c r="C617" s="3" t="s">
        <v>11</v>
      </c>
      <c r="D617" s="3" t="s">
        <v>25</v>
      </c>
      <c r="E617" s="3"/>
      <c r="F617" s="3"/>
      <c r="G617" s="3"/>
      <c r="H617" s="3"/>
      <c r="I617" s="3" t="s">
        <v>1440</v>
      </c>
      <c r="J617" s="4" t="str">
        <f aca="false">IF(AND($A617&lt;&gt;"",$A617=Подбор!$C$4),MAX(J$1:J616)+1,"")</f>
        <v/>
      </c>
    </row>
    <row r="618" customFormat="false" ht="15" hidden="false" customHeight="false" outlineLevel="0" collapsed="false">
      <c r="A618" s="3" t="s">
        <v>542</v>
      </c>
      <c r="B618" s="3" t="s">
        <v>524</v>
      </c>
      <c r="C618" s="3" t="s">
        <v>11</v>
      </c>
      <c r="D618" s="3" t="s">
        <v>12</v>
      </c>
      <c r="E618" s="3" t="s">
        <v>15</v>
      </c>
      <c r="F618" s="3"/>
      <c r="G618" s="3"/>
      <c r="H618" s="3"/>
      <c r="I618" s="3"/>
      <c r="J618" s="4" t="str">
        <f aca="false">IF(AND($A618&lt;&gt;"",$A618=Подбор!$C$4),MAX(J$1:J617)+1,"")</f>
        <v/>
      </c>
    </row>
    <row r="619" customFormat="false" ht="15" hidden="false" customHeight="false" outlineLevel="0" collapsed="false">
      <c r="A619" s="3" t="s">
        <v>543</v>
      </c>
      <c r="B619" s="3" t="s">
        <v>10</v>
      </c>
      <c r="C619" s="3" t="s">
        <v>11</v>
      </c>
      <c r="D619" s="3" t="s">
        <v>12</v>
      </c>
      <c r="E619" s="3" t="s">
        <v>15</v>
      </c>
      <c r="F619" s="3"/>
      <c r="G619" s="3"/>
      <c r="H619" s="3"/>
      <c r="I619" s="3"/>
      <c r="J619" s="4" t="str">
        <f aca="false">IF(AND($A619&lt;&gt;"",$A619=Подбор!$C$4),MAX(J$1:J618)+1,"")</f>
        <v/>
      </c>
    </row>
    <row r="620" customFormat="false" ht="15" hidden="false" customHeight="false" outlineLevel="0" collapsed="false">
      <c r="A620" s="3" t="s">
        <v>545</v>
      </c>
      <c r="B620" s="3" t="s">
        <v>10</v>
      </c>
      <c r="C620" s="3" t="s">
        <v>11</v>
      </c>
      <c r="D620" s="3" t="s">
        <v>12</v>
      </c>
      <c r="E620" s="3" t="s">
        <v>1733</v>
      </c>
      <c r="F620" s="3" t="s">
        <v>1403</v>
      </c>
      <c r="G620" s="3"/>
      <c r="H620" s="3"/>
      <c r="I620" s="3"/>
      <c r="J620" s="4" t="str">
        <f aca="false">IF(AND($A620&lt;&gt;"",$A620=Подбор!$C$4),MAX(J$1:J619)+1,"")</f>
        <v/>
      </c>
    </row>
    <row r="621" customFormat="false" ht="15" hidden="false" customHeight="false" outlineLevel="0" collapsed="false">
      <c r="A621" s="3" t="s">
        <v>545</v>
      </c>
      <c r="B621" s="3" t="s">
        <v>10</v>
      </c>
      <c r="C621" s="3" t="s">
        <v>11</v>
      </c>
      <c r="D621" s="3" t="s">
        <v>21</v>
      </c>
      <c r="E621" s="3" t="s">
        <v>1734</v>
      </c>
      <c r="F621" s="3" t="s">
        <v>1403</v>
      </c>
      <c r="G621" s="3"/>
      <c r="H621" s="3"/>
      <c r="I621" s="3"/>
      <c r="J621" s="4" t="str">
        <f aca="false">IF(AND($A621&lt;&gt;"",$A621=Подбор!$C$4),MAX(J$1:J620)+1,"")</f>
        <v/>
      </c>
    </row>
    <row r="622" customFormat="false" ht="15" hidden="false" customHeight="false" outlineLevel="0" collapsed="false">
      <c r="A622" s="3" t="s">
        <v>545</v>
      </c>
      <c r="B622" s="3" t="s">
        <v>10</v>
      </c>
      <c r="C622" s="3" t="s">
        <v>11</v>
      </c>
      <c r="D622" s="3" t="s">
        <v>23</v>
      </c>
      <c r="E622" s="3" t="s">
        <v>1735</v>
      </c>
      <c r="F622" s="3" t="s">
        <v>1403</v>
      </c>
      <c r="G622" s="3"/>
      <c r="H622" s="3"/>
      <c r="I622" s="3"/>
      <c r="J622" s="4" t="str">
        <f aca="false">IF(AND($A622&lt;&gt;"",$A622=Подбор!$C$4),MAX(J$1:J621)+1,"")</f>
        <v/>
      </c>
    </row>
    <row r="623" customFormat="false" ht="15" hidden="false" customHeight="false" outlineLevel="0" collapsed="false">
      <c r="A623" s="3" t="s">
        <v>545</v>
      </c>
      <c r="B623" s="3" t="s">
        <v>10</v>
      </c>
      <c r="C623" s="3" t="s">
        <v>11</v>
      </c>
      <c r="D623" s="3" t="s">
        <v>25</v>
      </c>
      <c r="E623" s="3" t="s">
        <v>1736</v>
      </c>
      <c r="F623" s="3" t="s">
        <v>1403</v>
      </c>
      <c r="G623" s="3"/>
      <c r="H623" s="3"/>
      <c r="I623" s="3"/>
      <c r="J623" s="4" t="str">
        <f aca="false">IF(AND($A623&lt;&gt;"",$A623=Подбор!$C$4),MAX(J$1:J622)+1,"")</f>
        <v/>
      </c>
    </row>
    <row r="624" customFormat="false" ht="15" hidden="false" customHeight="false" outlineLevel="0" collapsed="false">
      <c r="A624" s="3" t="s">
        <v>545</v>
      </c>
      <c r="B624" s="3" t="s">
        <v>10</v>
      </c>
      <c r="C624" s="3" t="s">
        <v>14</v>
      </c>
      <c r="D624" s="3" t="s">
        <v>15</v>
      </c>
      <c r="E624" s="3" t="s">
        <v>1737</v>
      </c>
      <c r="F624" s="3" t="s">
        <v>1403</v>
      </c>
      <c r="G624" s="3"/>
      <c r="H624" s="3"/>
      <c r="I624" s="3"/>
      <c r="J624" s="4" t="str">
        <f aca="false">IF(AND($A624&lt;&gt;"",$A624=Подбор!$C$4),MAX(J$1:J623)+1,"")</f>
        <v/>
      </c>
    </row>
    <row r="625" customFormat="false" ht="15" hidden="false" customHeight="false" outlineLevel="0" collapsed="false">
      <c r="A625" s="3" t="s">
        <v>551</v>
      </c>
      <c r="B625" s="3" t="s">
        <v>552</v>
      </c>
      <c r="C625" s="3" t="s">
        <v>11</v>
      </c>
      <c r="D625" s="3" t="s">
        <v>12</v>
      </c>
      <c r="E625" s="3" t="s">
        <v>15</v>
      </c>
      <c r="F625" s="3"/>
      <c r="G625" s="3"/>
      <c r="H625" s="3"/>
      <c r="I625" s="3"/>
      <c r="J625" s="4" t="str">
        <f aca="false">IF(AND($A625&lt;&gt;"",$A625=Подбор!$C$4),MAX(J$1:J624)+1,"")</f>
        <v/>
      </c>
    </row>
    <row r="626" customFormat="false" ht="15" hidden="false" customHeight="false" outlineLevel="0" collapsed="false">
      <c r="A626" s="3" t="s">
        <v>554</v>
      </c>
      <c r="B626" s="3" t="s">
        <v>57</v>
      </c>
      <c r="C626" s="3" t="s">
        <v>11</v>
      </c>
      <c r="D626" s="3" t="s">
        <v>12</v>
      </c>
      <c r="E626" s="3" t="s">
        <v>1738</v>
      </c>
      <c r="F626" s="3" t="s">
        <v>1403</v>
      </c>
      <c r="G626" s="3"/>
      <c r="H626" s="3"/>
      <c r="I626" s="3"/>
      <c r="J626" s="4" t="str">
        <f aca="false">IF(AND($A626&lt;&gt;"",$A626=Подбор!$C$4),MAX(J$1:J625)+1,"")</f>
        <v/>
      </c>
    </row>
    <row r="627" customFormat="false" ht="15" hidden="false" customHeight="false" outlineLevel="0" collapsed="false">
      <c r="A627" s="3" t="s">
        <v>556</v>
      </c>
      <c r="B627" s="3" t="s">
        <v>110</v>
      </c>
      <c r="C627" s="3" t="s">
        <v>11</v>
      </c>
      <c r="D627" s="3" t="s">
        <v>12</v>
      </c>
      <c r="E627" s="3" t="s">
        <v>1739</v>
      </c>
      <c r="F627" s="3" t="s">
        <v>1403</v>
      </c>
      <c r="G627" s="3"/>
      <c r="H627" s="3"/>
      <c r="I627" s="3"/>
      <c r="J627" s="4" t="str">
        <f aca="false">IF(AND($A627&lt;&gt;"",$A627=Подбор!$C$4),MAX(J$1:J626)+1,"")</f>
        <v/>
      </c>
    </row>
    <row r="628" customFormat="false" ht="15" hidden="false" customHeight="false" outlineLevel="0" collapsed="false">
      <c r="A628" s="3" t="s">
        <v>558</v>
      </c>
      <c r="B628" s="3" t="s">
        <v>110</v>
      </c>
      <c r="C628" s="3" t="s">
        <v>11</v>
      </c>
      <c r="D628" s="3" t="s">
        <v>12</v>
      </c>
      <c r="E628" s="3" t="s">
        <v>1740</v>
      </c>
      <c r="F628" s="3" t="s">
        <v>1403</v>
      </c>
      <c r="G628" s="3"/>
      <c r="H628" s="3"/>
      <c r="I628" s="3"/>
      <c r="J628" s="4" t="str">
        <f aca="false">IF(AND($A628&lt;&gt;"",$A628=Подбор!$C$4),MAX(J$1:J627)+1,"")</f>
        <v/>
      </c>
    </row>
    <row r="629" customFormat="false" ht="15" hidden="false" customHeight="false" outlineLevel="0" collapsed="false">
      <c r="A629" s="3" t="s">
        <v>560</v>
      </c>
      <c r="B629" s="3" t="s">
        <v>110</v>
      </c>
      <c r="C629" s="3" t="s">
        <v>11</v>
      </c>
      <c r="D629" s="3" t="s">
        <v>12</v>
      </c>
      <c r="E629" s="3" t="s">
        <v>1741</v>
      </c>
      <c r="F629" s="3" t="s">
        <v>1403</v>
      </c>
      <c r="G629" s="3"/>
      <c r="H629" s="3"/>
      <c r="I629" s="3"/>
      <c r="J629" s="4" t="str">
        <f aca="false">IF(AND($A629&lt;&gt;"",$A629=Подбор!$C$4),MAX(J$1:J628)+1,"")</f>
        <v/>
      </c>
    </row>
    <row r="630" customFormat="false" ht="15" hidden="false" customHeight="false" outlineLevel="0" collapsed="false">
      <c r="A630" s="3" t="s">
        <v>562</v>
      </c>
      <c r="B630" s="3" t="s">
        <v>57</v>
      </c>
      <c r="C630" s="3" t="s">
        <v>11</v>
      </c>
      <c r="D630" s="3" t="s">
        <v>12</v>
      </c>
      <c r="E630" s="3" t="s">
        <v>1742</v>
      </c>
      <c r="F630" s="3" t="s">
        <v>1403</v>
      </c>
      <c r="G630" s="3" t="n">
        <v>10000</v>
      </c>
      <c r="H630" s="3"/>
      <c r="I630" s="3" t="s">
        <v>1415</v>
      </c>
      <c r="J630" s="4" t="str">
        <f aca="false">IF(AND($A630&lt;&gt;"",$A630=Подбор!$C$4),MAX(J$1:J629)+1,"")</f>
        <v/>
      </c>
    </row>
    <row r="631" customFormat="false" ht="15" hidden="false" customHeight="false" outlineLevel="0" collapsed="false">
      <c r="A631" s="3" t="s">
        <v>564</v>
      </c>
      <c r="B631" s="3" t="s">
        <v>110</v>
      </c>
      <c r="C631" s="3" t="s">
        <v>11</v>
      </c>
      <c r="D631" s="3" t="s">
        <v>12</v>
      </c>
      <c r="E631" s="3" t="s">
        <v>1743</v>
      </c>
      <c r="F631" s="3" t="s">
        <v>1744</v>
      </c>
      <c r="G631" s="3"/>
      <c r="H631" s="3"/>
      <c r="I631" s="3"/>
      <c r="J631" s="4" t="str">
        <f aca="false">IF(AND($A631&lt;&gt;"",$A631=Подбор!$C$4),MAX(J$1:J630)+1,"")</f>
        <v/>
      </c>
    </row>
    <row r="632" customFormat="false" ht="15" hidden="false" customHeight="false" outlineLevel="0" collapsed="false">
      <c r="A632" s="3" t="s">
        <v>566</v>
      </c>
      <c r="B632" s="3" t="s">
        <v>57</v>
      </c>
      <c r="C632" s="3" t="s">
        <v>567</v>
      </c>
      <c r="D632" s="3" t="s">
        <v>12</v>
      </c>
      <c r="E632" s="3" t="s">
        <v>1745</v>
      </c>
      <c r="F632" s="3" t="s">
        <v>1403</v>
      </c>
      <c r="G632" s="3" t="n">
        <v>9200</v>
      </c>
      <c r="H632" s="3"/>
      <c r="I632" s="3" t="s">
        <v>1415</v>
      </c>
      <c r="J632" s="4" t="str">
        <f aca="false">IF(AND($A632&lt;&gt;"",$A632=Подбор!$C$4),MAX(J$1:J631)+1,"")</f>
        <v/>
      </c>
    </row>
    <row r="633" customFormat="false" ht="15" hidden="false" customHeight="false" outlineLevel="0" collapsed="false">
      <c r="A633" s="3" t="s">
        <v>569</v>
      </c>
      <c r="B633" s="3" t="s">
        <v>34</v>
      </c>
      <c r="C633" s="3" t="s">
        <v>11</v>
      </c>
      <c r="D633" s="3" t="s">
        <v>12</v>
      </c>
      <c r="E633" s="3" t="s">
        <v>1746</v>
      </c>
      <c r="F633" s="3" t="s">
        <v>1403</v>
      </c>
      <c r="G633" s="3" t="n">
        <v>1600</v>
      </c>
      <c r="H633" s="3"/>
      <c r="I633" s="3" t="s">
        <v>1415</v>
      </c>
      <c r="J633" s="4" t="str">
        <f aca="false">IF(AND($A633&lt;&gt;"",$A633=Подбор!$C$4),MAX(J$1:J632)+1,"")</f>
        <v/>
      </c>
    </row>
    <row r="634" customFormat="false" ht="15" hidden="false" customHeight="false" outlineLevel="0" collapsed="false">
      <c r="A634" s="3" t="s">
        <v>571</v>
      </c>
      <c r="B634" s="3" t="s">
        <v>84</v>
      </c>
      <c r="C634" s="3" t="s">
        <v>11</v>
      </c>
      <c r="D634" s="3" t="s">
        <v>12</v>
      </c>
      <c r="E634" s="3" t="s">
        <v>1747</v>
      </c>
      <c r="F634" s="3" t="s">
        <v>1403</v>
      </c>
      <c r="G634" s="3"/>
      <c r="H634" s="3"/>
      <c r="I634" s="3"/>
      <c r="J634" s="4" t="str">
        <f aca="false">IF(AND($A634&lt;&gt;"",$A634=Подбор!$C$4),MAX(J$1:J633)+1,"")</f>
        <v/>
      </c>
    </row>
    <row r="635" customFormat="false" ht="15" hidden="false" customHeight="false" outlineLevel="0" collapsed="false">
      <c r="A635" s="3" t="s">
        <v>573</v>
      </c>
      <c r="B635" s="3" t="s">
        <v>10</v>
      </c>
      <c r="C635" s="3" t="s">
        <v>11</v>
      </c>
      <c r="D635" s="3" t="s">
        <v>12</v>
      </c>
      <c r="E635" s="3" t="s">
        <v>1748</v>
      </c>
      <c r="F635" s="3" t="s">
        <v>1403</v>
      </c>
      <c r="G635" s="3"/>
      <c r="H635" s="3"/>
      <c r="I635" s="3"/>
      <c r="J635" s="4" t="str">
        <f aca="false">IF(AND($A635&lt;&gt;"",$A635=Подбор!$C$4),MAX(J$1:J634)+1,"")</f>
        <v/>
      </c>
    </row>
    <row r="636" customFormat="false" ht="15" hidden="false" customHeight="false" outlineLevel="0" collapsed="false">
      <c r="A636" s="3" t="s">
        <v>575</v>
      </c>
      <c r="B636" s="3" t="s">
        <v>34</v>
      </c>
      <c r="C636" s="3" t="s">
        <v>11</v>
      </c>
      <c r="D636" s="3" t="s">
        <v>12</v>
      </c>
      <c r="E636" s="3" t="s">
        <v>1749</v>
      </c>
      <c r="F636" s="3" t="s">
        <v>1403</v>
      </c>
      <c r="G636" s="3" t="n">
        <v>6000</v>
      </c>
      <c r="H636" s="3"/>
      <c r="I636" s="3" t="s">
        <v>1415</v>
      </c>
      <c r="J636" s="4" t="str">
        <f aca="false">IF(AND($A636&lt;&gt;"",$A636=Подбор!$C$4),MAX(J$1:J635)+1,"")</f>
        <v/>
      </c>
    </row>
    <row r="637" customFormat="false" ht="15" hidden="false" customHeight="false" outlineLevel="0" collapsed="false">
      <c r="A637" s="3" t="s">
        <v>577</v>
      </c>
      <c r="B637" s="3" t="s">
        <v>34</v>
      </c>
      <c r="C637" s="3" t="s">
        <v>11</v>
      </c>
      <c r="D637" s="3" t="s">
        <v>12</v>
      </c>
      <c r="E637" s="3" t="s">
        <v>1746</v>
      </c>
      <c r="F637" s="3" t="s">
        <v>1403</v>
      </c>
      <c r="G637" s="3" t="n">
        <v>1600</v>
      </c>
      <c r="H637" s="3"/>
      <c r="I637" s="3" t="s">
        <v>1415</v>
      </c>
      <c r="J637" s="4" t="str">
        <f aca="false">IF(AND($A637&lt;&gt;"",$A637=Подбор!$C$4),MAX(J$1:J636)+1,"")</f>
        <v/>
      </c>
    </row>
    <row r="638" customFormat="false" ht="15" hidden="false" customHeight="false" outlineLevel="0" collapsed="false">
      <c r="A638" s="3" t="s">
        <v>578</v>
      </c>
      <c r="B638" s="3" t="s">
        <v>34</v>
      </c>
      <c r="C638" s="3" t="s">
        <v>11</v>
      </c>
      <c r="D638" s="3" t="s">
        <v>12</v>
      </c>
      <c r="E638" s="3" t="s">
        <v>1746</v>
      </c>
      <c r="F638" s="3" t="s">
        <v>1403</v>
      </c>
      <c r="G638" s="3" t="n">
        <v>1600</v>
      </c>
      <c r="H638" s="3"/>
      <c r="I638" s="3" t="s">
        <v>1415</v>
      </c>
      <c r="J638" s="4" t="str">
        <f aca="false">IF(AND($A638&lt;&gt;"",$A638=Подбор!$C$4),MAX(J$1:J637)+1,"")</f>
        <v/>
      </c>
    </row>
    <row r="639" customFormat="false" ht="15" hidden="false" customHeight="false" outlineLevel="0" collapsed="false">
      <c r="A639" s="3" t="s">
        <v>579</v>
      </c>
      <c r="B639" s="3" t="s">
        <v>84</v>
      </c>
      <c r="C639" s="3" t="s">
        <v>11</v>
      </c>
      <c r="D639" s="3" t="s">
        <v>12</v>
      </c>
      <c r="E639" s="3" t="s">
        <v>1578</v>
      </c>
      <c r="F639" s="3" t="s">
        <v>1403</v>
      </c>
      <c r="G639" s="3" t="n">
        <v>2000</v>
      </c>
      <c r="H639" s="3"/>
      <c r="I639" s="3" t="s">
        <v>1415</v>
      </c>
      <c r="J639" s="4" t="str">
        <f aca="false">IF(AND($A639&lt;&gt;"",$A639=Подбор!$C$4),MAX(J$1:J638)+1,"")</f>
        <v/>
      </c>
    </row>
    <row r="640" customFormat="false" ht="15" hidden="false" customHeight="false" outlineLevel="0" collapsed="false">
      <c r="A640" s="3" t="s">
        <v>580</v>
      </c>
      <c r="B640" s="3" t="s">
        <v>57</v>
      </c>
      <c r="C640" s="3" t="s">
        <v>11</v>
      </c>
      <c r="D640" s="3" t="s">
        <v>12</v>
      </c>
      <c r="E640" s="3" t="s">
        <v>1681</v>
      </c>
      <c r="F640" s="3" t="s">
        <v>1403</v>
      </c>
      <c r="G640" s="3" t="n">
        <v>1500</v>
      </c>
      <c r="H640" s="3"/>
      <c r="I640" s="3" t="s">
        <v>1415</v>
      </c>
      <c r="J640" s="4" t="str">
        <f aca="false">IF(AND($A640&lt;&gt;"",$A640=Подбор!$C$4),MAX(J$1:J639)+1,"")</f>
        <v/>
      </c>
    </row>
    <row r="641" customFormat="false" ht="15" hidden="false" customHeight="false" outlineLevel="0" collapsed="false">
      <c r="A641" s="3" t="s">
        <v>581</v>
      </c>
      <c r="B641" s="3" t="s">
        <v>34</v>
      </c>
      <c r="C641" s="3" t="s">
        <v>11</v>
      </c>
      <c r="D641" s="3" t="s">
        <v>12</v>
      </c>
      <c r="E641" s="3" t="s">
        <v>1414</v>
      </c>
      <c r="F641" s="3" t="s">
        <v>1403</v>
      </c>
      <c r="G641" s="3" t="n">
        <v>6000</v>
      </c>
      <c r="H641" s="3"/>
      <c r="I641" s="3" t="s">
        <v>1415</v>
      </c>
      <c r="J641" s="4" t="str">
        <f aca="false">IF(AND($A641&lt;&gt;"",$A641=Подбор!$C$4),MAX(J$1:J640)+1,"")</f>
        <v/>
      </c>
    </row>
    <row r="642" customFormat="false" ht="15" hidden="false" customHeight="false" outlineLevel="0" collapsed="false">
      <c r="A642" s="3" t="s">
        <v>581</v>
      </c>
      <c r="B642" s="3" t="s">
        <v>34</v>
      </c>
      <c r="C642" s="3" t="s">
        <v>36</v>
      </c>
      <c r="D642" s="3" t="s">
        <v>15</v>
      </c>
      <c r="E642" s="3" t="s">
        <v>1418</v>
      </c>
      <c r="F642" s="3" t="s">
        <v>1403</v>
      </c>
      <c r="G642" s="3" t="n">
        <v>30000</v>
      </c>
      <c r="H642" s="3"/>
      <c r="I642" s="3" t="s">
        <v>1415</v>
      </c>
      <c r="J642" s="4" t="str">
        <f aca="false">IF(AND($A642&lt;&gt;"",$A642=Подбор!$C$4),MAX(J$1:J641)+1,"")</f>
        <v/>
      </c>
    </row>
    <row r="643" customFormat="false" ht="15" hidden="false" customHeight="false" outlineLevel="0" collapsed="false">
      <c r="A643" s="3" t="s">
        <v>582</v>
      </c>
      <c r="B643" s="3" t="s">
        <v>34</v>
      </c>
      <c r="C643" s="3" t="s">
        <v>11</v>
      </c>
      <c r="D643" s="3" t="s">
        <v>12</v>
      </c>
      <c r="E643" s="3" t="s">
        <v>1414</v>
      </c>
      <c r="F643" s="3" t="s">
        <v>1403</v>
      </c>
      <c r="G643" s="3" t="n">
        <v>6000</v>
      </c>
      <c r="H643" s="3"/>
      <c r="I643" s="3" t="s">
        <v>1415</v>
      </c>
      <c r="J643" s="4" t="str">
        <f aca="false">IF(AND($A643&lt;&gt;"",$A643=Подбор!$C$4),MAX(J$1:J642)+1,"")</f>
        <v/>
      </c>
    </row>
    <row r="644" customFormat="false" ht="15" hidden="false" customHeight="false" outlineLevel="0" collapsed="false">
      <c r="A644" s="3" t="s">
        <v>582</v>
      </c>
      <c r="B644" s="3" t="s">
        <v>34</v>
      </c>
      <c r="C644" s="3" t="s">
        <v>36</v>
      </c>
      <c r="D644" s="3" t="s">
        <v>15</v>
      </c>
      <c r="E644" s="3" t="s">
        <v>1418</v>
      </c>
      <c r="F644" s="3" t="s">
        <v>1403</v>
      </c>
      <c r="G644" s="3" t="n">
        <v>30000</v>
      </c>
      <c r="H644" s="3"/>
      <c r="I644" s="3" t="s">
        <v>1415</v>
      </c>
      <c r="J644" s="4" t="str">
        <f aca="false">IF(AND($A644&lt;&gt;"",$A644=Подбор!$C$4),MAX(J$1:J643)+1,"")</f>
        <v/>
      </c>
    </row>
    <row r="645" customFormat="false" ht="15" hidden="false" customHeight="false" outlineLevel="0" collapsed="false">
      <c r="A645" s="3" t="s">
        <v>583</v>
      </c>
      <c r="B645" s="3" t="s">
        <v>34</v>
      </c>
      <c r="C645" s="3" t="s">
        <v>11</v>
      </c>
      <c r="D645" s="3" t="s">
        <v>12</v>
      </c>
      <c r="E645" s="3" t="s">
        <v>1414</v>
      </c>
      <c r="F645" s="3" t="s">
        <v>1403</v>
      </c>
      <c r="G645" s="3" t="n">
        <v>6000</v>
      </c>
      <c r="H645" s="3"/>
      <c r="I645" s="3" t="s">
        <v>1415</v>
      </c>
      <c r="J645" s="4" t="str">
        <f aca="false">IF(AND($A645&lt;&gt;"",$A645=Подбор!$C$4),MAX(J$1:J644)+1,"")</f>
        <v/>
      </c>
    </row>
    <row r="646" customFormat="false" ht="15" hidden="false" customHeight="false" outlineLevel="0" collapsed="false">
      <c r="A646" s="3" t="s">
        <v>583</v>
      </c>
      <c r="B646" s="3" t="s">
        <v>34</v>
      </c>
      <c r="C646" s="3" t="s">
        <v>36</v>
      </c>
      <c r="D646" s="3" t="s">
        <v>15</v>
      </c>
      <c r="E646" s="3" t="s">
        <v>1418</v>
      </c>
      <c r="F646" s="3" t="s">
        <v>1403</v>
      </c>
      <c r="G646" s="3" t="n">
        <v>30000</v>
      </c>
      <c r="H646" s="3"/>
      <c r="I646" s="3" t="s">
        <v>1415</v>
      </c>
      <c r="J646" s="4" t="str">
        <f aca="false">IF(AND($A646&lt;&gt;"",$A646=Подбор!$C$4),MAX(J$1:J645)+1,"")</f>
        <v/>
      </c>
    </row>
    <row r="647" customFormat="false" ht="15" hidden="false" customHeight="false" outlineLevel="0" collapsed="false">
      <c r="A647" s="3" t="s">
        <v>584</v>
      </c>
      <c r="B647" s="3" t="s">
        <v>84</v>
      </c>
      <c r="C647" s="3" t="s">
        <v>11</v>
      </c>
      <c r="D647" s="3" t="s">
        <v>12</v>
      </c>
      <c r="E647" s="3" t="s">
        <v>1747</v>
      </c>
      <c r="F647" s="3" t="s">
        <v>1403</v>
      </c>
      <c r="G647" s="3"/>
      <c r="H647" s="3"/>
      <c r="I647" s="3"/>
      <c r="J647" s="4" t="str">
        <f aca="false">IF(AND($A647&lt;&gt;"",$A647=Подбор!$C$4),MAX(J$1:J646)+1,"")</f>
        <v/>
      </c>
    </row>
    <row r="648" customFormat="false" ht="15" hidden="false" customHeight="false" outlineLevel="0" collapsed="false">
      <c r="A648" s="3" t="s">
        <v>585</v>
      </c>
      <c r="B648" s="3" t="s">
        <v>34</v>
      </c>
      <c r="C648" s="3" t="s">
        <v>11</v>
      </c>
      <c r="D648" s="3" t="s">
        <v>12</v>
      </c>
      <c r="E648" s="3" t="s">
        <v>1746</v>
      </c>
      <c r="F648" s="3" t="s">
        <v>1403</v>
      </c>
      <c r="G648" s="3" t="n">
        <v>1600</v>
      </c>
      <c r="H648" s="3"/>
      <c r="I648" s="3" t="s">
        <v>1415</v>
      </c>
      <c r="J648" s="4" t="str">
        <f aca="false">IF(AND($A648&lt;&gt;"",$A648=Подбор!$C$4),MAX(J$1:J647)+1,"")</f>
        <v/>
      </c>
    </row>
    <row r="649" customFormat="false" ht="15" hidden="false" customHeight="false" outlineLevel="0" collapsed="false">
      <c r="A649" s="3" t="s">
        <v>586</v>
      </c>
      <c r="B649" s="3" t="s">
        <v>34</v>
      </c>
      <c r="C649" s="3" t="s">
        <v>11</v>
      </c>
      <c r="D649" s="3" t="s">
        <v>12</v>
      </c>
      <c r="E649" s="3" t="s">
        <v>1673</v>
      </c>
      <c r="F649" s="3" t="s">
        <v>1403</v>
      </c>
      <c r="G649" s="3" t="n">
        <v>2000</v>
      </c>
      <c r="H649" s="3"/>
      <c r="I649" s="3" t="s">
        <v>1415</v>
      </c>
      <c r="J649" s="4" t="str">
        <f aca="false">IF(AND($A649&lt;&gt;"",$A649=Подбор!$C$4),MAX(J$1:J648)+1,"")</f>
        <v/>
      </c>
    </row>
    <row r="650" customFormat="false" ht="15" hidden="false" customHeight="false" outlineLevel="0" collapsed="false">
      <c r="A650" s="3" t="s">
        <v>586</v>
      </c>
      <c r="B650" s="3" t="s">
        <v>34</v>
      </c>
      <c r="C650" s="3" t="s">
        <v>11</v>
      </c>
      <c r="D650" s="3" t="s">
        <v>21</v>
      </c>
      <c r="E650" s="3" t="s">
        <v>1676</v>
      </c>
      <c r="F650" s="3" t="s">
        <v>1403</v>
      </c>
      <c r="G650" s="3" t="n">
        <v>2000</v>
      </c>
      <c r="H650" s="3"/>
      <c r="I650" s="3" t="s">
        <v>1415</v>
      </c>
      <c r="J650" s="4" t="str">
        <f aca="false">IF(AND($A650&lt;&gt;"",$A650=Подбор!$C$4),MAX(J$1:J649)+1,"")</f>
        <v/>
      </c>
    </row>
    <row r="651" customFormat="false" ht="15" hidden="false" customHeight="false" outlineLevel="0" collapsed="false">
      <c r="A651" s="3" t="s">
        <v>586</v>
      </c>
      <c r="B651" s="3" t="s">
        <v>34</v>
      </c>
      <c r="C651" s="3" t="s">
        <v>11</v>
      </c>
      <c r="D651" s="3" t="s">
        <v>23</v>
      </c>
      <c r="E651" s="3" t="s">
        <v>1677</v>
      </c>
      <c r="F651" s="3" t="s">
        <v>1403</v>
      </c>
      <c r="G651" s="3" t="n">
        <v>2000</v>
      </c>
      <c r="H651" s="3"/>
      <c r="I651" s="3" t="s">
        <v>1415</v>
      </c>
      <c r="J651" s="4" t="str">
        <f aca="false">IF(AND($A651&lt;&gt;"",$A651=Подбор!$C$4),MAX(J$1:J650)+1,"")</f>
        <v/>
      </c>
    </row>
    <row r="652" customFormat="false" ht="15" hidden="false" customHeight="false" outlineLevel="0" collapsed="false">
      <c r="A652" s="3" t="s">
        <v>586</v>
      </c>
      <c r="B652" s="3" t="s">
        <v>34</v>
      </c>
      <c r="C652" s="3" t="s">
        <v>11</v>
      </c>
      <c r="D652" s="3" t="s">
        <v>25</v>
      </c>
      <c r="E652" s="3" t="s">
        <v>1678</v>
      </c>
      <c r="F652" s="3" t="s">
        <v>1403</v>
      </c>
      <c r="G652" s="3" t="n">
        <v>2000</v>
      </c>
      <c r="H652" s="3"/>
      <c r="I652" s="3" t="s">
        <v>1415</v>
      </c>
      <c r="J652" s="4" t="str">
        <f aca="false">IF(AND($A652&lt;&gt;"",$A652=Подбор!$C$4),MAX(J$1:J651)+1,"")</f>
        <v/>
      </c>
    </row>
    <row r="653" customFormat="false" ht="15" hidden="false" customHeight="false" outlineLevel="0" collapsed="false">
      <c r="A653" s="3" t="s">
        <v>591</v>
      </c>
      <c r="B653" s="3" t="s">
        <v>34</v>
      </c>
      <c r="C653" s="3" t="s">
        <v>11</v>
      </c>
      <c r="D653" s="3" t="s">
        <v>12</v>
      </c>
      <c r="E653" s="3" t="s">
        <v>1673</v>
      </c>
      <c r="F653" s="3" t="s">
        <v>1403</v>
      </c>
      <c r="G653" s="3" t="n">
        <v>2000</v>
      </c>
      <c r="H653" s="3"/>
      <c r="I653" s="3" t="s">
        <v>1415</v>
      </c>
      <c r="J653" s="4" t="str">
        <f aca="false">IF(AND($A653&lt;&gt;"",$A653=Подбор!$C$4),MAX(J$1:J652)+1,"")</f>
        <v/>
      </c>
    </row>
    <row r="654" customFormat="false" ht="15" hidden="false" customHeight="false" outlineLevel="0" collapsed="false">
      <c r="A654" s="3" t="s">
        <v>591</v>
      </c>
      <c r="B654" s="3" t="s">
        <v>34</v>
      </c>
      <c r="C654" s="3" t="s">
        <v>11</v>
      </c>
      <c r="D654" s="3" t="s">
        <v>21</v>
      </c>
      <c r="E654" s="3" t="s">
        <v>1676</v>
      </c>
      <c r="F654" s="3" t="s">
        <v>1403</v>
      </c>
      <c r="G654" s="3" t="n">
        <v>2000</v>
      </c>
      <c r="H654" s="3"/>
      <c r="I654" s="3" t="s">
        <v>1415</v>
      </c>
      <c r="J654" s="4" t="str">
        <f aca="false">IF(AND($A654&lt;&gt;"",$A654=Подбор!$C$4),MAX(J$1:J653)+1,"")</f>
        <v/>
      </c>
    </row>
    <row r="655" customFormat="false" ht="15" hidden="false" customHeight="false" outlineLevel="0" collapsed="false">
      <c r="A655" s="3" t="s">
        <v>591</v>
      </c>
      <c r="B655" s="3" t="s">
        <v>34</v>
      </c>
      <c r="C655" s="3" t="s">
        <v>11</v>
      </c>
      <c r="D655" s="3" t="s">
        <v>23</v>
      </c>
      <c r="E655" s="3" t="s">
        <v>1677</v>
      </c>
      <c r="F655" s="3" t="s">
        <v>1403</v>
      </c>
      <c r="G655" s="3" t="n">
        <v>2000</v>
      </c>
      <c r="H655" s="3"/>
      <c r="I655" s="3" t="s">
        <v>1415</v>
      </c>
      <c r="J655" s="4" t="str">
        <f aca="false">IF(AND($A655&lt;&gt;"",$A655=Подбор!$C$4),MAX(J$1:J654)+1,"")</f>
        <v/>
      </c>
    </row>
    <row r="656" customFormat="false" ht="15" hidden="false" customHeight="false" outlineLevel="0" collapsed="false">
      <c r="A656" s="3" t="s">
        <v>591</v>
      </c>
      <c r="B656" s="3" t="s">
        <v>34</v>
      </c>
      <c r="C656" s="3" t="s">
        <v>11</v>
      </c>
      <c r="D656" s="3" t="s">
        <v>25</v>
      </c>
      <c r="E656" s="3" t="s">
        <v>1678</v>
      </c>
      <c r="F656" s="3" t="s">
        <v>1403</v>
      </c>
      <c r="G656" s="3" t="n">
        <v>2000</v>
      </c>
      <c r="H656" s="3"/>
      <c r="I656" s="3" t="s">
        <v>1415</v>
      </c>
      <c r="J656" s="4" t="str">
        <f aca="false">IF(AND($A656&lt;&gt;"",$A656=Подбор!$C$4),MAX(J$1:J655)+1,"")</f>
        <v/>
      </c>
    </row>
    <row r="657" customFormat="false" ht="15" hidden="false" customHeight="false" outlineLevel="0" collapsed="false">
      <c r="A657" s="3" t="s">
        <v>592</v>
      </c>
      <c r="B657" s="3" t="s">
        <v>57</v>
      </c>
      <c r="C657" s="3" t="s">
        <v>11</v>
      </c>
      <c r="D657" s="3" t="s">
        <v>12</v>
      </c>
      <c r="E657" s="3" t="s">
        <v>1492</v>
      </c>
      <c r="F657" s="3" t="s">
        <v>1403</v>
      </c>
      <c r="G657" s="3" t="n">
        <v>3000</v>
      </c>
      <c r="H657" s="3"/>
      <c r="I657" s="3" t="s">
        <v>1415</v>
      </c>
      <c r="J657" s="4" t="str">
        <f aca="false">IF(AND($A657&lt;&gt;"",$A657=Подбор!$C$4),MAX(J$1:J656)+1,"")</f>
        <v/>
      </c>
    </row>
    <row r="658" customFormat="false" ht="15" hidden="false" customHeight="false" outlineLevel="0" collapsed="false">
      <c r="A658" s="3" t="s">
        <v>592</v>
      </c>
      <c r="B658" s="3" t="s">
        <v>57</v>
      </c>
      <c r="C658" s="3" t="s">
        <v>11</v>
      </c>
      <c r="D658" s="3" t="s">
        <v>12</v>
      </c>
      <c r="E658" s="3" t="s">
        <v>1493</v>
      </c>
      <c r="F658" s="3" t="s">
        <v>1421</v>
      </c>
      <c r="G658" s="3" t="n">
        <v>3000</v>
      </c>
      <c r="H658" s="3"/>
      <c r="I658" s="3" t="s">
        <v>1415</v>
      </c>
      <c r="J658" s="4" t="str">
        <f aca="false">IF(AND($A658&lt;&gt;"",$A658=Подбор!$C$4),MAX(J$1:J657)+1,"")</f>
        <v/>
      </c>
    </row>
    <row r="659" customFormat="false" ht="15" hidden="false" customHeight="false" outlineLevel="0" collapsed="false">
      <c r="A659" s="3" t="s">
        <v>593</v>
      </c>
      <c r="B659" s="3" t="s">
        <v>57</v>
      </c>
      <c r="C659" s="3" t="s">
        <v>11</v>
      </c>
      <c r="D659" s="3" t="s">
        <v>12</v>
      </c>
      <c r="E659" s="3" t="s">
        <v>1750</v>
      </c>
      <c r="F659" s="3" t="s">
        <v>1403</v>
      </c>
      <c r="G659" s="3" t="n">
        <v>25000</v>
      </c>
      <c r="H659" s="3"/>
      <c r="I659" s="3" t="s">
        <v>1415</v>
      </c>
      <c r="J659" s="4" t="str">
        <f aca="false">IF(AND($A659&lt;&gt;"",$A659=Подбор!$C$4),MAX(J$1:J658)+1,"")</f>
        <v/>
      </c>
    </row>
    <row r="660" customFormat="false" ht="15" hidden="false" customHeight="false" outlineLevel="0" collapsed="false">
      <c r="A660" s="3" t="s">
        <v>593</v>
      </c>
      <c r="B660" s="3" t="s">
        <v>57</v>
      </c>
      <c r="C660" s="3" t="s">
        <v>11</v>
      </c>
      <c r="D660" s="3" t="s">
        <v>12</v>
      </c>
      <c r="E660" s="3" t="s">
        <v>1751</v>
      </c>
      <c r="F660" s="3" t="s">
        <v>1417</v>
      </c>
      <c r="G660" s="3" t="n">
        <v>25000</v>
      </c>
      <c r="H660" s="3"/>
      <c r="I660" s="3" t="s">
        <v>1415</v>
      </c>
      <c r="J660" s="4" t="str">
        <f aca="false">IF(AND($A660&lt;&gt;"",$A660=Подбор!$C$4),MAX(J$1:J659)+1,"")</f>
        <v/>
      </c>
    </row>
    <row r="661" customFormat="false" ht="15" hidden="false" customHeight="false" outlineLevel="0" collapsed="false">
      <c r="A661" s="3" t="s">
        <v>599</v>
      </c>
      <c r="B661" s="3" t="s">
        <v>57</v>
      </c>
      <c r="C661" s="3" t="s">
        <v>11</v>
      </c>
      <c r="D661" s="3" t="s">
        <v>12</v>
      </c>
      <c r="E661" s="3" t="s">
        <v>1515</v>
      </c>
      <c r="F661" s="3" t="s">
        <v>1403</v>
      </c>
      <c r="G661" s="3" t="n">
        <v>15000</v>
      </c>
      <c r="H661" s="3"/>
      <c r="I661" s="3" t="s">
        <v>1415</v>
      </c>
      <c r="J661" s="4" t="str">
        <f aca="false">IF(AND($A661&lt;&gt;"",$A661=Подбор!$C$4),MAX(J$1:J660)+1,"")</f>
        <v/>
      </c>
    </row>
    <row r="662" customFormat="false" ht="15" hidden="false" customHeight="false" outlineLevel="0" collapsed="false">
      <c r="A662" s="3" t="s">
        <v>602</v>
      </c>
      <c r="B662" s="3" t="s">
        <v>57</v>
      </c>
      <c r="C662" s="3" t="s">
        <v>11</v>
      </c>
      <c r="D662" s="3" t="s">
        <v>12</v>
      </c>
      <c r="E662" s="3" t="s">
        <v>1752</v>
      </c>
      <c r="F662" s="3" t="s">
        <v>1403</v>
      </c>
      <c r="G662" s="3"/>
      <c r="H662" s="3"/>
      <c r="I662" s="3"/>
      <c r="J662" s="4" t="str">
        <f aca="false">IF(AND($A662&lt;&gt;"",$A662=Подбор!$C$4),MAX(J$1:J661)+1,"")</f>
        <v/>
      </c>
    </row>
    <row r="663" customFormat="false" ht="15" hidden="false" customHeight="false" outlineLevel="0" collapsed="false">
      <c r="A663" s="3" t="s">
        <v>629</v>
      </c>
      <c r="B663" s="3" t="s">
        <v>57</v>
      </c>
      <c r="C663" s="3" t="s">
        <v>11</v>
      </c>
      <c r="D663" s="3" t="s">
        <v>12</v>
      </c>
      <c r="E663" s="3" t="s">
        <v>1753</v>
      </c>
      <c r="F663" s="3" t="s">
        <v>1403</v>
      </c>
      <c r="G663" s="3" t="n">
        <v>2500</v>
      </c>
      <c r="H663" s="3"/>
      <c r="I663" s="3" t="s">
        <v>1415</v>
      </c>
      <c r="J663" s="4" t="str">
        <f aca="false">IF(AND($A663&lt;&gt;"",$A663=Подбор!$C$4),MAX(J$1:J662)+1,"")</f>
        <v/>
      </c>
    </row>
    <row r="664" customFormat="false" ht="15" hidden="false" customHeight="false" outlineLevel="0" collapsed="false">
      <c r="A664" s="3" t="s">
        <v>632</v>
      </c>
      <c r="B664" s="3" t="s">
        <v>57</v>
      </c>
      <c r="C664" s="3" t="s">
        <v>11</v>
      </c>
      <c r="D664" s="3" t="s">
        <v>12</v>
      </c>
      <c r="E664" s="3" t="s">
        <v>1754</v>
      </c>
      <c r="F664" s="3" t="s">
        <v>1403</v>
      </c>
      <c r="G664" s="3" t="n">
        <v>7000</v>
      </c>
      <c r="H664" s="3"/>
      <c r="I664" s="3" t="s">
        <v>1415</v>
      </c>
      <c r="J664" s="4" t="str">
        <f aca="false">IF(AND($A664&lt;&gt;"",$A664=Подбор!$C$4),MAX(J$1:J663)+1,"")</f>
        <v/>
      </c>
    </row>
    <row r="665" customFormat="false" ht="15" hidden="false" customHeight="false" outlineLevel="0" collapsed="false">
      <c r="A665" s="3" t="s">
        <v>632</v>
      </c>
      <c r="B665" s="3" t="s">
        <v>57</v>
      </c>
      <c r="C665" s="3" t="s">
        <v>11</v>
      </c>
      <c r="D665" s="3" t="s">
        <v>12</v>
      </c>
      <c r="E665" s="3" t="s">
        <v>1755</v>
      </c>
      <c r="F665" s="3" t="s">
        <v>1421</v>
      </c>
      <c r="G665" s="3" t="n">
        <v>7000</v>
      </c>
      <c r="H665" s="3"/>
      <c r="I665" s="3" t="s">
        <v>1415</v>
      </c>
      <c r="J665" s="4" t="str">
        <f aca="false">IF(AND($A665&lt;&gt;"",$A665=Подбор!$C$4),MAX(J$1:J664)+1,"")</f>
        <v/>
      </c>
    </row>
    <row r="666" customFormat="false" ht="15" hidden="false" customHeight="false" outlineLevel="0" collapsed="false">
      <c r="A666" s="3" t="s">
        <v>634</v>
      </c>
      <c r="B666" s="3" t="s">
        <v>57</v>
      </c>
      <c r="C666" s="3" t="s">
        <v>11</v>
      </c>
      <c r="D666" s="3" t="s">
        <v>12</v>
      </c>
      <c r="E666" s="3" t="s">
        <v>1756</v>
      </c>
      <c r="F666" s="3" t="s">
        <v>1403</v>
      </c>
      <c r="G666" s="3" t="n">
        <v>25000</v>
      </c>
      <c r="H666" s="3"/>
      <c r="I666" s="3" t="s">
        <v>1415</v>
      </c>
      <c r="J666" s="4" t="str">
        <f aca="false">IF(AND($A666&lt;&gt;"",$A666=Подбор!$C$4),MAX(J$1:J665)+1,"")</f>
        <v/>
      </c>
    </row>
    <row r="667" customFormat="false" ht="15" hidden="false" customHeight="false" outlineLevel="0" collapsed="false">
      <c r="A667" s="3" t="s">
        <v>634</v>
      </c>
      <c r="B667" s="3" t="s">
        <v>57</v>
      </c>
      <c r="C667" s="3" t="s">
        <v>11</v>
      </c>
      <c r="D667" s="3" t="s">
        <v>12</v>
      </c>
      <c r="E667" s="3" t="s">
        <v>1757</v>
      </c>
      <c r="F667" s="3" t="s">
        <v>1421</v>
      </c>
      <c r="G667" s="3" t="n">
        <v>25000</v>
      </c>
      <c r="H667" s="3"/>
      <c r="I667" s="3" t="s">
        <v>1415</v>
      </c>
      <c r="J667" s="4" t="str">
        <f aca="false">IF(AND($A667&lt;&gt;"",$A667=Подбор!$C$4),MAX(J$1:J666)+1,"")</f>
        <v/>
      </c>
    </row>
    <row r="668" customFormat="false" ht="15" hidden="false" customHeight="false" outlineLevel="0" collapsed="false">
      <c r="A668" s="3" t="s">
        <v>636</v>
      </c>
      <c r="B668" s="3" t="s">
        <v>57</v>
      </c>
      <c r="C668" s="3" t="s">
        <v>11</v>
      </c>
      <c r="D668" s="3" t="s">
        <v>12</v>
      </c>
      <c r="E668" s="3" t="s">
        <v>1758</v>
      </c>
      <c r="F668" s="3" t="s">
        <v>1403</v>
      </c>
      <c r="G668" s="3" t="n">
        <v>15000</v>
      </c>
      <c r="H668" s="3"/>
      <c r="I668" s="3" t="s">
        <v>1415</v>
      </c>
      <c r="J668" s="4" t="str">
        <f aca="false">IF(AND($A668&lt;&gt;"",$A668=Подбор!$C$4),MAX(J$1:J667)+1,"")</f>
        <v/>
      </c>
    </row>
    <row r="669" customFormat="false" ht="15" hidden="false" customHeight="false" outlineLevel="0" collapsed="false">
      <c r="A669" s="3" t="s">
        <v>638</v>
      </c>
      <c r="B669" s="3" t="s">
        <v>57</v>
      </c>
      <c r="C669" s="3" t="s">
        <v>11</v>
      </c>
      <c r="D669" s="3" t="s">
        <v>12</v>
      </c>
      <c r="E669" s="3" t="s">
        <v>1759</v>
      </c>
      <c r="F669" s="3" t="s">
        <v>1403</v>
      </c>
      <c r="G669" s="3" t="n">
        <v>8000</v>
      </c>
      <c r="H669" s="3"/>
      <c r="I669" s="3" t="s">
        <v>1415</v>
      </c>
      <c r="J669" s="4" t="str">
        <f aca="false">IF(AND($A669&lt;&gt;"",$A669=Подбор!$C$4),MAX(J$1:J668)+1,"")</f>
        <v/>
      </c>
    </row>
    <row r="670" customFormat="false" ht="15" hidden="false" customHeight="false" outlineLevel="0" collapsed="false">
      <c r="A670" s="3" t="s">
        <v>640</v>
      </c>
      <c r="B670" s="3" t="s">
        <v>57</v>
      </c>
      <c r="C670" s="3" t="s">
        <v>11</v>
      </c>
      <c r="D670" s="3" t="s">
        <v>12</v>
      </c>
      <c r="E670" s="3" t="s">
        <v>1760</v>
      </c>
      <c r="F670" s="3" t="s">
        <v>1403</v>
      </c>
      <c r="G670" s="3" t="n">
        <v>12000</v>
      </c>
      <c r="H670" s="3"/>
      <c r="I670" s="3" t="s">
        <v>1415</v>
      </c>
      <c r="J670" s="4" t="str">
        <f aca="false">IF(AND($A670&lt;&gt;"",$A670=Подбор!$C$4),MAX(J$1:J669)+1,"")</f>
        <v/>
      </c>
    </row>
    <row r="671" customFormat="false" ht="15" hidden="false" customHeight="false" outlineLevel="0" collapsed="false">
      <c r="A671" s="3" t="s">
        <v>642</v>
      </c>
      <c r="B671" s="3" t="s">
        <v>57</v>
      </c>
      <c r="C671" s="3" t="s">
        <v>11</v>
      </c>
      <c r="D671" s="3" t="s">
        <v>12</v>
      </c>
      <c r="E671" s="3" t="s">
        <v>1761</v>
      </c>
      <c r="F671" s="3" t="s">
        <v>1403</v>
      </c>
      <c r="G671" s="3" t="n">
        <v>26000</v>
      </c>
      <c r="H671" s="3"/>
      <c r="I671" s="3" t="s">
        <v>1415</v>
      </c>
      <c r="J671" s="4" t="str">
        <f aca="false">IF(AND($A671&lt;&gt;"",$A671=Подбор!$C$4),MAX(J$1:J670)+1,"")</f>
        <v/>
      </c>
    </row>
    <row r="672" customFormat="false" ht="15" hidden="false" customHeight="false" outlineLevel="0" collapsed="false">
      <c r="A672" s="3" t="s">
        <v>642</v>
      </c>
      <c r="B672" s="3" t="s">
        <v>57</v>
      </c>
      <c r="C672" s="3" t="s">
        <v>11</v>
      </c>
      <c r="D672" s="3" t="s">
        <v>12</v>
      </c>
      <c r="E672" s="3" t="s">
        <v>1762</v>
      </c>
      <c r="F672" s="3" t="s">
        <v>1417</v>
      </c>
      <c r="G672" s="3" t="n">
        <v>26000</v>
      </c>
      <c r="H672" s="3"/>
      <c r="I672" s="3" t="s">
        <v>1415</v>
      </c>
      <c r="J672" s="4" t="str">
        <f aca="false">IF(AND($A672&lt;&gt;"",$A672=Подбор!$C$4),MAX(J$1:J671)+1,"")</f>
        <v/>
      </c>
    </row>
    <row r="673" customFormat="false" ht="15" hidden="false" customHeight="false" outlineLevel="0" collapsed="false">
      <c r="A673" s="3" t="s">
        <v>644</v>
      </c>
      <c r="B673" s="3" t="s">
        <v>57</v>
      </c>
      <c r="C673" s="3" t="s">
        <v>11</v>
      </c>
      <c r="D673" s="3" t="s">
        <v>12</v>
      </c>
      <c r="E673" s="3" t="s">
        <v>1761</v>
      </c>
      <c r="F673" s="3" t="s">
        <v>1403</v>
      </c>
      <c r="G673" s="3" t="n">
        <v>26000</v>
      </c>
      <c r="H673" s="3"/>
      <c r="I673" s="3" t="s">
        <v>1415</v>
      </c>
      <c r="J673" s="4" t="str">
        <f aca="false">IF(AND($A673&lt;&gt;"",$A673=Подбор!$C$4),MAX(J$1:J672)+1,"")</f>
        <v/>
      </c>
    </row>
    <row r="674" customFormat="false" ht="15" hidden="false" customHeight="false" outlineLevel="0" collapsed="false">
      <c r="A674" s="3" t="s">
        <v>645</v>
      </c>
      <c r="B674" s="3" t="s">
        <v>57</v>
      </c>
      <c r="C674" s="3" t="s">
        <v>11</v>
      </c>
      <c r="D674" s="3" t="s">
        <v>12</v>
      </c>
      <c r="E674" s="3" t="s">
        <v>1763</v>
      </c>
      <c r="F674" s="3" t="s">
        <v>1403</v>
      </c>
      <c r="G674" s="3"/>
      <c r="H674" s="3"/>
      <c r="I674" s="3"/>
      <c r="J674" s="4" t="str">
        <f aca="false">IF(AND($A674&lt;&gt;"",$A674=Подбор!$C$4),MAX(J$1:J673)+1,"")</f>
        <v/>
      </c>
    </row>
    <row r="675" customFormat="false" ht="15" hidden="false" customHeight="false" outlineLevel="0" collapsed="false">
      <c r="A675" s="3" t="s">
        <v>645</v>
      </c>
      <c r="B675" s="3" t="s">
        <v>57</v>
      </c>
      <c r="C675" s="3" t="s">
        <v>11</v>
      </c>
      <c r="D675" s="3" t="s">
        <v>12</v>
      </c>
      <c r="E675" s="3" t="s">
        <v>1764</v>
      </c>
      <c r="F675" s="3" t="s">
        <v>1417</v>
      </c>
      <c r="G675" s="3" t="n">
        <v>1000</v>
      </c>
      <c r="H675" s="3"/>
      <c r="I675" s="3" t="s">
        <v>1415</v>
      </c>
      <c r="J675" s="4" t="str">
        <f aca="false">IF(AND($A675&lt;&gt;"",$A675=Подбор!$C$4),MAX(J$1:J674)+1,"")</f>
        <v/>
      </c>
    </row>
    <row r="676" customFormat="false" ht="15" hidden="false" customHeight="false" outlineLevel="0" collapsed="false">
      <c r="A676" s="3" t="s">
        <v>647</v>
      </c>
      <c r="B676" s="3" t="s">
        <v>57</v>
      </c>
      <c r="C676" s="3" t="s">
        <v>11</v>
      </c>
      <c r="D676" s="3" t="s">
        <v>12</v>
      </c>
      <c r="E676" s="3" t="s">
        <v>1681</v>
      </c>
      <c r="F676" s="3" t="s">
        <v>1403</v>
      </c>
      <c r="G676" s="3" t="n">
        <v>1500</v>
      </c>
      <c r="H676" s="3"/>
      <c r="I676" s="3" t="s">
        <v>1415</v>
      </c>
      <c r="J676" s="4" t="str">
        <f aca="false">IF(AND($A676&lt;&gt;"",$A676=Подбор!$C$4),MAX(J$1:J675)+1,"")</f>
        <v/>
      </c>
    </row>
    <row r="677" customFormat="false" ht="15" hidden="false" customHeight="false" outlineLevel="0" collapsed="false">
      <c r="A677" s="3" t="s">
        <v>648</v>
      </c>
      <c r="B677" s="3" t="s">
        <v>57</v>
      </c>
      <c r="C677" s="3" t="s">
        <v>11</v>
      </c>
      <c r="D677" s="3" t="s">
        <v>12</v>
      </c>
      <c r="E677" s="3" t="s">
        <v>1554</v>
      </c>
      <c r="F677" s="3" t="s">
        <v>1403</v>
      </c>
      <c r="G677" s="3" t="n">
        <v>2700</v>
      </c>
      <c r="H677" s="3"/>
      <c r="I677" s="3" t="s">
        <v>1415</v>
      </c>
      <c r="J677" s="4" t="str">
        <f aca="false">IF(AND($A677&lt;&gt;"",$A677=Подбор!$C$4),MAX(J$1:J676)+1,"")</f>
        <v/>
      </c>
    </row>
    <row r="678" customFormat="false" ht="15" hidden="false" customHeight="false" outlineLevel="0" collapsed="false">
      <c r="A678" s="3" t="s">
        <v>649</v>
      </c>
      <c r="B678" s="3" t="s">
        <v>57</v>
      </c>
      <c r="C678" s="3" t="s">
        <v>11</v>
      </c>
      <c r="D678" s="3" t="s">
        <v>12</v>
      </c>
      <c r="E678" s="3" t="s">
        <v>1765</v>
      </c>
      <c r="F678" s="3" t="s">
        <v>1403</v>
      </c>
      <c r="G678" s="3" t="n">
        <v>7000</v>
      </c>
      <c r="H678" s="3"/>
      <c r="I678" s="3" t="s">
        <v>1415</v>
      </c>
      <c r="J678" s="4" t="str">
        <f aca="false">IF(AND($A678&lt;&gt;"",$A678=Подбор!$C$4),MAX(J$1:J677)+1,"")</f>
        <v/>
      </c>
    </row>
    <row r="679" customFormat="false" ht="15" hidden="false" customHeight="false" outlineLevel="0" collapsed="false">
      <c r="A679" s="3" t="s">
        <v>649</v>
      </c>
      <c r="B679" s="3" t="s">
        <v>57</v>
      </c>
      <c r="C679" s="3" t="s">
        <v>11</v>
      </c>
      <c r="D679" s="3" t="s">
        <v>12</v>
      </c>
      <c r="E679" s="3" t="s">
        <v>1766</v>
      </c>
      <c r="F679" s="3" t="s">
        <v>1421</v>
      </c>
      <c r="G679" s="3" t="n">
        <v>7000</v>
      </c>
      <c r="H679" s="3"/>
      <c r="I679" s="3" t="s">
        <v>1415</v>
      </c>
      <c r="J679" s="4" t="str">
        <f aca="false">IF(AND($A679&lt;&gt;"",$A679=Подбор!$C$4),MAX(J$1:J678)+1,"")</f>
        <v/>
      </c>
    </row>
    <row r="680" customFormat="false" ht="15" hidden="false" customHeight="false" outlineLevel="0" collapsed="false">
      <c r="A680" s="3" t="s">
        <v>651</v>
      </c>
      <c r="B680" s="3" t="s">
        <v>57</v>
      </c>
      <c r="C680" s="3" t="s">
        <v>11</v>
      </c>
      <c r="D680" s="3" t="s">
        <v>12</v>
      </c>
      <c r="E680" s="3" t="s">
        <v>1767</v>
      </c>
      <c r="F680" s="3" t="s">
        <v>1403</v>
      </c>
      <c r="G680" s="3"/>
      <c r="H680" s="3"/>
      <c r="I680" s="3"/>
      <c r="J680" s="4" t="str">
        <f aca="false">IF(AND($A680&lt;&gt;"",$A680=Подбор!$C$4),MAX(J$1:J679)+1,"")</f>
        <v/>
      </c>
    </row>
    <row r="681" customFormat="false" ht="15" hidden="false" customHeight="false" outlineLevel="0" collapsed="false">
      <c r="A681" s="3" t="s">
        <v>653</v>
      </c>
      <c r="B681" s="3" t="s">
        <v>57</v>
      </c>
      <c r="C681" s="3" t="s">
        <v>11</v>
      </c>
      <c r="D681" s="3" t="s">
        <v>12</v>
      </c>
      <c r="E681" s="3" t="s">
        <v>1765</v>
      </c>
      <c r="F681" s="3" t="s">
        <v>1403</v>
      </c>
      <c r="G681" s="3" t="n">
        <v>7000</v>
      </c>
      <c r="H681" s="3"/>
      <c r="I681" s="3" t="s">
        <v>1415</v>
      </c>
      <c r="J681" s="4" t="str">
        <f aca="false">IF(AND($A681&lt;&gt;"",$A681=Подбор!$C$4),MAX(J$1:J680)+1,"")</f>
        <v/>
      </c>
    </row>
    <row r="682" customFormat="false" ht="15" hidden="false" customHeight="false" outlineLevel="0" collapsed="false">
      <c r="A682" s="3" t="s">
        <v>654</v>
      </c>
      <c r="B682" s="3" t="s">
        <v>57</v>
      </c>
      <c r="C682" s="3" t="s">
        <v>11</v>
      </c>
      <c r="D682" s="3" t="s">
        <v>12</v>
      </c>
      <c r="E682" s="3" t="s">
        <v>1681</v>
      </c>
      <c r="F682" s="3" t="s">
        <v>1403</v>
      </c>
      <c r="G682" s="3" t="n">
        <v>1500</v>
      </c>
      <c r="H682" s="3"/>
      <c r="I682" s="3" t="s">
        <v>1415</v>
      </c>
      <c r="J682" s="4" t="str">
        <f aca="false">IF(AND($A682&lt;&gt;"",$A682=Подбор!$C$4),MAX(J$1:J681)+1,"")</f>
        <v/>
      </c>
    </row>
    <row r="683" customFormat="false" ht="15" hidden="false" customHeight="false" outlineLevel="0" collapsed="false">
      <c r="A683" s="3" t="s">
        <v>655</v>
      </c>
      <c r="B683" s="3" t="s">
        <v>57</v>
      </c>
      <c r="C683" s="3" t="s">
        <v>11</v>
      </c>
      <c r="D683" s="3" t="s">
        <v>12</v>
      </c>
      <c r="E683" s="3" t="s">
        <v>1456</v>
      </c>
      <c r="F683" s="3" t="s">
        <v>1403</v>
      </c>
      <c r="G683" s="3" t="n">
        <v>2200</v>
      </c>
      <c r="H683" s="3"/>
      <c r="I683" s="3" t="s">
        <v>1415</v>
      </c>
      <c r="J683" s="4" t="str">
        <f aca="false">IF(AND($A683&lt;&gt;"",$A683=Подбор!$C$4),MAX(J$1:J682)+1,"")</f>
        <v/>
      </c>
    </row>
    <row r="684" customFormat="false" ht="15" hidden="false" customHeight="false" outlineLevel="0" collapsed="false">
      <c r="A684" s="3" t="s">
        <v>656</v>
      </c>
      <c r="B684" s="3" t="s">
        <v>57</v>
      </c>
      <c r="C684" s="3" t="s">
        <v>11</v>
      </c>
      <c r="D684" s="3" t="s">
        <v>12</v>
      </c>
      <c r="E684" s="3" t="s">
        <v>1768</v>
      </c>
      <c r="F684" s="3" t="s">
        <v>1403</v>
      </c>
      <c r="G684" s="3" t="n">
        <v>3000</v>
      </c>
      <c r="H684" s="3"/>
      <c r="I684" s="3" t="s">
        <v>1415</v>
      </c>
      <c r="J684" s="4" t="str">
        <f aca="false">IF(AND($A684&lt;&gt;"",$A684=Подбор!$C$4),MAX(J$1:J683)+1,"")</f>
        <v/>
      </c>
    </row>
    <row r="685" customFormat="false" ht="15" hidden="false" customHeight="false" outlineLevel="0" collapsed="false">
      <c r="A685" s="3" t="s">
        <v>658</v>
      </c>
      <c r="B685" s="3" t="s">
        <v>57</v>
      </c>
      <c r="C685" s="3" t="s">
        <v>11</v>
      </c>
      <c r="D685" s="3" t="s">
        <v>12</v>
      </c>
      <c r="E685" s="3" t="s">
        <v>1769</v>
      </c>
      <c r="F685" s="3" t="s">
        <v>1403</v>
      </c>
      <c r="G685" s="3" t="n">
        <v>12000</v>
      </c>
      <c r="H685" s="3"/>
      <c r="I685" s="3" t="s">
        <v>1415</v>
      </c>
      <c r="J685" s="4" t="str">
        <f aca="false">IF(AND($A685&lt;&gt;"",$A685=Подбор!$C$4),MAX(J$1:J684)+1,"")</f>
        <v/>
      </c>
    </row>
    <row r="686" customFormat="false" ht="15" hidden="false" customHeight="false" outlineLevel="0" collapsed="false">
      <c r="A686" s="3" t="s">
        <v>658</v>
      </c>
      <c r="B686" s="3" t="s">
        <v>57</v>
      </c>
      <c r="C686" s="3" t="s">
        <v>11</v>
      </c>
      <c r="D686" s="3" t="s">
        <v>12</v>
      </c>
      <c r="E686" s="3" t="s">
        <v>1770</v>
      </c>
      <c r="F686" s="3" t="s">
        <v>1421</v>
      </c>
      <c r="G686" s="3" t="n">
        <v>12000</v>
      </c>
      <c r="H686" s="3"/>
      <c r="I686" s="3" t="s">
        <v>1415</v>
      </c>
      <c r="J686" s="4" t="str">
        <f aca="false">IF(AND($A686&lt;&gt;"",$A686=Подбор!$C$4),MAX(J$1:J685)+1,"")</f>
        <v/>
      </c>
    </row>
    <row r="687" customFormat="false" ht="15" hidden="false" customHeight="false" outlineLevel="0" collapsed="false">
      <c r="A687" s="3" t="s">
        <v>660</v>
      </c>
      <c r="B687" s="3" t="s">
        <v>57</v>
      </c>
      <c r="C687" s="3" t="s">
        <v>11</v>
      </c>
      <c r="D687" s="3" t="s">
        <v>12</v>
      </c>
      <c r="E687" s="3" t="s">
        <v>1681</v>
      </c>
      <c r="F687" s="3" t="s">
        <v>1403</v>
      </c>
      <c r="G687" s="3" t="n">
        <v>1500</v>
      </c>
      <c r="H687" s="3"/>
      <c r="I687" s="3" t="s">
        <v>1415</v>
      </c>
      <c r="J687" s="4" t="str">
        <f aca="false">IF(AND($A687&lt;&gt;"",$A687=Подбор!$C$4),MAX(J$1:J686)+1,"")</f>
        <v/>
      </c>
    </row>
    <row r="688" customFormat="false" ht="15" hidden="false" customHeight="false" outlineLevel="0" collapsed="false">
      <c r="A688" s="3" t="s">
        <v>661</v>
      </c>
      <c r="B688" s="3" t="s">
        <v>57</v>
      </c>
      <c r="C688" s="3" t="s">
        <v>11</v>
      </c>
      <c r="D688" s="3" t="s">
        <v>12</v>
      </c>
      <c r="E688" s="3" t="s">
        <v>1750</v>
      </c>
      <c r="F688" s="3" t="s">
        <v>1403</v>
      </c>
      <c r="G688" s="3" t="n">
        <v>25000</v>
      </c>
      <c r="H688" s="3"/>
      <c r="I688" s="3" t="s">
        <v>1415</v>
      </c>
      <c r="J688" s="4" t="str">
        <f aca="false">IF(AND($A688&lt;&gt;"",$A688=Подбор!$C$4),MAX(J$1:J687)+1,"")</f>
        <v/>
      </c>
    </row>
    <row r="689" customFormat="false" ht="15" hidden="false" customHeight="false" outlineLevel="0" collapsed="false">
      <c r="A689" s="3" t="s">
        <v>662</v>
      </c>
      <c r="B689" s="3" t="s">
        <v>57</v>
      </c>
      <c r="C689" s="3" t="s">
        <v>11</v>
      </c>
      <c r="D689" s="3" t="s">
        <v>12</v>
      </c>
      <c r="E689" s="3" t="s">
        <v>1750</v>
      </c>
      <c r="F689" s="3" t="s">
        <v>1403</v>
      </c>
      <c r="G689" s="3" t="n">
        <v>25000</v>
      </c>
      <c r="H689" s="3"/>
      <c r="I689" s="3" t="s">
        <v>1415</v>
      </c>
      <c r="J689" s="4" t="str">
        <f aca="false">IF(AND($A689&lt;&gt;"",$A689=Подбор!$C$4),MAX(J$1:J688)+1,"")</f>
        <v/>
      </c>
    </row>
    <row r="690" customFormat="false" ht="15" hidden="false" customHeight="false" outlineLevel="0" collapsed="false">
      <c r="A690" s="3" t="s">
        <v>663</v>
      </c>
      <c r="B690" s="3" t="s">
        <v>57</v>
      </c>
      <c r="C690" s="3" t="s">
        <v>11</v>
      </c>
      <c r="D690" s="3" t="s">
        <v>12</v>
      </c>
      <c r="E690" s="3" t="s">
        <v>1750</v>
      </c>
      <c r="F690" s="3" t="s">
        <v>1403</v>
      </c>
      <c r="G690" s="3" t="n">
        <v>25000</v>
      </c>
      <c r="H690" s="3"/>
      <c r="I690" s="3" t="s">
        <v>1415</v>
      </c>
      <c r="J690" s="4" t="str">
        <f aca="false">IF(AND($A690&lt;&gt;"",$A690=Подбор!$C$4),MAX(J$1:J689)+1,"")</f>
        <v/>
      </c>
    </row>
    <row r="691" customFormat="false" ht="15" hidden="false" customHeight="false" outlineLevel="0" collapsed="false">
      <c r="A691" s="3" t="s">
        <v>664</v>
      </c>
      <c r="B691" s="3" t="s">
        <v>57</v>
      </c>
      <c r="C691" s="3" t="s">
        <v>11</v>
      </c>
      <c r="D691" s="3" t="s">
        <v>12</v>
      </c>
      <c r="E691" s="3" t="s">
        <v>1771</v>
      </c>
      <c r="F691" s="3" t="s">
        <v>1403</v>
      </c>
      <c r="G691" s="3" t="n">
        <v>25000</v>
      </c>
      <c r="H691" s="3"/>
      <c r="I691" s="3" t="s">
        <v>1415</v>
      </c>
      <c r="J691" s="4" t="str">
        <f aca="false">IF(AND($A691&lt;&gt;"",$A691=Подбор!$C$4),MAX(J$1:J690)+1,"")</f>
        <v/>
      </c>
    </row>
    <row r="692" customFormat="false" ht="15" hidden="false" customHeight="false" outlineLevel="0" collapsed="false">
      <c r="A692" s="3" t="s">
        <v>666</v>
      </c>
      <c r="B692" s="3" t="s">
        <v>57</v>
      </c>
      <c r="C692" s="3" t="s">
        <v>11</v>
      </c>
      <c r="D692" s="3" t="s">
        <v>12</v>
      </c>
      <c r="E692" s="3" t="s">
        <v>1771</v>
      </c>
      <c r="F692" s="3" t="s">
        <v>1403</v>
      </c>
      <c r="G692" s="3" t="n">
        <v>25000</v>
      </c>
      <c r="H692" s="3"/>
      <c r="I692" s="3" t="s">
        <v>1415</v>
      </c>
      <c r="J692" s="4" t="str">
        <f aca="false">IF(AND($A692&lt;&gt;"",$A692=Подбор!$C$4),MAX(J$1:J691)+1,"")</f>
        <v/>
      </c>
    </row>
    <row r="693" customFormat="false" ht="15" hidden="false" customHeight="false" outlineLevel="0" collapsed="false">
      <c r="A693" s="3" t="s">
        <v>667</v>
      </c>
      <c r="B693" s="3" t="s">
        <v>57</v>
      </c>
      <c r="C693" s="3" t="s">
        <v>11</v>
      </c>
      <c r="D693" s="3" t="s">
        <v>12</v>
      </c>
      <c r="E693" s="3" t="s">
        <v>1714</v>
      </c>
      <c r="F693" s="3" t="s">
        <v>1403</v>
      </c>
      <c r="G693" s="3" t="n">
        <v>26000</v>
      </c>
      <c r="H693" s="3"/>
      <c r="I693" s="3" t="s">
        <v>1415</v>
      </c>
      <c r="J693" s="4" t="str">
        <f aca="false">IF(AND($A693&lt;&gt;"",$A693=Подбор!$C$4),MAX(J$1:J692)+1,"")</f>
        <v/>
      </c>
    </row>
    <row r="694" customFormat="false" ht="15" hidden="false" customHeight="false" outlineLevel="0" collapsed="false">
      <c r="A694" s="3" t="s">
        <v>668</v>
      </c>
      <c r="B694" s="3" t="s">
        <v>57</v>
      </c>
      <c r="C694" s="3" t="s">
        <v>11</v>
      </c>
      <c r="D694" s="3" t="s">
        <v>12</v>
      </c>
      <c r="E694" s="3" t="s">
        <v>1462</v>
      </c>
      <c r="F694" s="3" t="s">
        <v>1403</v>
      </c>
      <c r="G694" s="3" t="n">
        <v>1600</v>
      </c>
      <c r="H694" s="3"/>
      <c r="I694" s="3" t="s">
        <v>1415</v>
      </c>
      <c r="J694" s="4" t="str">
        <f aca="false">IF(AND($A694&lt;&gt;"",$A694=Подбор!$C$4),MAX(J$1:J693)+1,"")</f>
        <v/>
      </c>
    </row>
    <row r="695" customFormat="false" ht="15" hidden="false" customHeight="false" outlineLevel="0" collapsed="false">
      <c r="A695" s="3" t="s">
        <v>669</v>
      </c>
      <c r="B695" s="3" t="s">
        <v>57</v>
      </c>
      <c r="C695" s="3" t="s">
        <v>11</v>
      </c>
      <c r="D695" s="3" t="s">
        <v>12</v>
      </c>
      <c r="E695" s="3" t="s">
        <v>1772</v>
      </c>
      <c r="F695" s="3" t="s">
        <v>1403</v>
      </c>
      <c r="G695" s="3" t="n">
        <v>2100</v>
      </c>
      <c r="H695" s="3"/>
      <c r="I695" s="3" t="s">
        <v>1415</v>
      </c>
      <c r="J695" s="4" t="str">
        <f aca="false">IF(AND($A695&lt;&gt;"",$A695=Подбор!$C$4),MAX(J$1:J694)+1,"")</f>
        <v/>
      </c>
    </row>
    <row r="696" customFormat="false" ht="15" hidden="false" customHeight="false" outlineLevel="0" collapsed="false">
      <c r="A696" s="3" t="s">
        <v>671</v>
      </c>
      <c r="B696" s="3" t="s">
        <v>57</v>
      </c>
      <c r="C696" s="3" t="s">
        <v>11</v>
      </c>
      <c r="D696" s="3" t="s">
        <v>12</v>
      </c>
      <c r="E696" s="3" t="s">
        <v>1488</v>
      </c>
      <c r="F696" s="3" t="s">
        <v>1403</v>
      </c>
      <c r="G696" s="3" t="n">
        <v>25000</v>
      </c>
      <c r="H696" s="3"/>
      <c r="I696" s="3" t="s">
        <v>1415</v>
      </c>
      <c r="J696" s="4" t="str">
        <f aca="false">IF(AND($A696&lt;&gt;"",$A696=Подбор!$C$4),MAX(J$1:J695)+1,"")</f>
        <v/>
      </c>
    </row>
    <row r="697" customFormat="false" ht="15" hidden="false" customHeight="false" outlineLevel="0" collapsed="false">
      <c r="A697" s="3" t="s">
        <v>673</v>
      </c>
      <c r="B697" s="3" t="s">
        <v>57</v>
      </c>
      <c r="C697" s="3" t="s">
        <v>11</v>
      </c>
      <c r="D697" s="3" t="s">
        <v>12</v>
      </c>
      <c r="E697" s="3" t="s">
        <v>1534</v>
      </c>
      <c r="F697" s="3" t="s">
        <v>1403</v>
      </c>
      <c r="G697" s="3" t="n">
        <v>2000</v>
      </c>
      <c r="H697" s="3"/>
      <c r="I697" s="3" t="s">
        <v>1415</v>
      </c>
      <c r="J697" s="4" t="str">
        <f aca="false">IF(AND($A697&lt;&gt;"",$A697=Подбор!$C$4),MAX(J$1:J696)+1,"")</f>
        <v/>
      </c>
    </row>
    <row r="698" customFormat="false" ht="15" hidden="false" customHeight="false" outlineLevel="0" collapsed="false">
      <c r="A698" s="3" t="s">
        <v>674</v>
      </c>
      <c r="B698" s="3" t="s">
        <v>57</v>
      </c>
      <c r="C698" s="3" t="s">
        <v>11</v>
      </c>
      <c r="D698" s="3" t="s">
        <v>12</v>
      </c>
      <c r="E698" s="3" t="s">
        <v>1452</v>
      </c>
      <c r="F698" s="3" t="s">
        <v>1403</v>
      </c>
      <c r="G698" s="3" t="n">
        <v>2000</v>
      </c>
      <c r="H698" s="3"/>
      <c r="I698" s="3" t="s">
        <v>1415</v>
      </c>
      <c r="J698" s="4" t="str">
        <f aca="false">IF(AND($A698&lt;&gt;"",$A698=Подбор!$C$4),MAX(J$1:J697)+1,"")</f>
        <v/>
      </c>
    </row>
    <row r="699" customFormat="false" ht="15" hidden="false" customHeight="false" outlineLevel="0" collapsed="false">
      <c r="A699" s="3" t="s">
        <v>675</v>
      </c>
      <c r="B699" s="3" t="s">
        <v>57</v>
      </c>
      <c r="C699" s="3" t="s">
        <v>11</v>
      </c>
      <c r="D699" s="3" t="s">
        <v>12</v>
      </c>
      <c r="E699" s="3" t="s">
        <v>1452</v>
      </c>
      <c r="F699" s="3" t="s">
        <v>1403</v>
      </c>
      <c r="G699" s="3" t="n">
        <v>2000</v>
      </c>
      <c r="H699" s="3"/>
      <c r="I699" s="3" t="s">
        <v>1415</v>
      </c>
      <c r="J699" s="4" t="str">
        <f aca="false">IF(AND($A699&lt;&gt;"",$A699=Подбор!$C$4),MAX(J$1:J698)+1,"")</f>
        <v/>
      </c>
    </row>
    <row r="700" customFormat="false" ht="15" hidden="false" customHeight="false" outlineLevel="0" collapsed="false">
      <c r="A700" s="3" t="s">
        <v>676</v>
      </c>
      <c r="B700" s="3" t="s">
        <v>57</v>
      </c>
      <c r="C700" s="3" t="s">
        <v>11</v>
      </c>
      <c r="D700" s="3" t="s">
        <v>12</v>
      </c>
      <c r="E700" s="3" t="s">
        <v>1452</v>
      </c>
      <c r="F700" s="3" t="s">
        <v>1403</v>
      </c>
      <c r="G700" s="3" t="n">
        <v>2000</v>
      </c>
      <c r="H700" s="3"/>
      <c r="I700" s="3" t="s">
        <v>1415</v>
      </c>
      <c r="J700" s="4" t="str">
        <f aca="false">IF(AND($A700&lt;&gt;"",$A700=Подбор!$C$4),MAX(J$1:J699)+1,"")</f>
        <v/>
      </c>
    </row>
    <row r="701" customFormat="false" ht="15" hidden="false" customHeight="false" outlineLevel="0" collapsed="false">
      <c r="A701" s="3" t="s">
        <v>677</v>
      </c>
      <c r="B701" s="3" t="s">
        <v>57</v>
      </c>
      <c r="C701" s="3" t="s">
        <v>11</v>
      </c>
      <c r="D701" s="3" t="s">
        <v>12</v>
      </c>
      <c r="E701" s="3" t="s">
        <v>1773</v>
      </c>
      <c r="F701" s="3" t="s">
        <v>1403</v>
      </c>
      <c r="G701" s="3" t="n">
        <v>2500</v>
      </c>
      <c r="H701" s="3"/>
      <c r="I701" s="3" t="s">
        <v>1415</v>
      </c>
      <c r="J701" s="4" t="str">
        <f aca="false">IF(AND($A701&lt;&gt;"",$A701=Подбор!$C$4),MAX(J$1:J700)+1,"")</f>
        <v/>
      </c>
    </row>
    <row r="702" customFormat="false" ht="15" hidden="false" customHeight="false" outlineLevel="0" collapsed="false">
      <c r="A702" s="3" t="s">
        <v>679</v>
      </c>
      <c r="B702" s="3" t="s">
        <v>57</v>
      </c>
      <c r="C702" s="3" t="s">
        <v>11</v>
      </c>
      <c r="D702" s="3" t="s">
        <v>12</v>
      </c>
      <c r="E702" s="3" t="s">
        <v>1774</v>
      </c>
      <c r="F702" s="3" t="s">
        <v>1403</v>
      </c>
      <c r="G702" s="3" t="n">
        <v>12000</v>
      </c>
      <c r="H702" s="3"/>
      <c r="I702" s="3" t="s">
        <v>1415</v>
      </c>
      <c r="J702" s="4" t="str">
        <f aca="false">IF(AND($A702&lt;&gt;"",$A702=Подбор!$C$4),MAX(J$1:J701)+1,"")</f>
        <v/>
      </c>
    </row>
    <row r="703" customFormat="false" ht="15" hidden="false" customHeight="false" outlineLevel="0" collapsed="false">
      <c r="A703" s="3" t="s">
        <v>679</v>
      </c>
      <c r="B703" s="3" t="s">
        <v>57</v>
      </c>
      <c r="C703" s="3" t="s">
        <v>11</v>
      </c>
      <c r="D703" s="3" t="s">
        <v>12</v>
      </c>
      <c r="E703" s="3" t="s">
        <v>1775</v>
      </c>
      <c r="F703" s="3" t="s">
        <v>1421</v>
      </c>
      <c r="G703" s="3" t="n">
        <v>12000</v>
      </c>
      <c r="H703" s="3"/>
      <c r="I703" s="3" t="s">
        <v>1415</v>
      </c>
      <c r="J703" s="4" t="str">
        <f aca="false">IF(AND($A703&lt;&gt;"",$A703=Подбор!$C$4),MAX(J$1:J702)+1,"")</f>
        <v/>
      </c>
    </row>
    <row r="704" customFormat="false" ht="15" hidden="false" customHeight="false" outlineLevel="0" collapsed="false">
      <c r="A704" s="3" t="s">
        <v>681</v>
      </c>
      <c r="B704" s="3" t="s">
        <v>57</v>
      </c>
      <c r="C704" s="3" t="s">
        <v>11</v>
      </c>
      <c r="D704" s="3" t="s">
        <v>12</v>
      </c>
      <c r="E704" s="3" t="s">
        <v>1776</v>
      </c>
      <c r="F704" s="3" t="s">
        <v>1403</v>
      </c>
      <c r="G704" s="3" t="n">
        <v>13000</v>
      </c>
      <c r="H704" s="3"/>
      <c r="I704" s="3" t="s">
        <v>1415</v>
      </c>
      <c r="J704" s="4" t="str">
        <f aca="false">IF(AND($A704&lt;&gt;"",$A704=Подбор!$C$4),MAX(J$1:J703)+1,"")</f>
        <v/>
      </c>
    </row>
    <row r="705" customFormat="false" ht="15" hidden="false" customHeight="false" outlineLevel="0" collapsed="false">
      <c r="A705" s="3" t="s">
        <v>683</v>
      </c>
      <c r="B705" s="3" t="s">
        <v>57</v>
      </c>
      <c r="C705" s="3" t="s">
        <v>11</v>
      </c>
      <c r="D705" s="3" t="s">
        <v>12</v>
      </c>
      <c r="E705" s="3" t="s">
        <v>1498</v>
      </c>
      <c r="F705" s="3" t="s">
        <v>1403</v>
      </c>
      <c r="G705" s="3" t="n">
        <v>6500</v>
      </c>
      <c r="H705" s="3"/>
      <c r="I705" s="3" t="s">
        <v>1415</v>
      </c>
      <c r="J705" s="4" t="str">
        <f aca="false">IF(AND($A705&lt;&gt;"",$A705=Подбор!$C$4),MAX(J$1:J704)+1,"")</f>
        <v/>
      </c>
    </row>
    <row r="706" customFormat="false" ht="15" hidden="false" customHeight="false" outlineLevel="0" collapsed="false">
      <c r="A706" s="3" t="s">
        <v>684</v>
      </c>
      <c r="B706" s="3" t="s">
        <v>57</v>
      </c>
      <c r="C706" s="3" t="s">
        <v>11</v>
      </c>
      <c r="D706" s="3" t="s">
        <v>12</v>
      </c>
      <c r="E706" s="3" t="s">
        <v>1433</v>
      </c>
      <c r="F706" s="3" t="s">
        <v>1403</v>
      </c>
      <c r="G706" s="3"/>
      <c r="H706" s="3"/>
      <c r="I706" s="3"/>
      <c r="J706" s="4" t="str">
        <f aca="false">IF(AND($A706&lt;&gt;"",$A706=Подбор!$C$4),MAX(J$1:J705)+1,"")</f>
        <v/>
      </c>
    </row>
    <row r="707" customFormat="false" ht="15" hidden="false" customHeight="false" outlineLevel="0" collapsed="false">
      <c r="A707" s="3" t="s">
        <v>684</v>
      </c>
      <c r="B707" s="3" t="s">
        <v>57</v>
      </c>
      <c r="C707" s="3" t="s">
        <v>11</v>
      </c>
      <c r="D707" s="3" t="s">
        <v>12</v>
      </c>
      <c r="E707" s="3" t="s">
        <v>1434</v>
      </c>
      <c r="F707" s="3" t="s">
        <v>1421</v>
      </c>
      <c r="G707" s="3"/>
      <c r="H707" s="3"/>
      <c r="I707" s="3"/>
      <c r="J707" s="4" t="str">
        <f aca="false">IF(AND($A707&lt;&gt;"",$A707=Подбор!$C$4),MAX(J$1:J706)+1,"")</f>
        <v/>
      </c>
    </row>
    <row r="708" customFormat="false" ht="15" hidden="false" customHeight="false" outlineLevel="0" collapsed="false">
      <c r="A708" s="3" t="s">
        <v>684</v>
      </c>
      <c r="B708" s="3" t="s">
        <v>57</v>
      </c>
      <c r="C708" s="3" t="s">
        <v>14</v>
      </c>
      <c r="D708" s="3" t="s">
        <v>15</v>
      </c>
      <c r="E708" s="3" t="s">
        <v>1436</v>
      </c>
      <c r="F708" s="3" t="s">
        <v>1403</v>
      </c>
      <c r="G708" s="3" t="n">
        <v>23000</v>
      </c>
      <c r="H708" s="3"/>
      <c r="I708" s="3" t="s">
        <v>1415</v>
      </c>
      <c r="J708" s="4" t="str">
        <f aca="false">IF(AND($A708&lt;&gt;"",$A708=Подбор!$C$4),MAX(J$1:J707)+1,"")</f>
        <v/>
      </c>
    </row>
    <row r="709" customFormat="false" ht="15" hidden="false" customHeight="false" outlineLevel="0" collapsed="false">
      <c r="A709" s="3" t="s">
        <v>686</v>
      </c>
      <c r="B709" s="3" t="s">
        <v>57</v>
      </c>
      <c r="C709" s="3" t="s">
        <v>11</v>
      </c>
      <c r="D709" s="3" t="s">
        <v>12</v>
      </c>
      <c r="E709" s="3" t="s">
        <v>1777</v>
      </c>
      <c r="F709" s="3" t="s">
        <v>1403</v>
      </c>
      <c r="G709" s="3" t="n">
        <v>2400</v>
      </c>
      <c r="H709" s="3"/>
      <c r="I709" s="3" t="s">
        <v>1415</v>
      </c>
      <c r="J709" s="4" t="str">
        <f aca="false">IF(AND($A709&lt;&gt;"",$A709=Подбор!$C$4),MAX(J$1:J708)+1,"")</f>
        <v/>
      </c>
    </row>
    <row r="710" customFormat="false" ht="15" hidden="false" customHeight="false" outlineLevel="0" collapsed="false">
      <c r="A710" s="3" t="s">
        <v>686</v>
      </c>
      <c r="B710" s="3" t="s">
        <v>57</v>
      </c>
      <c r="C710" s="3" t="s">
        <v>11</v>
      </c>
      <c r="D710" s="3" t="s">
        <v>21</v>
      </c>
      <c r="E710" s="3" t="s">
        <v>1778</v>
      </c>
      <c r="F710" s="3" t="s">
        <v>1403</v>
      </c>
      <c r="G710" s="3" t="n">
        <v>2100</v>
      </c>
      <c r="H710" s="3"/>
      <c r="I710" s="3" t="s">
        <v>1415</v>
      </c>
      <c r="J710" s="4" t="str">
        <f aca="false">IF(AND($A710&lt;&gt;"",$A710=Подбор!$C$4),MAX(J$1:J709)+1,"")</f>
        <v/>
      </c>
    </row>
    <row r="711" customFormat="false" ht="15" hidden="false" customHeight="false" outlineLevel="0" collapsed="false">
      <c r="A711" s="3" t="s">
        <v>686</v>
      </c>
      <c r="B711" s="3" t="s">
        <v>57</v>
      </c>
      <c r="C711" s="3" t="s">
        <v>11</v>
      </c>
      <c r="D711" s="3" t="s">
        <v>23</v>
      </c>
      <c r="E711" s="3" t="s">
        <v>1779</v>
      </c>
      <c r="F711" s="3" t="s">
        <v>1403</v>
      </c>
      <c r="G711" s="3" t="n">
        <v>2100</v>
      </c>
      <c r="H711" s="3"/>
      <c r="I711" s="3" t="s">
        <v>1415</v>
      </c>
      <c r="J711" s="4" t="str">
        <f aca="false">IF(AND($A711&lt;&gt;"",$A711=Подбор!$C$4),MAX(J$1:J710)+1,"")</f>
        <v/>
      </c>
    </row>
    <row r="712" customFormat="false" ht="15" hidden="false" customHeight="false" outlineLevel="0" collapsed="false">
      <c r="A712" s="3" t="s">
        <v>686</v>
      </c>
      <c r="B712" s="3" t="s">
        <v>57</v>
      </c>
      <c r="C712" s="3" t="s">
        <v>11</v>
      </c>
      <c r="D712" s="3" t="s">
        <v>25</v>
      </c>
      <c r="E712" s="3" t="s">
        <v>1780</v>
      </c>
      <c r="F712" s="3" t="s">
        <v>1403</v>
      </c>
      <c r="G712" s="3" t="n">
        <v>2100</v>
      </c>
      <c r="H712" s="3"/>
      <c r="I712" s="3" t="s">
        <v>1415</v>
      </c>
      <c r="J712" s="4" t="str">
        <f aca="false">IF(AND($A712&lt;&gt;"",$A712=Подбор!$C$4),MAX(J$1:J711)+1,"")</f>
        <v/>
      </c>
    </row>
    <row r="713" customFormat="false" ht="15" hidden="false" customHeight="false" outlineLevel="0" collapsed="false">
      <c r="A713" s="3" t="s">
        <v>691</v>
      </c>
      <c r="B713" s="3" t="s">
        <v>57</v>
      </c>
      <c r="C713" s="3" t="s">
        <v>11</v>
      </c>
      <c r="D713" s="3" t="s">
        <v>12</v>
      </c>
      <c r="E713" s="3" t="s">
        <v>1451</v>
      </c>
      <c r="F713" s="3" t="s">
        <v>1421</v>
      </c>
      <c r="G713" s="3" t="n">
        <v>18000</v>
      </c>
      <c r="H713" s="3"/>
      <c r="I713" s="3" t="s">
        <v>1415</v>
      </c>
      <c r="J713" s="4" t="str">
        <f aca="false">IF(AND($A713&lt;&gt;"",$A713=Подбор!$C$4),MAX(J$1:J712)+1,"")</f>
        <v/>
      </c>
    </row>
    <row r="714" customFormat="false" ht="15" hidden="false" customHeight="false" outlineLevel="0" collapsed="false">
      <c r="A714" s="3" t="s">
        <v>692</v>
      </c>
      <c r="B714" s="3" t="s">
        <v>57</v>
      </c>
      <c r="C714" s="3" t="s">
        <v>11</v>
      </c>
      <c r="D714" s="3" t="s">
        <v>12</v>
      </c>
      <c r="E714" s="3" t="s">
        <v>1781</v>
      </c>
      <c r="F714" s="3" t="s">
        <v>1417</v>
      </c>
      <c r="G714" s="3" t="n">
        <v>2500</v>
      </c>
      <c r="H714" s="3"/>
      <c r="I714" s="3" t="s">
        <v>1415</v>
      </c>
      <c r="J714" s="4" t="str">
        <f aca="false">IF(AND($A714&lt;&gt;"",$A714=Подбор!$C$4),MAX(J$1:J713)+1,"")</f>
        <v/>
      </c>
    </row>
    <row r="715" customFormat="false" ht="15" hidden="false" customHeight="false" outlineLevel="0" collapsed="false">
      <c r="A715" s="3" t="s">
        <v>694</v>
      </c>
      <c r="B715" s="3" t="s">
        <v>57</v>
      </c>
      <c r="C715" s="3" t="s">
        <v>11</v>
      </c>
      <c r="D715" s="3" t="s">
        <v>12</v>
      </c>
      <c r="E715" s="3" t="s">
        <v>1781</v>
      </c>
      <c r="F715" s="3" t="s">
        <v>1417</v>
      </c>
      <c r="G715" s="3" t="n">
        <v>2500</v>
      </c>
      <c r="H715" s="3"/>
      <c r="I715" s="3" t="s">
        <v>1415</v>
      </c>
      <c r="J715" s="4" t="str">
        <f aca="false">IF(AND($A715&lt;&gt;"",$A715=Подбор!$C$4),MAX(J$1:J714)+1,"")</f>
        <v/>
      </c>
    </row>
    <row r="716" customFormat="false" ht="15" hidden="false" customHeight="false" outlineLevel="0" collapsed="false">
      <c r="A716" s="3" t="s">
        <v>695</v>
      </c>
      <c r="B716" s="3" t="s">
        <v>57</v>
      </c>
      <c r="C716" s="3" t="s">
        <v>11</v>
      </c>
      <c r="D716" s="3" t="s">
        <v>12</v>
      </c>
      <c r="E716" s="3" t="s">
        <v>1781</v>
      </c>
      <c r="F716" s="3" t="s">
        <v>1417</v>
      </c>
      <c r="G716" s="3" t="n">
        <v>2500</v>
      </c>
      <c r="H716" s="3"/>
      <c r="I716" s="3" t="s">
        <v>1415</v>
      </c>
      <c r="J716" s="4" t="str">
        <f aca="false">IF(AND($A716&lt;&gt;"",$A716=Подбор!$C$4),MAX(J$1:J715)+1,"")</f>
        <v/>
      </c>
    </row>
    <row r="717" customFormat="false" ht="15" hidden="false" customHeight="false" outlineLevel="0" collapsed="false">
      <c r="A717" s="3" t="s">
        <v>696</v>
      </c>
      <c r="B717" s="3" t="s">
        <v>57</v>
      </c>
      <c r="C717" s="3" t="s">
        <v>11</v>
      </c>
      <c r="D717" s="3" t="s">
        <v>12</v>
      </c>
      <c r="E717" s="3" t="s">
        <v>1433</v>
      </c>
      <c r="F717" s="3" t="s">
        <v>1403</v>
      </c>
      <c r="G717" s="3"/>
      <c r="H717" s="3"/>
      <c r="I717" s="3"/>
      <c r="J717" s="4" t="str">
        <f aca="false">IF(AND($A717&lt;&gt;"",$A717=Подбор!$C$4),MAX(J$1:J716)+1,"")</f>
        <v/>
      </c>
    </row>
    <row r="718" customFormat="false" ht="15" hidden="false" customHeight="false" outlineLevel="0" collapsed="false">
      <c r="A718" s="3" t="s">
        <v>696</v>
      </c>
      <c r="B718" s="3" t="s">
        <v>57</v>
      </c>
      <c r="C718" s="3" t="s">
        <v>14</v>
      </c>
      <c r="D718" s="3" t="s">
        <v>15</v>
      </c>
      <c r="E718" s="3" t="s">
        <v>1436</v>
      </c>
      <c r="F718" s="3" t="s">
        <v>1403</v>
      </c>
      <c r="G718" s="3" t="n">
        <v>23000</v>
      </c>
      <c r="H718" s="3"/>
      <c r="I718" s="3" t="s">
        <v>1415</v>
      </c>
      <c r="J718" s="4" t="str">
        <f aca="false">IF(AND($A718&lt;&gt;"",$A718=Подбор!$C$4),MAX(J$1:J717)+1,"")</f>
        <v/>
      </c>
    </row>
    <row r="719" customFormat="false" ht="15" hidden="false" customHeight="false" outlineLevel="0" collapsed="false">
      <c r="A719" s="3" t="s">
        <v>697</v>
      </c>
      <c r="B719" s="3" t="s">
        <v>57</v>
      </c>
      <c r="C719" s="3" t="s">
        <v>11</v>
      </c>
      <c r="D719" s="3" t="s">
        <v>12</v>
      </c>
      <c r="E719" s="3" t="s">
        <v>1782</v>
      </c>
      <c r="F719" s="3" t="s">
        <v>1417</v>
      </c>
      <c r="G719" s="3" t="n">
        <v>13500</v>
      </c>
      <c r="H719" s="3"/>
      <c r="I719" s="3" t="s">
        <v>1415</v>
      </c>
      <c r="J719" s="4" t="str">
        <f aca="false">IF(AND($A719&lt;&gt;"",$A719=Подбор!$C$4),MAX(J$1:J718)+1,"")</f>
        <v/>
      </c>
    </row>
    <row r="720" customFormat="false" ht="15" hidden="false" customHeight="false" outlineLevel="0" collapsed="false">
      <c r="A720" s="3" t="s">
        <v>698</v>
      </c>
      <c r="B720" s="3" t="s">
        <v>57</v>
      </c>
      <c r="C720" s="3" t="s">
        <v>11</v>
      </c>
      <c r="D720" s="3" t="s">
        <v>12</v>
      </c>
      <c r="E720" s="3" t="s">
        <v>1783</v>
      </c>
      <c r="F720" s="3" t="s">
        <v>1403</v>
      </c>
      <c r="G720" s="3" t="n">
        <v>6000</v>
      </c>
      <c r="H720" s="3"/>
      <c r="I720" s="3" t="s">
        <v>1415</v>
      </c>
      <c r="J720" s="4" t="str">
        <f aca="false">IF(AND($A720&lt;&gt;"",$A720=Подбор!$C$4),MAX(J$1:J719)+1,"")</f>
        <v/>
      </c>
    </row>
    <row r="721" customFormat="false" ht="15" hidden="false" customHeight="false" outlineLevel="0" collapsed="false">
      <c r="A721" s="3" t="s">
        <v>700</v>
      </c>
      <c r="B721" s="3" t="s">
        <v>57</v>
      </c>
      <c r="C721" s="3" t="s">
        <v>11</v>
      </c>
      <c r="D721" s="3" t="s">
        <v>12</v>
      </c>
      <c r="E721" s="3" t="s">
        <v>1783</v>
      </c>
      <c r="F721" s="3" t="s">
        <v>1403</v>
      </c>
      <c r="G721" s="3" t="n">
        <v>6000</v>
      </c>
      <c r="H721" s="3"/>
      <c r="I721" s="3" t="s">
        <v>1415</v>
      </c>
      <c r="J721" s="4" t="str">
        <f aca="false">IF(AND($A721&lt;&gt;"",$A721=Подбор!$C$4),MAX(J$1:J720)+1,"")</f>
        <v/>
      </c>
    </row>
    <row r="722" customFormat="false" ht="15" hidden="false" customHeight="false" outlineLevel="0" collapsed="false">
      <c r="A722" s="3" t="s">
        <v>701</v>
      </c>
      <c r="B722" s="3" t="s">
        <v>57</v>
      </c>
      <c r="C722" s="3" t="s">
        <v>11</v>
      </c>
      <c r="D722" s="3" t="s">
        <v>12</v>
      </c>
      <c r="E722" s="3" t="s">
        <v>1783</v>
      </c>
      <c r="F722" s="3" t="s">
        <v>1403</v>
      </c>
      <c r="G722" s="3" t="n">
        <v>6000</v>
      </c>
      <c r="H722" s="3"/>
      <c r="I722" s="3" t="s">
        <v>1415</v>
      </c>
      <c r="J722" s="4" t="str">
        <f aca="false">IF(AND($A722&lt;&gt;"",$A722=Подбор!$C$4),MAX(J$1:J721)+1,"")</f>
        <v/>
      </c>
    </row>
    <row r="723" customFormat="false" ht="15" hidden="false" customHeight="false" outlineLevel="0" collapsed="false">
      <c r="A723" s="3" t="s">
        <v>702</v>
      </c>
      <c r="B723" s="3" t="s">
        <v>57</v>
      </c>
      <c r="C723" s="3" t="s">
        <v>11</v>
      </c>
      <c r="D723" s="3" t="s">
        <v>12</v>
      </c>
      <c r="E723" s="3" t="s">
        <v>1783</v>
      </c>
      <c r="F723" s="3" t="s">
        <v>1403</v>
      </c>
      <c r="G723" s="3" t="n">
        <v>6000</v>
      </c>
      <c r="H723" s="3"/>
      <c r="I723" s="3" t="s">
        <v>1415</v>
      </c>
      <c r="J723" s="4" t="str">
        <f aca="false">IF(AND($A723&lt;&gt;"",$A723=Подбор!$C$4),MAX(J$1:J722)+1,"")</f>
        <v/>
      </c>
    </row>
    <row r="724" customFormat="false" ht="15" hidden="false" customHeight="false" outlineLevel="0" collapsed="false">
      <c r="A724" s="3" t="s">
        <v>703</v>
      </c>
      <c r="B724" s="3" t="s">
        <v>57</v>
      </c>
      <c r="C724" s="3" t="s">
        <v>11</v>
      </c>
      <c r="D724" s="3" t="s">
        <v>12</v>
      </c>
      <c r="E724" s="3" t="s">
        <v>1784</v>
      </c>
      <c r="F724" s="3" t="s">
        <v>1403</v>
      </c>
      <c r="G724" s="3" t="n">
        <v>6000</v>
      </c>
      <c r="H724" s="3"/>
      <c r="I724" s="3" t="s">
        <v>1415</v>
      </c>
      <c r="J724" s="4" t="str">
        <f aca="false">IF(AND($A724&lt;&gt;"",$A724=Подбор!$C$4),MAX(J$1:J723)+1,"")</f>
        <v/>
      </c>
    </row>
    <row r="725" customFormat="false" ht="15" hidden="false" customHeight="false" outlineLevel="0" collapsed="false">
      <c r="A725" s="3" t="s">
        <v>705</v>
      </c>
      <c r="B725" s="3" t="s">
        <v>57</v>
      </c>
      <c r="C725" s="3" t="s">
        <v>11</v>
      </c>
      <c r="D725" s="3" t="s">
        <v>12</v>
      </c>
      <c r="E725" s="3" t="s">
        <v>1752</v>
      </c>
      <c r="F725" s="3" t="s">
        <v>1403</v>
      </c>
      <c r="G725" s="3"/>
      <c r="H725" s="3"/>
      <c r="I725" s="3"/>
      <c r="J725" s="4" t="str">
        <f aca="false">IF(AND($A725&lt;&gt;"",$A725=Подбор!$C$4),MAX(J$1:J724)+1,"")</f>
        <v/>
      </c>
    </row>
    <row r="726" customFormat="false" ht="15" hidden="false" customHeight="false" outlineLevel="0" collapsed="false">
      <c r="A726" s="3" t="s">
        <v>706</v>
      </c>
      <c r="B726" s="3" t="s">
        <v>57</v>
      </c>
      <c r="C726" s="3" t="s">
        <v>11</v>
      </c>
      <c r="D726" s="3" t="s">
        <v>12</v>
      </c>
      <c r="E726" s="3" t="s">
        <v>1785</v>
      </c>
      <c r="F726" s="3" t="s">
        <v>1403</v>
      </c>
      <c r="G726" s="3" t="n">
        <v>24000</v>
      </c>
      <c r="H726" s="3"/>
      <c r="I726" s="3" t="s">
        <v>1415</v>
      </c>
      <c r="J726" s="4" t="str">
        <f aca="false">IF(AND($A726&lt;&gt;"",$A726=Подбор!$C$4),MAX(J$1:J725)+1,"")</f>
        <v/>
      </c>
    </row>
    <row r="727" customFormat="false" ht="15" hidden="false" customHeight="false" outlineLevel="0" collapsed="false">
      <c r="A727" s="3" t="s">
        <v>708</v>
      </c>
      <c r="B727" s="3" t="s">
        <v>57</v>
      </c>
      <c r="C727" s="3" t="s">
        <v>11</v>
      </c>
      <c r="D727" s="3" t="s">
        <v>12</v>
      </c>
      <c r="E727" s="3" t="s">
        <v>1785</v>
      </c>
      <c r="F727" s="3" t="s">
        <v>1403</v>
      </c>
      <c r="G727" s="3" t="n">
        <v>24000</v>
      </c>
      <c r="H727" s="3"/>
      <c r="I727" s="3" t="s">
        <v>1415</v>
      </c>
      <c r="J727" s="4" t="str">
        <f aca="false">IF(AND($A727&lt;&gt;"",$A727=Подбор!$C$4),MAX(J$1:J726)+1,"")</f>
        <v/>
      </c>
    </row>
    <row r="728" customFormat="false" ht="15" hidden="false" customHeight="false" outlineLevel="0" collapsed="false">
      <c r="A728" s="3" t="s">
        <v>709</v>
      </c>
      <c r="B728" s="3" t="s">
        <v>57</v>
      </c>
      <c r="C728" s="3" t="s">
        <v>11</v>
      </c>
      <c r="D728" s="3" t="s">
        <v>12</v>
      </c>
      <c r="E728" s="3" t="s">
        <v>1786</v>
      </c>
      <c r="F728" s="3" t="s">
        <v>1403</v>
      </c>
      <c r="G728" s="3" t="n">
        <v>10000</v>
      </c>
      <c r="H728" s="3"/>
      <c r="I728" s="3" t="s">
        <v>1415</v>
      </c>
      <c r="J728" s="4" t="str">
        <f aca="false">IF(AND($A728&lt;&gt;"",$A728=Подбор!$C$4),MAX(J$1:J727)+1,"")</f>
        <v/>
      </c>
    </row>
    <row r="729" customFormat="false" ht="15" hidden="false" customHeight="false" outlineLevel="0" collapsed="false">
      <c r="A729" s="3" t="s">
        <v>711</v>
      </c>
      <c r="B729" s="3" t="s">
        <v>57</v>
      </c>
      <c r="C729" s="3" t="s">
        <v>11</v>
      </c>
      <c r="D729" s="3" t="s">
        <v>12</v>
      </c>
      <c r="E729" s="3" t="s">
        <v>1786</v>
      </c>
      <c r="F729" s="3" t="s">
        <v>1403</v>
      </c>
      <c r="G729" s="3" t="n">
        <v>10000</v>
      </c>
      <c r="H729" s="3"/>
      <c r="I729" s="3" t="s">
        <v>1415</v>
      </c>
      <c r="J729" s="4" t="str">
        <f aca="false">IF(AND($A729&lt;&gt;"",$A729=Подбор!$C$4),MAX(J$1:J728)+1,"")</f>
        <v/>
      </c>
    </row>
    <row r="730" customFormat="false" ht="15" hidden="false" customHeight="false" outlineLevel="0" collapsed="false">
      <c r="A730" s="3" t="s">
        <v>712</v>
      </c>
      <c r="B730" s="3" t="s">
        <v>57</v>
      </c>
      <c r="C730" s="3" t="s">
        <v>11</v>
      </c>
      <c r="D730" s="3" t="s">
        <v>12</v>
      </c>
      <c r="E730" s="3" t="s">
        <v>1786</v>
      </c>
      <c r="F730" s="3" t="s">
        <v>1403</v>
      </c>
      <c r="G730" s="3" t="n">
        <v>10000</v>
      </c>
      <c r="H730" s="3"/>
      <c r="I730" s="3" t="s">
        <v>1415</v>
      </c>
      <c r="J730" s="4" t="str">
        <f aca="false">IF(AND($A730&lt;&gt;"",$A730=Подбор!$C$4),MAX(J$1:J729)+1,"")</f>
        <v/>
      </c>
    </row>
    <row r="731" customFormat="false" ht="15" hidden="false" customHeight="false" outlineLevel="0" collapsed="false">
      <c r="A731" s="3" t="s">
        <v>713</v>
      </c>
      <c r="B731" s="3" t="s">
        <v>57</v>
      </c>
      <c r="C731" s="3" t="s">
        <v>11</v>
      </c>
      <c r="D731" s="3" t="s">
        <v>12</v>
      </c>
      <c r="E731" s="3" t="s">
        <v>1786</v>
      </c>
      <c r="F731" s="3" t="s">
        <v>1403</v>
      </c>
      <c r="G731" s="3" t="n">
        <v>10000</v>
      </c>
      <c r="H731" s="3"/>
      <c r="I731" s="3" t="s">
        <v>1415</v>
      </c>
      <c r="J731" s="4" t="str">
        <f aca="false">IF(AND($A731&lt;&gt;"",$A731=Подбор!$C$4),MAX(J$1:J730)+1,"")</f>
        <v/>
      </c>
    </row>
    <row r="732" customFormat="false" ht="15" hidden="false" customHeight="false" outlineLevel="0" collapsed="false">
      <c r="A732" s="3" t="s">
        <v>714</v>
      </c>
      <c r="B732" s="3" t="s">
        <v>57</v>
      </c>
      <c r="C732" s="3" t="s">
        <v>11</v>
      </c>
      <c r="D732" s="3" t="s">
        <v>12</v>
      </c>
      <c r="E732" s="3" t="s">
        <v>1787</v>
      </c>
      <c r="F732" s="3" t="s">
        <v>1403</v>
      </c>
      <c r="G732" s="3" t="n">
        <v>11500</v>
      </c>
      <c r="H732" s="3"/>
      <c r="I732" s="3" t="s">
        <v>1415</v>
      </c>
      <c r="J732" s="4" t="str">
        <f aca="false">IF(AND($A732&lt;&gt;"",$A732=Подбор!$C$4),MAX(J$1:J731)+1,"")</f>
        <v/>
      </c>
    </row>
    <row r="733" customFormat="false" ht="15" hidden="false" customHeight="false" outlineLevel="0" collapsed="false">
      <c r="A733" s="3" t="s">
        <v>716</v>
      </c>
      <c r="B733" s="3" t="s">
        <v>57</v>
      </c>
      <c r="C733" s="3" t="s">
        <v>11</v>
      </c>
      <c r="D733" s="3" t="s">
        <v>12</v>
      </c>
      <c r="E733" s="3" t="s">
        <v>1788</v>
      </c>
      <c r="F733" s="3" t="s">
        <v>1403</v>
      </c>
      <c r="G733" s="3" t="n">
        <v>10500</v>
      </c>
      <c r="H733" s="3"/>
      <c r="I733" s="3" t="s">
        <v>1415</v>
      </c>
      <c r="J733" s="4" t="str">
        <f aca="false">IF(AND($A733&lt;&gt;"",$A733=Подбор!$C$4),MAX(J$1:J732)+1,"")</f>
        <v/>
      </c>
    </row>
    <row r="734" customFormat="false" ht="15" hidden="false" customHeight="false" outlineLevel="0" collapsed="false">
      <c r="A734" s="3" t="s">
        <v>717</v>
      </c>
      <c r="B734" s="3" t="s">
        <v>57</v>
      </c>
      <c r="C734" s="3" t="s">
        <v>11</v>
      </c>
      <c r="D734" s="3" t="s">
        <v>12</v>
      </c>
      <c r="E734" s="3" t="s">
        <v>1789</v>
      </c>
      <c r="F734" s="3" t="s">
        <v>1403</v>
      </c>
      <c r="G734" s="3" t="n">
        <v>6000</v>
      </c>
      <c r="H734" s="3"/>
      <c r="I734" s="3" t="s">
        <v>1415</v>
      </c>
      <c r="J734" s="4" t="str">
        <f aca="false">IF(AND($A734&lt;&gt;"",$A734=Подбор!$C$4),MAX(J$1:J733)+1,"")</f>
        <v/>
      </c>
    </row>
    <row r="735" customFormat="false" ht="15" hidden="false" customHeight="false" outlineLevel="0" collapsed="false">
      <c r="A735" s="3" t="s">
        <v>718</v>
      </c>
      <c r="B735" s="3" t="s">
        <v>57</v>
      </c>
      <c r="C735" s="3" t="s">
        <v>11</v>
      </c>
      <c r="D735" s="3" t="s">
        <v>12</v>
      </c>
      <c r="E735" s="3" t="s">
        <v>1488</v>
      </c>
      <c r="F735" s="3" t="s">
        <v>1403</v>
      </c>
      <c r="G735" s="3" t="n">
        <v>25000</v>
      </c>
      <c r="H735" s="3"/>
      <c r="I735" s="3" t="s">
        <v>1415</v>
      </c>
      <c r="J735" s="4" t="str">
        <f aca="false">IF(AND($A735&lt;&gt;"",$A735=Подбор!$C$4),MAX(J$1:J734)+1,"")</f>
        <v/>
      </c>
    </row>
    <row r="736" customFormat="false" ht="15" hidden="false" customHeight="false" outlineLevel="0" collapsed="false">
      <c r="A736" s="3" t="s">
        <v>719</v>
      </c>
      <c r="B736" s="3" t="s">
        <v>57</v>
      </c>
      <c r="C736" s="3" t="s">
        <v>11</v>
      </c>
      <c r="D736" s="3" t="s">
        <v>12</v>
      </c>
      <c r="E736" s="3" t="s">
        <v>1788</v>
      </c>
      <c r="F736" s="3" t="s">
        <v>1403</v>
      </c>
      <c r="G736" s="3" t="n">
        <v>10500</v>
      </c>
      <c r="H736" s="3"/>
      <c r="I736" s="3" t="s">
        <v>1415</v>
      </c>
      <c r="J736" s="4" t="str">
        <f aca="false">IF(AND($A736&lt;&gt;"",$A736=Подбор!$C$4),MAX(J$1:J735)+1,"")</f>
        <v/>
      </c>
    </row>
    <row r="737" customFormat="false" ht="15" hidden="false" customHeight="false" outlineLevel="0" collapsed="false">
      <c r="A737" s="3" t="s">
        <v>720</v>
      </c>
      <c r="B737" s="3" t="s">
        <v>57</v>
      </c>
      <c r="C737" s="3" t="s">
        <v>11</v>
      </c>
      <c r="D737" s="3" t="s">
        <v>12</v>
      </c>
      <c r="E737" s="3" t="s">
        <v>1790</v>
      </c>
      <c r="F737" s="3" t="s">
        <v>1403</v>
      </c>
      <c r="G737" s="3" t="n">
        <v>11000</v>
      </c>
      <c r="H737" s="3"/>
      <c r="I737" s="3" t="s">
        <v>1415</v>
      </c>
      <c r="J737" s="4" t="str">
        <f aca="false">IF(AND($A737&lt;&gt;"",$A737=Подбор!$C$4),MAX(J$1:J736)+1,"")</f>
        <v/>
      </c>
    </row>
    <row r="738" customFormat="false" ht="15" hidden="false" customHeight="false" outlineLevel="0" collapsed="false">
      <c r="A738" s="3" t="s">
        <v>722</v>
      </c>
      <c r="B738" s="3" t="s">
        <v>57</v>
      </c>
      <c r="C738" s="3" t="s">
        <v>11</v>
      </c>
      <c r="D738" s="3" t="s">
        <v>12</v>
      </c>
      <c r="E738" s="3" t="s">
        <v>1790</v>
      </c>
      <c r="F738" s="3" t="s">
        <v>1403</v>
      </c>
      <c r="G738" s="3" t="n">
        <v>11000</v>
      </c>
      <c r="H738" s="3"/>
      <c r="I738" s="3" t="s">
        <v>1415</v>
      </c>
      <c r="J738" s="4" t="str">
        <f aca="false">IF(AND($A738&lt;&gt;"",$A738=Подбор!$C$4),MAX(J$1:J737)+1,"")</f>
        <v/>
      </c>
    </row>
    <row r="739" customFormat="false" ht="15" hidden="false" customHeight="false" outlineLevel="0" collapsed="false">
      <c r="A739" s="3" t="s">
        <v>723</v>
      </c>
      <c r="B739" s="3" t="s">
        <v>57</v>
      </c>
      <c r="C739" s="3" t="s">
        <v>11</v>
      </c>
      <c r="D739" s="3" t="s">
        <v>12</v>
      </c>
      <c r="E739" s="3" t="s">
        <v>1790</v>
      </c>
      <c r="F739" s="3" t="s">
        <v>1403</v>
      </c>
      <c r="G739" s="3" t="n">
        <v>11000</v>
      </c>
      <c r="H739" s="3"/>
      <c r="I739" s="3" t="s">
        <v>1415</v>
      </c>
      <c r="J739" s="4" t="str">
        <f aca="false">IF(AND($A739&lt;&gt;"",$A739=Подбор!$C$4),MAX(J$1:J738)+1,"")</f>
        <v/>
      </c>
    </row>
    <row r="740" customFormat="false" ht="15" hidden="false" customHeight="false" outlineLevel="0" collapsed="false">
      <c r="A740" s="3" t="s">
        <v>724</v>
      </c>
      <c r="B740" s="3" t="s">
        <v>57</v>
      </c>
      <c r="C740" s="3" t="s">
        <v>11</v>
      </c>
      <c r="D740" s="3" t="s">
        <v>12</v>
      </c>
      <c r="E740" s="3" t="s">
        <v>1790</v>
      </c>
      <c r="F740" s="3" t="s">
        <v>1403</v>
      </c>
      <c r="G740" s="3" t="n">
        <v>11000</v>
      </c>
      <c r="H740" s="3"/>
      <c r="I740" s="3" t="s">
        <v>1415</v>
      </c>
      <c r="J740" s="4" t="str">
        <f aca="false">IF(AND($A740&lt;&gt;"",$A740=Подбор!$C$4),MAX(J$1:J739)+1,"")</f>
        <v/>
      </c>
    </row>
    <row r="741" customFormat="false" ht="15" hidden="false" customHeight="false" outlineLevel="0" collapsed="false">
      <c r="A741" s="3" t="s">
        <v>725</v>
      </c>
      <c r="B741" s="3" t="s">
        <v>57</v>
      </c>
      <c r="C741" s="3" t="s">
        <v>11</v>
      </c>
      <c r="D741" s="3" t="s">
        <v>12</v>
      </c>
      <c r="E741" s="3" t="s">
        <v>1791</v>
      </c>
      <c r="F741" s="3" t="s">
        <v>1403</v>
      </c>
      <c r="G741" s="3" t="n">
        <v>25000</v>
      </c>
      <c r="H741" s="3"/>
      <c r="I741" s="3" t="s">
        <v>1415</v>
      </c>
      <c r="J741" s="4" t="str">
        <f aca="false">IF(AND($A741&lt;&gt;"",$A741=Подбор!$C$4),MAX(J$1:J740)+1,"")</f>
        <v/>
      </c>
    </row>
    <row r="742" customFormat="false" ht="15" hidden="false" customHeight="false" outlineLevel="0" collapsed="false">
      <c r="A742" s="3" t="s">
        <v>725</v>
      </c>
      <c r="B742" s="3" t="s">
        <v>57</v>
      </c>
      <c r="C742" s="3" t="s">
        <v>11</v>
      </c>
      <c r="D742" s="3" t="s">
        <v>12</v>
      </c>
      <c r="E742" s="3" t="s">
        <v>1792</v>
      </c>
      <c r="F742" s="3" t="s">
        <v>1421</v>
      </c>
      <c r="G742" s="3" t="n">
        <v>25000</v>
      </c>
      <c r="H742" s="3"/>
      <c r="I742" s="3" t="s">
        <v>1415</v>
      </c>
      <c r="J742" s="4" t="str">
        <f aca="false">IF(AND($A742&lt;&gt;"",$A742=Подбор!$C$4),MAX(J$1:J741)+1,"")</f>
        <v/>
      </c>
    </row>
    <row r="743" customFormat="false" ht="15" hidden="false" customHeight="false" outlineLevel="0" collapsed="false">
      <c r="A743" s="3" t="s">
        <v>727</v>
      </c>
      <c r="B743" s="3" t="s">
        <v>57</v>
      </c>
      <c r="C743" s="3" t="s">
        <v>11</v>
      </c>
      <c r="D743" s="3" t="s">
        <v>12</v>
      </c>
      <c r="E743" s="3" t="s">
        <v>1793</v>
      </c>
      <c r="F743" s="3" t="s">
        <v>1403</v>
      </c>
      <c r="G743" s="3" t="n">
        <v>10500</v>
      </c>
      <c r="H743" s="3"/>
      <c r="I743" s="3" t="s">
        <v>1415</v>
      </c>
      <c r="J743" s="4" t="str">
        <f aca="false">IF(AND($A743&lt;&gt;"",$A743=Подбор!$C$4),MAX(J$1:J742)+1,"")</f>
        <v/>
      </c>
    </row>
    <row r="744" customFormat="false" ht="15" hidden="false" customHeight="false" outlineLevel="0" collapsed="false">
      <c r="A744" s="3" t="s">
        <v>729</v>
      </c>
      <c r="B744" s="3" t="s">
        <v>57</v>
      </c>
      <c r="C744" s="3" t="s">
        <v>11</v>
      </c>
      <c r="D744" s="3" t="s">
        <v>12</v>
      </c>
      <c r="E744" s="3" t="s">
        <v>1527</v>
      </c>
      <c r="F744" s="3" t="s">
        <v>1403</v>
      </c>
      <c r="G744" s="3" t="n">
        <v>2500</v>
      </c>
      <c r="H744" s="3"/>
      <c r="I744" s="3" t="s">
        <v>1415</v>
      </c>
      <c r="J744" s="4" t="str">
        <f aca="false">IF(AND($A744&lt;&gt;"",$A744=Подбор!$C$4),MAX(J$1:J743)+1,"")</f>
        <v/>
      </c>
    </row>
    <row r="745" customFormat="false" ht="15" hidden="false" customHeight="false" outlineLevel="0" collapsed="false">
      <c r="A745" s="3" t="s">
        <v>730</v>
      </c>
      <c r="B745" s="3" t="s">
        <v>57</v>
      </c>
      <c r="C745" s="3" t="s">
        <v>11</v>
      </c>
      <c r="D745" s="3" t="s">
        <v>12</v>
      </c>
      <c r="E745" s="3" t="s">
        <v>1530</v>
      </c>
      <c r="F745" s="3" t="s">
        <v>1403</v>
      </c>
      <c r="G745" s="3" t="n">
        <v>2500</v>
      </c>
      <c r="H745" s="3"/>
      <c r="I745" s="3" t="s">
        <v>1415</v>
      </c>
      <c r="J745" s="4" t="str">
        <f aca="false">IF(AND($A745&lt;&gt;"",$A745=Подбор!$C$4),MAX(J$1:J744)+1,"")</f>
        <v/>
      </c>
    </row>
    <row r="746" customFormat="false" ht="15" hidden="false" customHeight="false" outlineLevel="0" collapsed="false">
      <c r="A746" s="3" t="s">
        <v>731</v>
      </c>
      <c r="B746" s="3" t="s">
        <v>57</v>
      </c>
      <c r="C746" s="3" t="s">
        <v>11</v>
      </c>
      <c r="D746" s="3" t="s">
        <v>12</v>
      </c>
      <c r="E746" s="3" t="s">
        <v>1492</v>
      </c>
      <c r="F746" s="3" t="s">
        <v>1403</v>
      </c>
      <c r="G746" s="3" t="n">
        <v>3000</v>
      </c>
      <c r="H746" s="3"/>
      <c r="I746" s="3" t="s">
        <v>1415</v>
      </c>
      <c r="J746" s="4" t="str">
        <f aca="false">IF(AND($A746&lt;&gt;"",$A746=Подбор!$C$4),MAX(J$1:J745)+1,"")</f>
        <v/>
      </c>
    </row>
    <row r="747" customFormat="false" ht="15" hidden="false" customHeight="false" outlineLevel="0" collapsed="false">
      <c r="A747" s="3" t="s">
        <v>732</v>
      </c>
      <c r="B747" s="3" t="s">
        <v>57</v>
      </c>
      <c r="C747" s="3" t="s">
        <v>11</v>
      </c>
      <c r="D747" s="3" t="s">
        <v>12</v>
      </c>
      <c r="E747" s="3" t="s">
        <v>1492</v>
      </c>
      <c r="F747" s="3" t="s">
        <v>1403</v>
      </c>
      <c r="G747" s="3" t="n">
        <v>3000</v>
      </c>
      <c r="H747" s="3"/>
      <c r="I747" s="3" t="s">
        <v>1415</v>
      </c>
      <c r="J747" s="4" t="str">
        <f aca="false">IF(AND($A747&lt;&gt;"",$A747=Подбор!$C$4),MAX(J$1:J746)+1,"")</f>
        <v/>
      </c>
    </row>
    <row r="748" customFormat="false" ht="15" hidden="false" customHeight="false" outlineLevel="0" collapsed="false">
      <c r="A748" s="3" t="s">
        <v>733</v>
      </c>
      <c r="B748" s="3" t="s">
        <v>57</v>
      </c>
      <c r="C748" s="3" t="s">
        <v>11</v>
      </c>
      <c r="D748" s="3" t="s">
        <v>12</v>
      </c>
      <c r="E748" s="3" t="s">
        <v>1768</v>
      </c>
      <c r="F748" s="3" t="s">
        <v>1403</v>
      </c>
      <c r="G748" s="3" t="n">
        <v>3000</v>
      </c>
      <c r="H748" s="3"/>
      <c r="I748" s="3" t="s">
        <v>1415</v>
      </c>
      <c r="J748" s="4" t="str">
        <f aca="false">IF(AND($A748&lt;&gt;"",$A748=Подбор!$C$4),MAX(J$1:J747)+1,"")</f>
        <v/>
      </c>
    </row>
    <row r="749" customFormat="false" ht="15" hidden="false" customHeight="false" outlineLevel="0" collapsed="false">
      <c r="A749" s="3" t="s">
        <v>734</v>
      </c>
      <c r="B749" s="3" t="s">
        <v>57</v>
      </c>
      <c r="C749" s="3" t="s">
        <v>11</v>
      </c>
      <c r="D749" s="3" t="s">
        <v>12</v>
      </c>
      <c r="E749" s="3" t="s">
        <v>1702</v>
      </c>
      <c r="F749" s="3" t="s">
        <v>1403</v>
      </c>
      <c r="G749" s="3" t="n">
        <v>2300</v>
      </c>
      <c r="H749" s="3"/>
      <c r="I749" s="3" t="s">
        <v>1415</v>
      </c>
      <c r="J749" s="4" t="str">
        <f aca="false">IF(AND($A749&lt;&gt;"",$A749=Подбор!$C$4),MAX(J$1:J748)+1,"")</f>
        <v/>
      </c>
    </row>
    <row r="750" customFormat="false" ht="15" hidden="false" customHeight="false" outlineLevel="0" collapsed="false">
      <c r="A750" s="3" t="s">
        <v>735</v>
      </c>
      <c r="B750" s="3" t="s">
        <v>57</v>
      </c>
      <c r="C750" s="3" t="s">
        <v>11</v>
      </c>
      <c r="D750" s="3" t="s">
        <v>12</v>
      </c>
      <c r="E750" s="3" t="s">
        <v>1702</v>
      </c>
      <c r="F750" s="3" t="s">
        <v>1403</v>
      </c>
      <c r="G750" s="3" t="n">
        <v>2300</v>
      </c>
      <c r="H750" s="3"/>
      <c r="I750" s="3" t="s">
        <v>1415</v>
      </c>
      <c r="J750" s="4" t="str">
        <f aca="false">IF(AND($A750&lt;&gt;"",$A750=Подбор!$C$4),MAX(J$1:J749)+1,"")</f>
        <v/>
      </c>
    </row>
    <row r="751" customFormat="false" ht="15" hidden="false" customHeight="false" outlineLevel="0" collapsed="false">
      <c r="A751" s="3" t="s">
        <v>736</v>
      </c>
      <c r="B751" s="3" t="s">
        <v>57</v>
      </c>
      <c r="C751" s="3" t="s">
        <v>11</v>
      </c>
      <c r="D751" s="3" t="s">
        <v>12</v>
      </c>
      <c r="E751" s="3" t="s">
        <v>1794</v>
      </c>
      <c r="F751" s="3" t="s">
        <v>1403</v>
      </c>
      <c r="G751" s="3" t="n">
        <v>6500</v>
      </c>
      <c r="H751" s="3"/>
      <c r="I751" s="3" t="s">
        <v>1415</v>
      </c>
      <c r="J751" s="4" t="str">
        <f aca="false">IF(AND($A751&lt;&gt;"",$A751=Подбор!$C$4),MAX(J$1:J750)+1,"")</f>
        <v/>
      </c>
    </row>
    <row r="752" customFormat="false" ht="15" hidden="false" customHeight="false" outlineLevel="0" collapsed="false">
      <c r="A752" s="3" t="s">
        <v>738</v>
      </c>
      <c r="B752" s="3" t="s">
        <v>57</v>
      </c>
      <c r="C752" s="3" t="s">
        <v>11</v>
      </c>
      <c r="D752" s="3" t="s">
        <v>12</v>
      </c>
      <c r="E752" s="3" t="s">
        <v>1452</v>
      </c>
      <c r="F752" s="3" t="s">
        <v>1403</v>
      </c>
      <c r="G752" s="3" t="n">
        <v>2000</v>
      </c>
      <c r="H752" s="3"/>
      <c r="I752" s="3" t="s">
        <v>1415</v>
      </c>
      <c r="J752" s="4" t="str">
        <f aca="false">IF(AND($A752&lt;&gt;"",$A752=Подбор!$C$4),MAX(J$1:J751)+1,"")</f>
        <v/>
      </c>
    </row>
    <row r="753" customFormat="false" ht="15" hidden="false" customHeight="false" outlineLevel="0" collapsed="false">
      <c r="A753" s="3" t="s">
        <v>739</v>
      </c>
      <c r="B753" s="3" t="s">
        <v>57</v>
      </c>
      <c r="C753" s="3" t="s">
        <v>11</v>
      </c>
      <c r="D753" s="3" t="s">
        <v>12</v>
      </c>
      <c r="E753" s="3" t="s">
        <v>1794</v>
      </c>
      <c r="F753" s="3" t="s">
        <v>1403</v>
      </c>
      <c r="G753" s="3" t="n">
        <v>6500</v>
      </c>
      <c r="H753" s="3"/>
      <c r="I753" s="3" t="s">
        <v>1415</v>
      </c>
      <c r="J753" s="4" t="str">
        <f aca="false">IF(AND($A753&lt;&gt;"",$A753=Подбор!$C$4),MAX(J$1:J752)+1,"")</f>
        <v/>
      </c>
    </row>
    <row r="754" customFormat="false" ht="15" hidden="false" customHeight="false" outlineLevel="0" collapsed="false">
      <c r="A754" s="3" t="s">
        <v>740</v>
      </c>
      <c r="B754" s="3" t="s">
        <v>57</v>
      </c>
      <c r="C754" s="3" t="s">
        <v>11</v>
      </c>
      <c r="D754" s="3" t="s">
        <v>12</v>
      </c>
      <c r="E754" s="3" t="s">
        <v>1795</v>
      </c>
      <c r="F754" s="3" t="s">
        <v>1403</v>
      </c>
      <c r="G754" s="3" t="n">
        <v>25000</v>
      </c>
      <c r="H754" s="3"/>
      <c r="I754" s="3" t="s">
        <v>1415</v>
      </c>
      <c r="J754" s="4" t="str">
        <f aca="false">IF(AND($A754&lt;&gt;"",$A754=Подбор!$C$4),MAX(J$1:J753)+1,"")</f>
        <v/>
      </c>
    </row>
    <row r="755" customFormat="false" ht="15" hidden="false" customHeight="false" outlineLevel="0" collapsed="false">
      <c r="A755" s="3" t="s">
        <v>740</v>
      </c>
      <c r="B755" s="3" t="s">
        <v>57</v>
      </c>
      <c r="C755" s="3" t="s">
        <v>11</v>
      </c>
      <c r="D755" s="3" t="s">
        <v>12</v>
      </c>
      <c r="E755" s="3" t="s">
        <v>1796</v>
      </c>
      <c r="F755" s="3" t="s">
        <v>1417</v>
      </c>
      <c r="G755" s="3" t="n">
        <v>25000</v>
      </c>
      <c r="H755" s="3"/>
      <c r="I755" s="3" t="s">
        <v>1415</v>
      </c>
      <c r="J755" s="4" t="str">
        <f aca="false">IF(AND($A755&lt;&gt;"",$A755=Подбор!$C$4),MAX(J$1:J754)+1,"")</f>
        <v/>
      </c>
    </row>
    <row r="756" customFormat="false" ht="15" hidden="false" customHeight="false" outlineLevel="0" collapsed="false">
      <c r="A756" s="3" t="s">
        <v>742</v>
      </c>
      <c r="B756" s="3" t="s">
        <v>57</v>
      </c>
      <c r="C756" s="3" t="s">
        <v>11</v>
      </c>
      <c r="D756" s="3" t="s">
        <v>12</v>
      </c>
      <c r="E756" s="3" t="s">
        <v>1797</v>
      </c>
      <c r="F756" s="3" t="s">
        <v>1403</v>
      </c>
      <c r="G756" s="3" t="n">
        <v>1600</v>
      </c>
      <c r="H756" s="3"/>
      <c r="I756" s="3" t="s">
        <v>1415</v>
      </c>
      <c r="J756" s="4" t="str">
        <f aca="false">IF(AND($A756&lt;&gt;"",$A756=Подбор!$C$4),MAX(J$1:J755)+1,"")</f>
        <v/>
      </c>
    </row>
    <row r="757" customFormat="false" ht="15" hidden="false" customHeight="false" outlineLevel="0" collapsed="false">
      <c r="A757" s="3" t="s">
        <v>744</v>
      </c>
      <c r="B757" s="3" t="s">
        <v>57</v>
      </c>
      <c r="C757" s="3" t="s">
        <v>11</v>
      </c>
      <c r="D757" s="3" t="s">
        <v>12</v>
      </c>
      <c r="E757" s="3" t="s">
        <v>1795</v>
      </c>
      <c r="F757" s="3" t="s">
        <v>1403</v>
      </c>
      <c r="G757" s="3" t="n">
        <v>25000</v>
      </c>
      <c r="H757" s="3"/>
      <c r="I757" s="3" t="s">
        <v>1415</v>
      </c>
      <c r="J757" s="4" t="str">
        <f aca="false">IF(AND($A757&lt;&gt;"",$A757=Подбор!$C$4),MAX(J$1:J756)+1,"")</f>
        <v/>
      </c>
    </row>
    <row r="758" customFormat="false" ht="15" hidden="false" customHeight="false" outlineLevel="0" collapsed="false">
      <c r="A758" s="3" t="s">
        <v>745</v>
      </c>
      <c r="B758" s="3" t="s">
        <v>57</v>
      </c>
      <c r="C758" s="3" t="s">
        <v>11</v>
      </c>
      <c r="D758" s="3" t="s">
        <v>12</v>
      </c>
      <c r="E758" s="3" t="s">
        <v>1750</v>
      </c>
      <c r="F758" s="3" t="s">
        <v>1403</v>
      </c>
      <c r="G758" s="3" t="n">
        <v>25000</v>
      </c>
      <c r="H758" s="3"/>
      <c r="I758" s="3" t="s">
        <v>1415</v>
      </c>
      <c r="J758" s="4" t="str">
        <f aca="false">IF(AND($A758&lt;&gt;"",$A758=Подбор!$C$4),MAX(J$1:J757)+1,"")</f>
        <v/>
      </c>
    </row>
    <row r="759" customFormat="false" ht="15" hidden="false" customHeight="false" outlineLevel="0" collapsed="false">
      <c r="A759" s="3" t="s">
        <v>746</v>
      </c>
      <c r="B759" s="3" t="s">
        <v>57</v>
      </c>
      <c r="C759" s="3" t="s">
        <v>11</v>
      </c>
      <c r="D759" s="3" t="s">
        <v>12</v>
      </c>
      <c r="E759" s="3" t="s">
        <v>1771</v>
      </c>
      <c r="F759" s="3" t="s">
        <v>1403</v>
      </c>
      <c r="G759" s="3" t="n">
        <v>25000</v>
      </c>
      <c r="H759" s="3"/>
      <c r="I759" s="3" t="s">
        <v>1415</v>
      </c>
      <c r="J759" s="4" t="str">
        <f aca="false">IF(AND($A759&lt;&gt;"",$A759=Подбор!$C$4),MAX(J$1:J758)+1,"")</f>
        <v/>
      </c>
    </row>
    <row r="760" customFormat="false" ht="15" hidden="false" customHeight="false" outlineLevel="0" collapsed="false">
      <c r="A760" s="3" t="s">
        <v>747</v>
      </c>
      <c r="B760" s="3" t="s">
        <v>57</v>
      </c>
      <c r="C760" s="3" t="s">
        <v>11</v>
      </c>
      <c r="D760" s="3" t="s">
        <v>12</v>
      </c>
      <c r="E760" s="3" t="s">
        <v>1456</v>
      </c>
      <c r="F760" s="3" t="s">
        <v>1403</v>
      </c>
      <c r="G760" s="3" t="n">
        <v>2200</v>
      </c>
      <c r="H760" s="3"/>
      <c r="I760" s="3" t="s">
        <v>1415</v>
      </c>
      <c r="J760" s="4" t="str">
        <f aca="false">IF(AND($A760&lt;&gt;"",$A760=Подбор!$C$4),MAX(J$1:J759)+1,"")</f>
        <v/>
      </c>
    </row>
    <row r="761" customFormat="false" ht="15" hidden="false" customHeight="false" outlineLevel="0" collapsed="false">
      <c r="A761" s="3" t="s">
        <v>748</v>
      </c>
      <c r="B761" s="3" t="s">
        <v>57</v>
      </c>
      <c r="C761" s="3" t="s">
        <v>11</v>
      </c>
      <c r="D761" s="3" t="s">
        <v>12</v>
      </c>
      <c r="E761" s="3" t="s">
        <v>1504</v>
      </c>
      <c r="F761" s="3" t="s">
        <v>1403</v>
      </c>
      <c r="G761" s="3" t="n">
        <v>20000</v>
      </c>
      <c r="H761" s="3"/>
      <c r="I761" s="3" t="s">
        <v>1415</v>
      </c>
      <c r="J761" s="4" t="str">
        <f aca="false">IF(AND($A761&lt;&gt;"",$A761=Подбор!$C$4),MAX(J$1:J760)+1,"")</f>
        <v/>
      </c>
    </row>
    <row r="762" customFormat="false" ht="15" hidden="false" customHeight="false" outlineLevel="0" collapsed="false">
      <c r="A762" s="3" t="s">
        <v>749</v>
      </c>
      <c r="B762" s="3" t="s">
        <v>57</v>
      </c>
      <c r="C762" s="3" t="s">
        <v>11</v>
      </c>
      <c r="D762" s="3" t="s">
        <v>12</v>
      </c>
      <c r="E762" s="3" t="s">
        <v>1798</v>
      </c>
      <c r="F762" s="3" t="s">
        <v>1403</v>
      </c>
      <c r="G762" s="3" t="n">
        <v>1200</v>
      </c>
      <c r="H762" s="3"/>
      <c r="I762" s="3" t="s">
        <v>1415</v>
      </c>
      <c r="J762" s="4" t="str">
        <f aca="false">IF(AND($A762&lt;&gt;"",$A762=Подбор!$C$4),MAX(J$1:J761)+1,"")</f>
        <v/>
      </c>
    </row>
    <row r="763" customFormat="false" ht="15" hidden="false" customHeight="false" outlineLevel="0" collapsed="false">
      <c r="A763" s="3" t="s">
        <v>751</v>
      </c>
      <c r="B763" s="3" t="s">
        <v>57</v>
      </c>
      <c r="C763" s="3" t="s">
        <v>11</v>
      </c>
      <c r="D763" s="3" t="s">
        <v>12</v>
      </c>
      <c r="E763" s="3" t="s">
        <v>1768</v>
      </c>
      <c r="F763" s="3" t="s">
        <v>1403</v>
      </c>
      <c r="G763" s="3" t="n">
        <v>3000</v>
      </c>
      <c r="H763" s="3"/>
      <c r="I763" s="3" t="s">
        <v>1415</v>
      </c>
      <c r="J763" s="4" t="str">
        <f aca="false">IF(AND($A763&lt;&gt;"",$A763=Подбор!$C$4),MAX(J$1:J762)+1,"")</f>
        <v/>
      </c>
    </row>
    <row r="764" customFormat="false" ht="15" hidden="false" customHeight="false" outlineLevel="0" collapsed="false">
      <c r="A764" s="3" t="s">
        <v>752</v>
      </c>
      <c r="B764" s="3" t="s">
        <v>57</v>
      </c>
      <c r="C764" s="3" t="s">
        <v>11</v>
      </c>
      <c r="D764" s="3" t="s">
        <v>12</v>
      </c>
      <c r="E764" s="3" t="s">
        <v>1798</v>
      </c>
      <c r="F764" s="3" t="s">
        <v>1403</v>
      </c>
      <c r="G764" s="3" t="n">
        <v>1200</v>
      </c>
      <c r="H764" s="3"/>
      <c r="I764" s="3" t="s">
        <v>1415</v>
      </c>
      <c r="J764" s="4" t="str">
        <f aca="false">IF(AND($A764&lt;&gt;"",$A764=Подбор!$C$4),MAX(J$1:J763)+1,"")</f>
        <v/>
      </c>
    </row>
    <row r="765" customFormat="false" ht="15" hidden="false" customHeight="false" outlineLevel="0" collapsed="false">
      <c r="A765" s="3" t="s">
        <v>753</v>
      </c>
      <c r="B765" s="3" t="s">
        <v>57</v>
      </c>
      <c r="C765" s="3" t="s">
        <v>11</v>
      </c>
      <c r="D765" s="3" t="s">
        <v>12</v>
      </c>
      <c r="E765" s="3" t="s">
        <v>1799</v>
      </c>
      <c r="F765" s="3" t="s">
        <v>1403</v>
      </c>
      <c r="G765" s="3" t="n">
        <v>2000</v>
      </c>
      <c r="H765" s="3"/>
      <c r="I765" s="3" t="s">
        <v>1415</v>
      </c>
      <c r="J765" s="4" t="str">
        <f aca="false">IF(AND($A765&lt;&gt;"",$A765=Подбор!$C$4),MAX(J$1:J764)+1,"")</f>
        <v/>
      </c>
    </row>
    <row r="766" customFormat="false" ht="15" hidden="false" customHeight="false" outlineLevel="0" collapsed="false">
      <c r="A766" s="3" t="s">
        <v>755</v>
      </c>
      <c r="B766" s="3" t="s">
        <v>57</v>
      </c>
      <c r="C766" s="3" t="s">
        <v>11</v>
      </c>
      <c r="D766" s="3" t="s">
        <v>12</v>
      </c>
      <c r="E766" s="3" t="s">
        <v>1773</v>
      </c>
      <c r="F766" s="3" t="s">
        <v>1403</v>
      </c>
      <c r="G766" s="3" t="n">
        <v>2500</v>
      </c>
      <c r="H766" s="3"/>
      <c r="I766" s="3" t="s">
        <v>1415</v>
      </c>
      <c r="J766" s="4" t="str">
        <f aca="false">IF(AND($A766&lt;&gt;"",$A766=Подбор!$C$4),MAX(J$1:J765)+1,"")</f>
        <v/>
      </c>
    </row>
    <row r="767" customFormat="false" ht="15" hidden="false" customHeight="false" outlineLevel="0" collapsed="false">
      <c r="A767" s="3" t="s">
        <v>756</v>
      </c>
      <c r="B767" s="3" t="s">
        <v>57</v>
      </c>
      <c r="C767" s="3" t="s">
        <v>11</v>
      </c>
      <c r="D767" s="3" t="s">
        <v>12</v>
      </c>
      <c r="E767" s="3" t="s">
        <v>1768</v>
      </c>
      <c r="F767" s="3" t="s">
        <v>1403</v>
      </c>
      <c r="G767" s="3" t="n">
        <v>3000</v>
      </c>
      <c r="H767" s="3"/>
      <c r="I767" s="3" t="s">
        <v>1415</v>
      </c>
      <c r="J767" s="4" t="str">
        <f aca="false">IF(AND($A767&lt;&gt;"",$A767=Подбор!$C$4),MAX(J$1:J766)+1,"")</f>
        <v/>
      </c>
    </row>
    <row r="768" customFormat="false" ht="15" hidden="false" customHeight="false" outlineLevel="0" collapsed="false">
      <c r="A768" s="3" t="s">
        <v>757</v>
      </c>
      <c r="B768" s="3" t="s">
        <v>57</v>
      </c>
      <c r="C768" s="3" t="s">
        <v>11</v>
      </c>
      <c r="D768" s="3" t="s">
        <v>12</v>
      </c>
      <c r="E768" s="3" t="s">
        <v>1798</v>
      </c>
      <c r="F768" s="3" t="s">
        <v>1403</v>
      </c>
      <c r="G768" s="3" t="n">
        <v>1200</v>
      </c>
      <c r="H768" s="3"/>
      <c r="I768" s="3" t="s">
        <v>1415</v>
      </c>
      <c r="J768" s="4" t="str">
        <f aca="false">IF(AND($A768&lt;&gt;"",$A768=Подбор!$C$4),MAX(J$1:J767)+1,"")</f>
        <v/>
      </c>
    </row>
    <row r="769" customFormat="false" ht="15" hidden="false" customHeight="false" outlineLevel="0" collapsed="false">
      <c r="A769" s="3" t="s">
        <v>758</v>
      </c>
      <c r="B769" s="3" t="s">
        <v>57</v>
      </c>
      <c r="C769" s="3" t="s">
        <v>11</v>
      </c>
      <c r="D769" s="3" t="s">
        <v>12</v>
      </c>
      <c r="E769" s="3" t="s">
        <v>1800</v>
      </c>
      <c r="F769" s="3" t="s">
        <v>1403</v>
      </c>
      <c r="G769" s="3" t="n">
        <v>6000</v>
      </c>
      <c r="H769" s="3"/>
      <c r="I769" s="3" t="s">
        <v>1415</v>
      </c>
      <c r="J769" s="4" t="str">
        <f aca="false">IF(AND($A769&lt;&gt;"",$A769=Подбор!$C$4),MAX(J$1:J768)+1,"")</f>
        <v/>
      </c>
    </row>
    <row r="770" customFormat="false" ht="15" hidden="false" customHeight="false" outlineLevel="0" collapsed="false">
      <c r="A770" s="3" t="s">
        <v>760</v>
      </c>
      <c r="B770" s="3" t="s">
        <v>57</v>
      </c>
      <c r="C770" s="3" t="s">
        <v>11</v>
      </c>
      <c r="D770" s="3" t="s">
        <v>12</v>
      </c>
      <c r="E770" s="3" t="s">
        <v>1801</v>
      </c>
      <c r="F770" s="3" t="s">
        <v>1403</v>
      </c>
      <c r="G770" s="3" t="n">
        <v>1300</v>
      </c>
      <c r="H770" s="3"/>
      <c r="I770" s="3" t="s">
        <v>1415</v>
      </c>
      <c r="J770" s="4" t="str">
        <f aca="false">IF(AND($A770&lt;&gt;"",$A770=Подбор!$C$4),MAX(J$1:J769)+1,"")</f>
        <v/>
      </c>
    </row>
    <row r="771" customFormat="false" ht="15" hidden="false" customHeight="false" outlineLevel="0" collapsed="false">
      <c r="A771" s="3" t="s">
        <v>762</v>
      </c>
      <c r="B771" s="3" t="s">
        <v>57</v>
      </c>
      <c r="C771" s="3" t="s">
        <v>11</v>
      </c>
      <c r="D771" s="3" t="s">
        <v>12</v>
      </c>
      <c r="E771" s="3" t="s">
        <v>1452</v>
      </c>
      <c r="F771" s="3" t="s">
        <v>1403</v>
      </c>
      <c r="G771" s="3" t="n">
        <v>2000</v>
      </c>
      <c r="H771" s="3"/>
      <c r="I771" s="3" t="s">
        <v>1415</v>
      </c>
      <c r="J771" s="4" t="str">
        <f aca="false">IF(AND($A771&lt;&gt;"",$A771=Подбор!$C$4),MAX(J$1:J770)+1,"")</f>
        <v/>
      </c>
    </row>
    <row r="772" customFormat="false" ht="15" hidden="false" customHeight="false" outlineLevel="0" collapsed="false">
      <c r="A772" s="3" t="s">
        <v>763</v>
      </c>
      <c r="B772" s="3" t="s">
        <v>57</v>
      </c>
      <c r="C772" s="3" t="s">
        <v>11</v>
      </c>
      <c r="D772" s="3" t="s">
        <v>12</v>
      </c>
      <c r="E772" s="3" t="s">
        <v>1452</v>
      </c>
      <c r="F772" s="3" t="s">
        <v>1403</v>
      </c>
      <c r="G772" s="3" t="n">
        <v>2000</v>
      </c>
      <c r="H772" s="3"/>
      <c r="I772" s="3" t="s">
        <v>1415</v>
      </c>
      <c r="J772" s="4" t="str">
        <f aca="false">IF(AND($A772&lt;&gt;"",$A772=Подбор!$C$4),MAX(J$1:J771)+1,"")</f>
        <v/>
      </c>
    </row>
    <row r="773" customFormat="false" ht="15" hidden="false" customHeight="false" outlineLevel="0" collapsed="false">
      <c r="A773" s="3" t="s">
        <v>764</v>
      </c>
      <c r="B773" s="3" t="s">
        <v>57</v>
      </c>
      <c r="C773" s="3" t="s">
        <v>11</v>
      </c>
      <c r="D773" s="3" t="s">
        <v>12</v>
      </c>
      <c r="E773" s="3" t="s">
        <v>1492</v>
      </c>
      <c r="F773" s="3" t="s">
        <v>1403</v>
      </c>
      <c r="G773" s="3" t="n">
        <v>3000</v>
      </c>
      <c r="H773" s="3"/>
      <c r="I773" s="3" t="s">
        <v>1415</v>
      </c>
      <c r="J773" s="4" t="str">
        <f aca="false">IF(AND($A773&lt;&gt;"",$A773=Подбор!$C$4),MAX(J$1:J772)+1,"")</f>
        <v/>
      </c>
    </row>
    <row r="774" customFormat="false" ht="15" hidden="false" customHeight="false" outlineLevel="0" collapsed="false">
      <c r="A774" s="3" t="s">
        <v>765</v>
      </c>
      <c r="B774" s="3" t="s">
        <v>57</v>
      </c>
      <c r="C774" s="3" t="s">
        <v>11</v>
      </c>
      <c r="D774" s="3" t="s">
        <v>12</v>
      </c>
      <c r="E774" s="3" t="s">
        <v>1768</v>
      </c>
      <c r="F774" s="3" t="s">
        <v>1403</v>
      </c>
      <c r="G774" s="3" t="n">
        <v>3000</v>
      </c>
      <c r="H774" s="3"/>
      <c r="I774" s="3" t="s">
        <v>1415</v>
      </c>
      <c r="J774" s="4" t="str">
        <f aca="false">IF(AND($A774&lt;&gt;"",$A774=Подбор!$C$4),MAX(J$1:J773)+1,"")</f>
        <v/>
      </c>
    </row>
    <row r="775" customFormat="false" ht="15" hidden="false" customHeight="false" outlineLevel="0" collapsed="false">
      <c r="A775" s="3" t="s">
        <v>766</v>
      </c>
      <c r="B775" s="3" t="s">
        <v>57</v>
      </c>
      <c r="C775" s="3" t="s">
        <v>11</v>
      </c>
      <c r="D775" s="3" t="s">
        <v>12</v>
      </c>
      <c r="E775" s="3" t="s">
        <v>1506</v>
      </c>
      <c r="F775" s="3" t="s">
        <v>1403</v>
      </c>
      <c r="G775" s="3" t="n">
        <v>3500</v>
      </c>
      <c r="H775" s="3"/>
      <c r="I775" s="3" t="s">
        <v>1415</v>
      </c>
      <c r="J775" s="4" t="str">
        <f aca="false">IF(AND($A775&lt;&gt;"",$A775=Подбор!$C$4),MAX(J$1:J774)+1,"")</f>
        <v/>
      </c>
    </row>
    <row r="776" customFormat="false" ht="15" hidden="false" customHeight="false" outlineLevel="0" collapsed="false">
      <c r="A776" s="3" t="s">
        <v>767</v>
      </c>
      <c r="B776" s="3" t="s">
        <v>57</v>
      </c>
      <c r="C776" s="3" t="s">
        <v>11</v>
      </c>
      <c r="D776" s="3" t="s">
        <v>12</v>
      </c>
      <c r="E776" s="3" t="s">
        <v>1777</v>
      </c>
      <c r="F776" s="3" t="s">
        <v>1403</v>
      </c>
      <c r="G776" s="3" t="n">
        <v>2400</v>
      </c>
      <c r="H776" s="3"/>
      <c r="I776" s="3" t="s">
        <v>1415</v>
      </c>
      <c r="J776" s="4" t="str">
        <f aca="false">IF(AND($A776&lt;&gt;"",$A776=Подбор!$C$4),MAX(J$1:J775)+1,"")</f>
        <v/>
      </c>
    </row>
    <row r="777" customFormat="false" ht="15" hidden="false" customHeight="false" outlineLevel="0" collapsed="false">
      <c r="A777" s="3" t="s">
        <v>768</v>
      </c>
      <c r="B777" s="3" t="s">
        <v>57</v>
      </c>
      <c r="C777" s="3" t="s">
        <v>11</v>
      </c>
      <c r="D777" s="3" t="s">
        <v>12</v>
      </c>
      <c r="E777" s="3" t="s">
        <v>1802</v>
      </c>
      <c r="F777" s="3" t="s">
        <v>1403</v>
      </c>
      <c r="G777" s="3"/>
      <c r="H777" s="3"/>
      <c r="I777" s="3"/>
      <c r="J777" s="4" t="str">
        <f aca="false">IF(AND($A777&lt;&gt;"",$A777=Подбор!$C$4),MAX(J$1:J776)+1,"")</f>
        <v/>
      </c>
    </row>
    <row r="778" customFormat="false" ht="15" hidden="false" customHeight="false" outlineLevel="0" collapsed="false">
      <c r="A778" s="3" t="s">
        <v>770</v>
      </c>
      <c r="B778" s="3" t="s">
        <v>57</v>
      </c>
      <c r="C778" s="3" t="s">
        <v>11</v>
      </c>
      <c r="D778" s="3" t="s">
        <v>12</v>
      </c>
      <c r="E778" s="3" t="s">
        <v>1802</v>
      </c>
      <c r="F778" s="3" t="s">
        <v>1403</v>
      </c>
      <c r="G778" s="3"/>
      <c r="H778" s="3"/>
      <c r="I778" s="3"/>
      <c r="J778" s="4" t="str">
        <f aca="false">IF(AND($A778&lt;&gt;"",$A778=Подбор!$C$4),MAX(J$1:J777)+1,"")</f>
        <v/>
      </c>
    </row>
    <row r="779" customFormat="false" ht="15" hidden="false" customHeight="false" outlineLevel="0" collapsed="false">
      <c r="A779" s="3" t="s">
        <v>771</v>
      </c>
      <c r="B779" s="3" t="s">
        <v>57</v>
      </c>
      <c r="C779" s="3" t="s">
        <v>11</v>
      </c>
      <c r="D779" s="3" t="s">
        <v>12</v>
      </c>
      <c r="E779" s="3" t="s">
        <v>1506</v>
      </c>
      <c r="F779" s="3" t="s">
        <v>1403</v>
      </c>
      <c r="G779" s="3" t="n">
        <v>3500</v>
      </c>
      <c r="H779" s="3"/>
      <c r="I779" s="3" t="s">
        <v>1415</v>
      </c>
      <c r="J779" s="4" t="str">
        <f aca="false">IF(AND($A779&lt;&gt;"",$A779=Подбор!$C$4),MAX(J$1:J778)+1,"")</f>
        <v/>
      </c>
    </row>
    <row r="780" customFormat="false" ht="15" hidden="false" customHeight="false" outlineLevel="0" collapsed="false">
      <c r="A780" s="3" t="s">
        <v>772</v>
      </c>
      <c r="B780" s="3" t="s">
        <v>57</v>
      </c>
      <c r="C780" s="3" t="s">
        <v>11</v>
      </c>
      <c r="D780" s="3" t="s">
        <v>12</v>
      </c>
      <c r="E780" s="3" t="s">
        <v>1534</v>
      </c>
      <c r="F780" s="3" t="s">
        <v>1403</v>
      </c>
      <c r="G780" s="3" t="n">
        <v>2000</v>
      </c>
      <c r="H780" s="3"/>
      <c r="I780" s="3" t="s">
        <v>1415</v>
      </c>
      <c r="J780" s="4" t="str">
        <f aca="false">IF(AND($A780&lt;&gt;"",$A780=Подбор!$C$4),MAX(J$1:J779)+1,"")</f>
        <v/>
      </c>
    </row>
    <row r="781" customFormat="false" ht="15" hidden="false" customHeight="false" outlineLevel="0" collapsed="false">
      <c r="A781" s="3" t="s">
        <v>773</v>
      </c>
      <c r="B781" s="3" t="s">
        <v>57</v>
      </c>
      <c r="C781" s="3" t="s">
        <v>11</v>
      </c>
      <c r="D781" s="3" t="s">
        <v>12</v>
      </c>
      <c r="E781" s="3" t="s">
        <v>1534</v>
      </c>
      <c r="F781" s="3" t="s">
        <v>1403</v>
      </c>
      <c r="G781" s="3" t="n">
        <v>2000</v>
      </c>
      <c r="H781" s="3"/>
      <c r="I781" s="3" t="s">
        <v>1415</v>
      </c>
      <c r="J781" s="4" t="str">
        <f aca="false">IF(AND($A781&lt;&gt;"",$A781=Подбор!$C$4),MAX(J$1:J780)+1,"")</f>
        <v/>
      </c>
    </row>
    <row r="782" customFormat="false" ht="15" hidden="false" customHeight="false" outlineLevel="0" collapsed="false">
      <c r="A782" s="3" t="s">
        <v>774</v>
      </c>
      <c r="B782" s="3" t="s">
        <v>57</v>
      </c>
      <c r="C782" s="3" t="s">
        <v>11</v>
      </c>
      <c r="D782" s="3" t="s">
        <v>12</v>
      </c>
      <c r="E782" s="3" t="s">
        <v>1803</v>
      </c>
      <c r="F782" s="3" t="s">
        <v>1403</v>
      </c>
      <c r="G782" s="3" t="n">
        <v>5000</v>
      </c>
      <c r="H782" s="3"/>
      <c r="I782" s="3" t="s">
        <v>1415</v>
      </c>
      <c r="J782" s="4" t="str">
        <f aca="false">IF(AND($A782&lt;&gt;"",$A782=Подбор!$C$4),MAX(J$1:J781)+1,"")</f>
        <v/>
      </c>
    </row>
    <row r="783" customFormat="false" ht="15" hidden="false" customHeight="false" outlineLevel="0" collapsed="false">
      <c r="A783" s="3" t="s">
        <v>776</v>
      </c>
      <c r="B783" s="3" t="s">
        <v>57</v>
      </c>
      <c r="C783" s="3" t="s">
        <v>11</v>
      </c>
      <c r="D783" s="3" t="s">
        <v>12</v>
      </c>
      <c r="E783" s="3" t="s">
        <v>1456</v>
      </c>
      <c r="F783" s="3" t="s">
        <v>1403</v>
      </c>
      <c r="G783" s="3" t="n">
        <v>2200</v>
      </c>
      <c r="H783" s="3"/>
      <c r="I783" s="3" t="s">
        <v>1415</v>
      </c>
      <c r="J783" s="4" t="str">
        <f aca="false">IF(AND($A783&lt;&gt;"",$A783=Подбор!$C$4),MAX(J$1:J782)+1,"")</f>
        <v/>
      </c>
    </row>
    <row r="784" customFormat="false" ht="15" hidden="false" customHeight="false" outlineLevel="0" collapsed="false">
      <c r="A784" s="3" t="s">
        <v>777</v>
      </c>
      <c r="B784" s="3" t="s">
        <v>57</v>
      </c>
      <c r="C784" s="3" t="s">
        <v>11</v>
      </c>
      <c r="D784" s="3" t="s">
        <v>12</v>
      </c>
      <c r="E784" s="3" t="s">
        <v>1804</v>
      </c>
      <c r="F784" s="3" t="s">
        <v>1403</v>
      </c>
      <c r="G784" s="3" t="n">
        <v>7000</v>
      </c>
      <c r="H784" s="3"/>
      <c r="I784" s="3" t="s">
        <v>1415</v>
      </c>
      <c r="J784" s="4" t="str">
        <f aca="false">IF(AND($A784&lt;&gt;"",$A784=Подбор!$C$4),MAX(J$1:J783)+1,"")</f>
        <v/>
      </c>
    </row>
    <row r="785" customFormat="false" ht="15" hidden="false" customHeight="false" outlineLevel="0" collapsed="false">
      <c r="A785" s="3" t="s">
        <v>779</v>
      </c>
      <c r="B785" s="3" t="s">
        <v>57</v>
      </c>
      <c r="C785" s="3" t="s">
        <v>11</v>
      </c>
      <c r="D785" s="3" t="s">
        <v>12</v>
      </c>
      <c r="E785" s="3" t="s">
        <v>1782</v>
      </c>
      <c r="F785" s="3" t="s">
        <v>1417</v>
      </c>
      <c r="G785" s="3" t="n">
        <v>13500</v>
      </c>
      <c r="H785" s="3"/>
      <c r="I785" s="3" t="s">
        <v>1415</v>
      </c>
      <c r="J785" s="4" t="str">
        <f aca="false">IF(AND($A785&lt;&gt;"",$A785=Подбор!$C$4),MAX(J$1:J784)+1,"")</f>
        <v/>
      </c>
    </row>
    <row r="786" customFormat="false" ht="15" hidden="false" customHeight="false" outlineLevel="0" collapsed="false">
      <c r="A786" s="3" t="s">
        <v>780</v>
      </c>
      <c r="B786" s="3" t="s">
        <v>57</v>
      </c>
      <c r="C786" s="3" t="s">
        <v>11</v>
      </c>
      <c r="D786" s="3" t="s">
        <v>12</v>
      </c>
      <c r="E786" s="3" t="s">
        <v>1803</v>
      </c>
      <c r="F786" s="3" t="s">
        <v>1403</v>
      </c>
      <c r="G786" s="3" t="n">
        <v>5000</v>
      </c>
      <c r="H786" s="3"/>
      <c r="I786" s="3" t="s">
        <v>1415</v>
      </c>
      <c r="J786" s="4" t="str">
        <f aca="false">IF(AND($A786&lt;&gt;"",$A786=Подбор!$C$4),MAX(J$1:J785)+1,"")</f>
        <v/>
      </c>
    </row>
    <row r="787" customFormat="false" ht="15" hidden="false" customHeight="false" outlineLevel="0" collapsed="false">
      <c r="A787" s="3" t="s">
        <v>781</v>
      </c>
      <c r="B787" s="3" t="s">
        <v>57</v>
      </c>
      <c r="C787" s="3" t="s">
        <v>11</v>
      </c>
      <c r="D787" s="3" t="s">
        <v>12</v>
      </c>
      <c r="E787" s="3" t="s">
        <v>1536</v>
      </c>
      <c r="F787" s="3" t="s">
        <v>1403</v>
      </c>
      <c r="G787" s="3" t="n">
        <v>13500</v>
      </c>
      <c r="H787" s="3"/>
      <c r="I787" s="3" t="s">
        <v>1415</v>
      </c>
      <c r="J787" s="4" t="str">
        <f aca="false">IF(AND($A787&lt;&gt;"",$A787=Подбор!$C$4),MAX(J$1:J786)+1,"")</f>
        <v/>
      </c>
    </row>
    <row r="788" customFormat="false" ht="15" hidden="false" customHeight="false" outlineLevel="0" collapsed="false">
      <c r="A788" s="3" t="s">
        <v>782</v>
      </c>
      <c r="B788" s="3" t="s">
        <v>57</v>
      </c>
      <c r="C788" s="3" t="s">
        <v>11</v>
      </c>
      <c r="D788" s="3" t="s">
        <v>12</v>
      </c>
      <c r="E788" s="3" t="s">
        <v>1785</v>
      </c>
      <c r="F788" s="3" t="s">
        <v>1403</v>
      </c>
      <c r="G788" s="3" t="n">
        <v>24000</v>
      </c>
      <c r="H788" s="3"/>
      <c r="I788" s="3" t="s">
        <v>1415</v>
      </c>
      <c r="J788" s="4" t="str">
        <f aca="false">IF(AND($A788&lt;&gt;"",$A788=Подбор!$C$4),MAX(J$1:J787)+1,"")</f>
        <v/>
      </c>
    </row>
    <row r="789" customFormat="false" ht="15" hidden="false" customHeight="false" outlineLevel="0" collapsed="false">
      <c r="A789" s="3" t="s">
        <v>783</v>
      </c>
      <c r="B789" s="3" t="s">
        <v>57</v>
      </c>
      <c r="C789" s="3" t="s">
        <v>11</v>
      </c>
      <c r="D789" s="3" t="s">
        <v>12</v>
      </c>
      <c r="E789" s="3" t="s">
        <v>1786</v>
      </c>
      <c r="F789" s="3" t="s">
        <v>1403</v>
      </c>
      <c r="G789" s="3" t="n">
        <v>10000</v>
      </c>
      <c r="H789" s="3"/>
      <c r="I789" s="3" t="s">
        <v>1415</v>
      </c>
      <c r="J789" s="4" t="str">
        <f aca="false">IF(AND($A789&lt;&gt;"",$A789=Подбор!$C$4),MAX(J$1:J788)+1,"")</f>
        <v/>
      </c>
    </row>
    <row r="790" customFormat="false" ht="15" hidden="false" customHeight="false" outlineLevel="0" collapsed="false">
      <c r="A790" s="3" t="s">
        <v>784</v>
      </c>
      <c r="B790" s="3" t="s">
        <v>57</v>
      </c>
      <c r="C790" s="3" t="s">
        <v>11</v>
      </c>
      <c r="D790" s="3" t="s">
        <v>12</v>
      </c>
      <c r="E790" s="3" t="s">
        <v>1786</v>
      </c>
      <c r="F790" s="3" t="s">
        <v>1403</v>
      </c>
      <c r="G790" s="3" t="n">
        <v>10000</v>
      </c>
      <c r="H790" s="3"/>
      <c r="I790" s="3" t="s">
        <v>1415</v>
      </c>
      <c r="J790" s="4" t="str">
        <f aca="false">IF(AND($A790&lt;&gt;"",$A790=Подбор!$C$4),MAX(J$1:J789)+1,"")</f>
        <v/>
      </c>
    </row>
    <row r="791" customFormat="false" ht="15" hidden="false" customHeight="false" outlineLevel="0" collapsed="false">
      <c r="A791" s="3" t="s">
        <v>785</v>
      </c>
      <c r="B791" s="3" t="s">
        <v>57</v>
      </c>
      <c r="C791" s="3" t="s">
        <v>11</v>
      </c>
      <c r="D791" s="3" t="s">
        <v>12</v>
      </c>
      <c r="E791" s="3" t="s">
        <v>1568</v>
      </c>
      <c r="F791" s="3" t="s">
        <v>1403</v>
      </c>
      <c r="G791" s="3" t="n">
        <v>17500</v>
      </c>
      <c r="H791" s="3"/>
      <c r="I791" s="3" t="s">
        <v>1415</v>
      </c>
      <c r="J791" s="4" t="str">
        <f aca="false">IF(AND($A791&lt;&gt;"",$A791=Подбор!$C$4),MAX(J$1:J790)+1,"")</f>
        <v/>
      </c>
    </row>
    <row r="792" customFormat="false" ht="15" hidden="false" customHeight="false" outlineLevel="0" collapsed="false">
      <c r="A792" s="3" t="s">
        <v>787</v>
      </c>
      <c r="B792" s="3" t="s">
        <v>57</v>
      </c>
      <c r="C792" s="3" t="s">
        <v>11</v>
      </c>
      <c r="D792" s="3" t="s">
        <v>12</v>
      </c>
      <c r="E792" s="3" t="s">
        <v>1805</v>
      </c>
      <c r="F792" s="3" t="s">
        <v>1403</v>
      </c>
      <c r="G792" s="3" t="n">
        <v>23000</v>
      </c>
      <c r="H792" s="3"/>
      <c r="I792" s="3" t="s">
        <v>1415</v>
      </c>
      <c r="J792" s="4" t="str">
        <f aca="false">IF(AND($A792&lt;&gt;"",$A792=Подбор!$C$4),MAX(J$1:J791)+1,"")</f>
        <v/>
      </c>
    </row>
    <row r="793" customFormat="false" ht="15" hidden="false" customHeight="false" outlineLevel="0" collapsed="false">
      <c r="A793" s="3" t="s">
        <v>789</v>
      </c>
      <c r="B793" s="3" t="s">
        <v>57</v>
      </c>
      <c r="C793" s="3" t="s">
        <v>11</v>
      </c>
      <c r="D793" s="3" t="s">
        <v>12</v>
      </c>
      <c r="E793" s="3" t="s">
        <v>1568</v>
      </c>
      <c r="F793" s="3" t="s">
        <v>1403</v>
      </c>
      <c r="G793" s="3" t="n">
        <v>17500</v>
      </c>
      <c r="H793" s="3"/>
      <c r="I793" s="3" t="s">
        <v>1415</v>
      </c>
      <c r="J793" s="4" t="str">
        <f aca="false">IF(AND($A793&lt;&gt;"",$A793=Подбор!$C$4),MAX(J$1:J792)+1,"")</f>
        <v/>
      </c>
    </row>
    <row r="794" customFormat="false" ht="15" hidden="false" customHeight="false" outlineLevel="0" collapsed="false">
      <c r="A794" s="3" t="s">
        <v>790</v>
      </c>
      <c r="B794" s="3" t="s">
        <v>57</v>
      </c>
      <c r="C794" s="3" t="s">
        <v>11</v>
      </c>
      <c r="D794" s="3" t="s">
        <v>12</v>
      </c>
      <c r="E794" s="3" t="s">
        <v>1568</v>
      </c>
      <c r="F794" s="3" t="s">
        <v>1403</v>
      </c>
      <c r="G794" s="3" t="n">
        <v>17500</v>
      </c>
      <c r="H794" s="3"/>
      <c r="I794" s="3" t="s">
        <v>1415</v>
      </c>
      <c r="J794" s="4" t="str">
        <f aca="false">IF(AND($A794&lt;&gt;"",$A794=Подбор!$C$4),MAX(J$1:J793)+1,"")</f>
        <v/>
      </c>
    </row>
    <row r="795" customFormat="false" ht="15" hidden="false" customHeight="false" outlineLevel="0" collapsed="false">
      <c r="A795" s="3" t="s">
        <v>791</v>
      </c>
      <c r="B795" s="3" t="s">
        <v>57</v>
      </c>
      <c r="C795" s="3" t="s">
        <v>11</v>
      </c>
      <c r="D795" s="3" t="s">
        <v>12</v>
      </c>
      <c r="E795" s="3" t="s">
        <v>1483</v>
      </c>
      <c r="F795" s="3" t="s">
        <v>1403</v>
      </c>
      <c r="G795" s="3" t="n">
        <v>3100</v>
      </c>
      <c r="H795" s="3"/>
      <c r="I795" s="3" t="s">
        <v>1415</v>
      </c>
      <c r="J795" s="4" t="str">
        <f aca="false">IF(AND($A795&lt;&gt;"",$A795=Подбор!$C$4),MAX(J$1:J794)+1,"")</f>
        <v/>
      </c>
    </row>
    <row r="796" customFormat="false" ht="15" hidden="false" customHeight="false" outlineLevel="0" collapsed="false">
      <c r="A796" s="3" t="s">
        <v>792</v>
      </c>
      <c r="B796" s="3" t="s">
        <v>57</v>
      </c>
      <c r="C796" s="3" t="s">
        <v>11</v>
      </c>
      <c r="D796" s="3" t="s">
        <v>12</v>
      </c>
      <c r="E796" s="3" t="s">
        <v>1790</v>
      </c>
      <c r="F796" s="3" t="s">
        <v>1403</v>
      </c>
      <c r="G796" s="3" t="n">
        <v>11000</v>
      </c>
      <c r="H796" s="3"/>
      <c r="I796" s="3" t="s">
        <v>1415</v>
      </c>
      <c r="J796" s="4" t="str">
        <f aca="false">IF(AND($A796&lt;&gt;"",$A796=Подбор!$C$4),MAX(J$1:J795)+1,"")</f>
        <v/>
      </c>
    </row>
    <row r="797" customFormat="false" ht="15" hidden="false" customHeight="false" outlineLevel="0" collapsed="false">
      <c r="A797" s="3" t="s">
        <v>793</v>
      </c>
      <c r="B797" s="3" t="s">
        <v>57</v>
      </c>
      <c r="C797" s="3" t="s">
        <v>11</v>
      </c>
      <c r="D797" s="3" t="s">
        <v>12</v>
      </c>
      <c r="E797" s="3" t="s">
        <v>1498</v>
      </c>
      <c r="F797" s="3" t="s">
        <v>1403</v>
      </c>
      <c r="G797" s="3" t="n">
        <v>6500</v>
      </c>
      <c r="H797" s="3"/>
      <c r="I797" s="3" t="s">
        <v>1415</v>
      </c>
      <c r="J797" s="4" t="str">
        <f aca="false">IF(AND($A797&lt;&gt;"",$A797=Подбор!$C$4),MAX(J$1:J796)+1,"")</f>
        <v/>
      </c>
    </row>
    <row r="798" customFormat="false" ht="15" hidden="false" customHeight="false" outlineLevel="0" collapsed="false">
      <c r="A798" s="3" t="s">
        <v>794</v>
      </c>
      <c r="B798" s="3" t="s">
        <v>57</v>
      </c>
      <c r="C798" s="3" t="s">
        <v>11</v>
      </c>
      <c r="D798" s="3" t="s">
        <v>12</v>
      </c>
      <c r="E798" s="3" t="s">
        <v>1530</v>
      </c>
      <c r="F798" s="3" t="s">
        <v>1403</v>
      </c>
      <c r="G798" s="3" t="n">
        <v>2500</v>
      </c>
      <c r="H798" s="3"/>
      <c r="I798" s="3" t="s">
        <v>1415</v>
      </c>
      <c r="J798" s="4" t="str">
        <f aca="false">IF(AND($A798&lt;&gt;"",$A798=Подбор!$C$4),MAX(J$1:J797)+1,"")</f>
        <v/>
      </c>
    </row>
    <row r="799" customFormat="false" ht="15" hidden="false" customHeight="false" outlineLevel="0" collapsed="false">
      <c r="A799" s="3" t="s">
        <v>795</v>
      </c>
      <c r="B799" s="3" t="s">
        <v>57</v>
      </c>
      <c r="C799" s="3" t="s">
        <v>11</v>
      </c>
      <c r="D799" s="3" t="s">
        <v>12</v>
      </c>
      <c r="E799" s="3" t="s">
        <v>1806</v>
      </c>
      <c r="F799" s="3" t="s">
        <v>1403</v>
      </c>
      <c r="G799" s="3" t="n">
        <v>12000</v>
      </c>
      <c r="H799" s="3"/>
      <c r="I799" s="3" t="s">
        <v>1415</v>
      </c>
      <c r="J799" s="4" t="str">
        <f aca="false">IF(AND($A799&lt;&gt;"",$A799=Подбор!$C$4),MAX(J$1:J798)+1,"")</f>
        <v/>
      </c>
    </row>
    <row r="800" customFormat="false" ht="15" hidden="false" customHeight="false" outlineLevel="0" collapsed="false">
      <c r="A800" s="3" t="s">
        <v>797</v>
      </c>
      <c r="B800" s="3" t="s">
        <v>57</v>
      </c>
      <c r="C800" s="3" t="s">
        <v>11</v>
      </c>
      <c r="D800" s="3" t="s">
        <v>12</v>
      </c>
      <c r="E800" s="3" t="s">
        <v>1504</v>
      </c>
      <c r="F800" s="3" t="s">
        <v>1403</v>
      </c>
      <c r="G800" s="3" t="n">
        <v>20000</v>
      </c>
      <c r="H800" s="3"/>
      <c r="I800" s="3" t="s">
        <v>1415</v>
      </c>
      <c r="J800" s="4" t="str">
        <f aca="false">IF(AND($A800&lt;&gt;"",$A800=Подбор!$C$4),MAX(J$1:J799)+1,"")</f>
        <v/>
      </c>
    </row>
    <row r="801" customFormat="false" ht="15" hidden="false" customHeight="false" outlineLevel="0" collapsed="false">
      <c r="A801" s="3" t="s">
        <v>798</v>
      </c>
      <c r="B801" s="3" t="s">
        <v>57</v>
      </c>
      <c r="C801" s="3" t="s">
        <v>11</v>
      </c>
      <c r="D801" s="3" t="s">
        <v>12</v>
      </c>
      <c r="E801" s="3" t="s">
        <v>1530</v>
      </c>
      <c r="F801" s="3" t="s">
        <v>1403</v>
      </c>
      <c r="G801" s="3" t="n">
        <v>2500</v>
      </c>
      <c r="H801" s="3"/>
      <c r="I801" s="3" t="s">
        <v>1415</v>
      </c>
      <c r="J801" s="4" t="str">
        <f aca="false">IF(AND($A801&lt;&gt;"",$A801=Подбор!$C$4),MAX(J$1:J800)+1,"")</f>
        <v/>
      </c>
    </row>
    <row r="802" customFormat="false" ht="15" hidden="false" customHeight="false" outlineLevel="0" collapsed="false">
      <c r="A802" s="3" t="s">
        <v>799</v>
      </c>
      <c r="B802" s="3" t="s">
        <v>57</v>
      </c>
      <c r="C802" s="3" t="s">
        <v>567</v>
      </c>
      <c r="D802" s="3" t="s">
        <v>12</v>
      </c>
      <c r="E802" s="3" t="s">
        <v>1807</v>
      </c>
      <c r="F802" s="3" t="s">
        <v>1417</v>
      </c>
      <c r="G802" s="3"/>
      <c r="H802" s="3"/>
      <c r="I802" s="3"/>
      <c r="J802" s="4" t="str">
        <f aca="false">IF(AND($A802&lt;&gt;"",$A802=Подбор!$C$4),MAX(J$1:J801)+1,"")</f>
        <v/>
      </c>
    </row>
    <row r="803" customFormat="false" ht="15" hidden="false" customHeight="false" outlineLevel="0" collapsed="false">
      <c r="A803" s="3" t="s">
        <v>800</v>
      </c>
      <c r="B803" s="3" t="s">
        <v>57</v>
      </c>
      <c r="C803" s="3" t="s">
        <v>567</v>
      </c>
      <c r="D803" s="3" t="s">
        <v>12</v>
      </c>
      <c r="E803" s="3" t="s">
        <v>15</v>
      </c>
      <c r="F803" s="3"/>
      <c r="G803" s="3"/>
      <c r="H803" s="3"/>
      <c r="I803" s="3"/>
      <c r="J803" s="4" t="str">
        <f aca="false">IF(AND($A803&lt;&gt;"",$A803=Подбор!$C$4),MAX(J$1:J802)+1,"")</f>
        <v/>
      </c>
    </row>
    <row r="804" customFormat="false" ht="15" hidden="false" customHeight="false" outlineLevel="0" collapsed="false">
      <c r="A804" s="3" t="s">
        <v>801</v>
      </c>
      <c r="B804" s="3" t="s">
        <v>57</v>
      </c>
      <c r="C804" s="3" t="s">
        <v>11</v>
      </c>
      <c r="D804" s="3" t="s">
        <v>12</v>
      </c>
      <c r="E804" s="3" t="s">
        <v>1462</v>
      </c>
      <c r="F804" s="3" t="s">
        <v>1403</v>
      </c>
      <c r="G804" s="3" t="n">
        <v>1600</v>
      </c>
      <c r="H804" s="3"/>
      <c r="I804" s="3" t="s">
        <v>1415</v>
      </c>
      <c r="J804" s="4" t="str">
        <f aca="false">IF(AND($A804&lt;&gt;"",$A804=Подбор!$C$4),MAX(J$1:J803)+1,"")</f>
        <v/>
      </c>
    </row>
    <row r="805" customFormat="false" ht="15" hidden="false" customHeight="false" outlineLevel="0" collapsed="false">
      <c r="A805" s="3" t="s">
        <v>802</v>
      </c>
      <c r="B805" s="3" t="s">
        <v>57</v>
      </c>
      <c r="C805" s="3" t="s">
        <v>11</v>
      </c>
      <c r="D805" s="3" t="s">
        <v>12</v>
      </c>
      <c r="E805" s="3" t="s">
        <v>1797</v>
      </c>
      <c r="F805" s="3" t="s">
        <v>1403</v>
      </c>
      <c r="G805" s="3" t="n">
        <v>1600</v>
      </c>
      <c r="H805" s="3"/>
      <c r="I805" s="3" t="s">
        <v>1415</v>
      </c>
      <c r="J805" s="4" t="str">
        <f aca="false">IF(AND($A805&lt;&gt;"",$A805=Подбор!$C$4),MAX(J$1:J804)+1,"")</f>
        <v/>
      </c>
    </row>
    <row r="806" customFormat="false" ht="15" hidden="false" customHeight="false" outlineLevel="0" collapsed="false">
      <c r="A806" s="3" t="s">
        <v>803</v>
      </c>
      <c r="B806" s="3" t="s">
        <v>57</v>
      </c>
      <c r="C806" s="3" t="s">
        <v>11</v>
      </c>
      <c r="D806" s="3" t="s">
        <v>12</v>
      </c>
      <c r="E806" s="3" t="s">
        <v>1768</v>
      </c>
      <c r="F806" s="3" t="s">
        <v>1403</v>
      </c>
      <c r="G806" s="3" t="n">
        <v>3000</v>
      </c>
      <c r="H806" s="3"/>
      <c r="I806" s="3" t="s">
        <v>1415</v>
      </c>
      <c r="J806" s="4" t="str">
        <f aca="false">IF(AND($A806&lt;&gt;"",$A806=Подбор!$C$4),MAX(J$1:J805)+1,"")</f>
        <v/>
      </c>
    </row>
    <row r="807" customFormat="false" ht="15" hidden="false" customHeight="false" outlineLevel="0" collapsed="false">
      <c r="A807" s="3" t="s">
        <v>804</v>
      </c>
      <c r="B807" s="3" t="s">
        <v>57</v>
      </c>
      <c r="C807" s="3" t="s">
        <v>11</v>
      </c>
      <c r="D807" s="3" t="s">
        <v>12</v>
      </c>
      <c r="E807" s="3" t="s">
        <v>1498</v>
      </c>
      <c r="F807" s="3" t="s">
        <v>1403</v>
      </c>
      <c r="G807" s="3" t="n">
        <v>6500</v>
      </c>
      <c r="H807" s="3"/>
      <c r="I807" s="3" t="s">
        <v>1415</v>
      </c>
      <c r="J807" s="4" t="str">
        <f aca="false">IF(AND($A807&lt;&gt;"",$A807=Подбор!$C$4),MAX(J$1:J806)+1,"")</f>
        <v/>
      </c>
    </row>
    <row r="808" customFormat="false" ht="15" hidden="false" customHeight="false" outlineLevel="0" collapsed="false">
      <c r="A808" s="3" t="s">
        <v>805</v>
      </c>
      <c r="B808" s="3" t="s">
        <v>57</v>
      </c>
      <c r="C808" s="3" t="s">
        <v>11</v>
      </c>
      <c r="D808" s="3" t="s">
        <v>12</v>
      </c>
      <c r="E808" s="3" t="s">
        <v>1492</v>
      </c>
      <c r="F808" s="3" t="s">
        <v>1403</v>
      </c>
      <c r="G808" s="3" t="n">
        <v>3000</v>
      </c>
      <c r="H808" s="3"/>
      <c r="I808" s="3" t="s">
        <v>1415</v>
      </c>
      <c r="J808" s="4" t="str">
        <f aca="false">IF(AND($A808&lt;&gt;"",$A808=Подбор!$C$4),MAX(J$1:J807)+1,"")</f>
        <v/>
      </c>
    </row>
    <row r="809" customFormat="false" ht="15" hidden="false" customHeight="false" outlineLevel="0" collapsed="false">
      <c r="A809" s="3" t="s">
        <v>806</v>
      </c>
      <c r="B809" s="3" t="s">
        <v>57</v>
      </c>
      <c r="C809" s="3" t="s">
        <v>11</v>
      </c>
      <c r="D809" s="3" t="s">
        <v>12</v>
      </c>
      <c r="E809" s="3" t="s">
        <v>1808</v>
      </c>
      <c r="F809" s="3" t="s">
        <v>1403</v>
      </c>
      <c r="G809" s="3" t="n">
        <v>15000</v>
      </c>
      <c r="H809" s="3"/>
      <c r="I809" s="3" t="s">
        <v>1415</v>
      </c>
      <c r="J809" s="4" t="str">
        <f aca="false">IF(AND($A809&lt;&gt;"",$A809=Подбор!$C$4),MAX(J$1:J808)+1,"")</f>
        <v/>
      </c>
    </row>
    <row r="810" customFormat="false" ht="15" hidden="false" customHeight="false" outlineLevel="0" collapsed="false">
      <c r="A810" s="3" t="s">
        <v>808</v>
      </c>
      <c r="B810" s="3" t="s">
        <v>57</v>
      </c>
      <c r="C810" s="3" t="s">
        <v>11</v>
      </c>
      <c r="D810" s="3" t="s">
        <v>12</v>
      </c>
      <c r="E810" s="3" t="s">
        <v>1808</v>
      </c>
      <c r="F810" s="3" t="s">
        <v>1403</v>
      </c>
      <c r="G810" s="3" t="n">
        <v>15000</v>
      </c>
      <c r="H810" s="3"/>
      <c r="I810" s="3" t="s">
        <v>1415</v>
      </c>
      <c r="J810" s="4" t="str">
        <f aca="false">IF(AND($A810&lt;&gt;"",$A810=Подбор!$C$4),MAX(J$1:J809)+1,"")</f>
        <v/>
      </c>
    </row>
    <row r="811" customFormat="false" ht="15" hidden="false" customHeight="false" outlineLevel="0" collapsed="false">
      <c r="A811" s="3" t="s">
        <v>809</v>
      </c>
      <c r="B811" s="3" t="s">
        <v>57</v>
      </c>
      <c r="C811" s="3" t="s">
        <v>11</v>
      </c>
      <c r="D811" s="3" t="s">
        <v>12</v>
      </c>
      <c r="E811" s="3" t="s">
        <v>1808</v>
      </c>
      <c r="F811" s="3" t="s">
        <v>1403</v>
      </c>
      <c r="G811" s="3" t="n">
        <v>15000</v>
      </c>
      <c r="H811" s="3"/>
      <c r="I811" s="3" t="s">
        <v>1415</v>
      </c>
      <c r="J811" s="4" t="str">
        <f aca="false">IF(AND($A811&lt;&gt;"",$A811=Подбор!$C$4),MAX(J$1:J810)+1,"")</f>
        <v/>
      </c>
    </row>
    <row r="812" customFormat="false" ht="15" hidden="false" customHeight="false" outlineLevel="0" collapsed="false">
      <c r="A812" s="3" t="s">
        <v>810</v>
      </c>
      <c r="B812" s="3" t="s">
        <v>57</v>
      </c>
      <c r="C812" s="3" t="s">
        <v>11</v>
      </c>
      <c r="D812" s="3" t="s">
        <v>12</v>
      </c>
      <c r="E812" s="3" t="s">
        <v>1808</v>
      </c>
      <c r="F812" s="3" t="s">
        <v>1403</v>
      </c>
      <c r="G812" s="3" t="n">
        <v>15000</v>
      </c>
      <c r="H812" s="3"/>
      <c r="I812" s="3" t="s">
        <v>1415</v>
      </c>
      <c r="J812" s="4" t="str">
        <f aca="false">IF(AND($A812&lt;&gt;"",$A812=Подбор!$C$4),MAX(J$1:J811)+1,"")</f>
        <v/>
      </c>
    </row>
    <row r="813" customFormat="false" ht="15" hidden="false" customHeight="false" outlineLevel="0" collapsed="false">
      <c r="A813" s="3" t="s">
        <v>811</v>
      </c>
      <c r="B813" s="3" t="s">
        <v>57</v>
      </c>
      <c r="C813" s="3" t="s">
        <v>11</v>
      </c>
      <c r="D813" s="3" t="s">
        <v>12</v>
      </c>
      <c r="E813" s="3" t="s">
        <v>1451</v>
      </c>
      <c r="F813" s="3" t="s">
        <v>1421</v>
      </c>
      <c r="G813" s="3" t="n">
        <v>18000</v>
      </c>
      <c r="H813" s="3"/>
      <c r="I813" s="3" t="s">
        <v>1415</v>
      </c>
      <c r="J813" s="4" t="str">
        <f aca="false">IF(AND($A813&lt;&gt;"",$A813=Подбор!$C$4),MAX(J$1:J812)+1,"")</f>
        <v/>
      </c>
    </row>
    <row r="814" customFormat="false" ht="15" hidden="false" customHeight="false" outlineLevel="0" collapsed="false">
      <c r="A814" s="3" t="s">
        <v>812</v>
      </c>
      <c r="B814" s="3" t="s">
        <v>57</v>
      </c>
      <c r="C814" s="3" t="s">
        <v>11</v>
      </c>
      <c r="D814" s="3" t="s">
        <v>12</v>
      </c>
      <c r="E814" s="3" t="s">
        <v>1752</v>
      </c>
      <c r="F814" s="3" t="s">
        <v>1403</v>
      </c>
      <c r="G814" s="3"/>
      <c r="H814" s="3"/>
      <c r="I814" s="3"/>
      <c r="J814" s="4" t="str">
        <f aca="false">IF(AND($A814&lt;&gt;"",$A814=Подбор!$C$4),MAX(J$1:J813)+1,"")</f>
        <v/>
      </c>
    </row>
    <row r="815" customFormat="false" ht="15" hidden="false" customHeight="false" outlineLevel="0" collapsed="false">
      <c r="A815" s="3" t="s">
        <v>813</v>
      </c>
      <c r="B815" s="3" t="s">
        <v>57</v>
      </c>
      <c r="C815" s="3" t="s">
        <v>11</v>
      </c>
      <c r="D815" s="3" t="s">
        <v>12</v>
      </c>
      <c r="E815" s="3" t="s">
        <v>1568</v>
      </c>
      <c r="F815" s="3" t="s">
        <v>1403</v>
      </c>
      <c r="G815" s="3" t="n">
        <v>17500</v>
      </c>
      <c r="H815" s="3"/>
      <c r="I815" s="3" t="s">
        <v>1415</v>
      </c>
      <c r="J815" s="4" t="str">
        <f aca="false">IF(AND($A815&lt;&gt;"",$A815=Подбор!$C$4),MAX(J$1:J814)+1,"")</f>
        <v/>
      </c>
    </row>
    <row r="816" customFormat="false" ht="15" hidden="false" customHeight="false" outlineLevel="0" collapsed="false">
      <c r="A816" s="3" t="s">
        <v>814</v>
      </c>
      <c r="B816" s="3" t="s">
        <v>57</v>
      </c>
      <c r="C816" s="3" t="s">
        <v>11</v>
      </c>
      <c r="D816" s="3" t="s">
        <v>12</v>
      </c>
      <c r="E816" s="3" t="s">
        <v>1534</v>
      </c>
      <c r="F816" s="3" t="s">
        <v>1403</v>
      </c>
      <c r="G816" s="3" t="n">
        <v>2000</v>
      </c>
      <c r="H816" s="3"/>
      <c r="I816" s="3" t="s">
        <v>1415</v>
      </c>
      <c r="J816" s="4" t="str">
        <f aca="false">IF(AND($A816&lt;&gt;"",$A816=Подбор!$C$4),MAX(J$1:J815)+1,"")</f>
        <v/>
      </c>
    </row>
    <row r="817" customFormat="false" ht="15" hidden="false" customHeight="false" outlineLevel="0" collapsed="false">
      <c r="A817" s="3" t="s">
        <v>815</v>
      </c>
      <c r="B817" s="3" t="s">
        <v>68</v>
      </c>
      <c r="C817" s="3" t="s">
        <v>11</v>
      </c>
      <c r="D817" s="3" t="s">
        <v>12</v>
      </c>
      <c r="E817" s="3" t="s">
        <v>1560</v>
      </c>
      <c r="F817" s="3" t="s">
        <v>1403</v>
      </c>
      <c r="G817" s="3" t="n">
        <v>3000</v>
      </c>
      <c r="H817" s="3"/>
      <c r="I817" s="3" t="s">
        <v>1415</v>
      </c>
      <c r="J817" s="4" t="str">
        <f aca="false">IF(AND($A817&lt;&gt;"",$A817=Подбор!$C$4),MAX(J$1:J816)+1,"")</f>
        <v/>
      </c>
    </row>
    <row r="818" customFormat="false" ht="15" hidden="false" customHeight="false" outlineLevel="0" collapsed="false">
      <c r="A818" s="3" t="s">
        <v>816</v>
      </c>
      <c r="B818" s="3" t="s">
        <v>57</v>
      </c>
      <c r="C818" s="3" t="s">
        <v>11</v>
      </c>
      <c r="D818" s="3" t="s">
        <v>12</v>
      </c>
      <c r="E818" s="3" t="s">
        <v>1462</v>
      </c>
      <c r="F818" s="3" t="s">
        <v>1403</v>
      </c>
      <c r="G818" s="3" t="n">
        <v>1600</v>
      </c>
      <c r="H818" s="3"/>
      <c r="I818" s="3" t="s">
        <v>1415</v>
      </c>
      <c r="J818" s="4" t="str">
        <f aca="false">IF(AND($A818&lt;&gt;"",$A818=Подбор!$C$4),MAX(J$1:J817)+1,"")</f>
        <v/>
      </c>
    </row>
    <row r="819" customFormat="false" ht="15" hidden="false" customHeight="false" outlineLevel="0" collapsed="false">
      <c r="A819" s="3" t="s">
        <v>817</v>
      </c>
      <c r="B819" s="3" t="s">
        <v>57</v>
      </c>
      <c r="C819" s="3" t="s">
        <v>11</v>
      </c>
      <c r="D819" s="3" t="s">
        <v>12</v>
      </c>
      <c r="E819" s="3" t="s">
        <v>1452</v>
      </c>
      <c r="F819" s="3" t="s">
        <v>1403</v>
      </c>
      <c r="G819" s="3" t="n">
        <v>2000</v>
      </c>
      <c r="H819" s="3"/>
      <c r="I819" s="3" t="s">
        <v>1415</v>
      </c>
      <c r="J819" s="4" t="str">
        <f aca="false">IF(AND($A819&lt;&gt;"",$A819=Подбор!$C$4),MAX(J$1:J818)+1,"")</f>
        <v/>
      </c>
    </row>
    <row r="820" customFormat="false" ht="15" hidden="false" customHeight="false" outlineLevel="0" collapsed="false">
      <c r="A820" s="3" t="s">
        <v>818</v>
      </c>
      <c r="B820" s="3" t="s">
        <v>57</v>
      </c>
      <c r="C820" s="3" t="s">
        <v>11</v>
      </c>
      <c r="D820" s="3" t="s">
        <v>12</v>
      </c>
      <c r="E820" s="3" t="s">
        <v>1530</v>
      </c>
      <c r="F820" s="3" t="s">
        <v>1403</v>
      </c>
      <c r="G820" s="3" t="n">
        <v>2500</v>
      </c>
      <c r="H820" s="3"/>
      <c r="I820" s="3" t="s">
        <v>1415</v>
      </c>
      <c r="J820" s="4" t="str">
        <f aca="false">IF(AND($A820&lt;&gt;"",$A820=Подбор!$C$4),MAX(J$1:J819)+1,"")</f>
        <v/>
      </c>
    </row>
    <row r="821" customFormat="false" ht="15" hidden="false" customHeight="false" outlineLevel="0" collapsed="false">
      <c r="A821" s="3" t="s">
        <v>819</v>
      </c>
      <c r="B821" s="3" t="s">
        <v>57</v>
      </c>
      <c r="C821" s="3" t="s">
        <v>11</v>
      </c>
      <c r="D821" s="3" t="s">
        <v>12</v>
      </c>
      <c r="E821" s="3" t="s">
        <v>1530</v>
      </c>
      <c r="F821" s="3" t="s">
        <v>1403</v>
      </c>
      <c r="G821" s="3" t="n">
        <v>2500</v>
      </c>
      <c r="H821" s="3"/>
      <c r="I821" s="3" t="s">
        <v>1415</v>
      </c>
      <c r="J821" s="4" t="str">
        <f aca="false">IF(AND($A821&lt;&gt;"",$A821=Подбор!$C$4),MAX(J$1:J820)+1,"")</f>
        <v/>
      </c>
    </row>
    <row r="822" customFormat="false" ht="15" hidden="false" customHeight="false" outlineLevel="0" collapsed="false">
      <c r="A822" s="3" t="s">
        <v>820</v>
      </c>
      <c r="B822" s="3" t="s">
        <v>57</v>
      </c>
      <c r="C822" s="3" t="s">
        <v>11</v>
      </c>
      <c r="D822" s="3" t="s">
        <v>12</v>
      </c>
      <c r="E822" s="3" t="s">
        <v>1452</v>
      </c>
      <c r="F822" s="3" t="s">
        <v>1403</v>
      </c>
      <c r="G822" s="3" t="n">
        <v>2000</v>
      </c>
      <c r="H822" s="3"/>
      <c r="I822" s="3" t="s">
        <v>1415</v>
      </c>
      <c r="J822" s="4" t="str">
        <f aca="false">IF(AND($A822&lt;&gt;"",$A822=Подбор!$C$4),MAX(J$1:J821)+1,"")</f>
        <v/>
      </c>
    </row>
    <row r="823" customFormat="false" ht="15" hidden="false" customHeight="false" outlineLevel="0" collapsed="false">
      <c r="A823" s="3" t="s">
        <v>821</v>
      </c>
      <c r="B823" s="3" t="s">
        <v>57</v>
      </c>
      <c r="C823" s="3" t="s">
        <v>11</v>
      </c>
      <c r="D823" s="3" t="s">
        <v>12</v>
      </c>
      <c r="E823" s="3" t="s">
        <v>1809</v>
      </c>
      <c r="F823" s="3" t="s">
        <v>1403</v>
      </c>
      <c r="G823" s="3"/>
      <c r="H823" s="3"/>
      <c r="I823" s="3"/>
      <c r="J823" s="4" t="str">
        <f aca="false">IF(AND($A823&lt;&gt;"",$A823=Подбор!$C$4),MAX(J$1:J822)+1,"")</f>
        <v/>
      </c>
    </row>
    <row r="824" customFormat="false" ht="15" hidden="false" customHeight="false" outlineLevel="0" collapsed="false">
      <c r="A824" s="3" t="s">
        <v>823</v>
      </c>
      <c r="B824" s="3" t="s">
        <v>57</v>
      </c>
      <c r="C824" s="3" t="s">
        <v>11</v>
      </c>
      <c r="D824" s="3" t="s">
        <v>12</v>
      </c>
      <c r="E824" s="3" t="s">
        <v>1809</v>
      </c>
      <c r="F824" s="3" t="s">
        <v>1403</v>
      </c>
      <c r="G824" s="3"/>
      <c r="H824" s="3"/>
      <c r="I824" s="3"/>
      <c r="J824" s="4" t="str">
        <f aca="false">IF(AND($A824&lt;&gt;"",$A824=Подбор!$C$4),MAX(J$1:J823)+1,"")</f>
        <v/>
      </c>
    </row>
    <row r="825" customFormat="false" ht="15" hidden="false" customHeight="false" outlineLevel="0" collapsed="false">
      <c r="A825" s="3" t="s">
        <v>824</v>
      </c>
      <c r="B825" s="3" t="s">
        <v>57</v>
      </c>
      <c r="C825" s="3" t="s">
        <v>11</v>
      </c>
      <c r="D825" s="3" t="s">
        <v>12</v>
      </c>
      <c r="E825" s="3" t="s">
        <v>1809</v>
      </c>
      <c r="F825" s="3" t="s">
        <v>1403</v>
      </c>
      <c r="G825" s="3"/>
      <c r="H825" s="3"/>
      <c r="I825" s="3"/>
      <c r="J825" s="4" t="str">
        <f aca="false">IF(AND($A825&lt;&gt;"",$A825=Подбор!$C$4),MAX(J$1:J824)+1,"")</f>
        <v/>
      </c>
    </row>
    <row r="826" customFormat="false" ht="15" hidden="false" customHeight="false" outlineLevel="0" collapsed="false">
      <c r="A826" s="3" t="s">
        <v>825</v>
      </c>
      <c r="B826" s="3" t="s">
        <v>57</v>
      </c>
      <c r="C826" s="3" t="s">
        <v>11</v>
      </c>
      <c r="D826" s="3" t="s">
        <v>12</v>
      </c>
      <c r="E826" s="3" t="s">
        <v>1809</v>
      </c>
      <c r="F826" s="3" t="s">
        <v>1403</v>
      </c>
      <c r="G826" s="3"/>
      <c r="H826" s="3"/>
      <c r="I826" s="3"/>
      <c r="J826" s="4" t="str">
        <f aca="false">IF(AND($A826&lt;&gt;"",$A826=Подбор!$C$4),MAX(J$1:J825)+1,"")</f>
        <v/>
      </c>
    </row>
    <row r="827" customFormat="false" ht="15" hidden="false" customHeight="false" outlineLevel="0" collapsed="false">
      <c r="A827" s="3" t="s">
        <v>826</v>
      </c>
      <c r="B827" s="3" t="s">
        <v>57</v>
      </c>
      <c r="C827" s="3" t="s">
        <v>11</v>
      </c>
      <c r="D827" s="3" t="s">
        <v>12</v>
      </c>
      <c r="E827" s="3" t="s">
        <v>1498</v>
      </c>
      <c r="F827" s="3" t="s">
        <v>1403</v>
      </c>
      <c r="G827" s="3" t="n">
        <v>6500</v>
      </c>
      <c r="H827" s="3"/>
      <c r="I827" s="3" t="s">
        <v>1415</v>
      </c>
      <c r="J827" s="4" t="str">
        <f aca="false">IF(AND($A827&lt;&gt;"",$A827=Подбор!$C$4),MAX(J$1:J826)+1,"")</f>
        <v/>
      </c>
    </row>
    <row r="828" customFormat="false" ht="15" hidden="false" customHeight="false" outlineLevel="0" collapsed="false">
      <c r="A828" s="3" t="s">
        <v>827</v>
      </c>
      <c r="B828" s="3" t="s">
        <v>57</v>
      </c>
      <c r="C828" s="3" t="s">
        <v>11</v>
      </c>
      <c r="D828" s="3" t="s">
        <v>12</v>
      </c>
      <c r="E828" s="3" t="s">
        <v>1810</v>
      </c>
      <c r="F828" s="3" t="s">
        <v>1403</v>
      </c>
      <c r="G828" s="3" t="n">
        <v>2500</v>
      </c>
      <c r="H828" s="3"/>
      <c r="I828" s="3" t="s">
        <v>1415</v>
      </c>
      <c r="J828" s="4" t="str">
        <f aca="false">IF(AND($A828&lt;&gt;"",$A828=Подбор!$C$4),MAX(J$1:J827)+1,"")</f>
        <v/>
      </c>
    </row>
    <row r="829" customFormat="false" ht="15" hidden="false" customHeight="false" outlineLevel="0" collapsed="false">
      <c r="A829" s="3" t="s">
        <v>829</v>
      </c>
      <c r="B829" s="3" t="s">
        <v>57</v>
      </c>
      <c r="C829" s="3" t="s">
        <v>11</v>
      </c>
      <c r="D829" s="3" t="s">
        <v>12</v>
      </c>
      <c r="E829" s="3" t="s">
        <v>1506</v>
      </c>
      <c r="F829" s="3" t="s">
        <v>1403</v>
      </c>
      <c r="G829" s="3" t="n">
        <v>3500</v>
      </c>
      <c r="H829" s="3"/>
      <c r="I829" s="3" t="s">
        <v>1415</v>
      </c>
      <c r="J829" s="4" t="str">
        <f aca="false">IF(AND($A829&lt;&gt;"",$A829=Подбор!$C$4),MAX(J$1:J828)+1,"")</f>
        <v/>
      </c>
    </row>
    <row r="830" customFormat="false" ht="15" hidden="false" customHeight="false" outlineLevel="0" collapsed="false">
      <c r="A830" s="3" t="s">
        <v>830</v>
      </c>
      <c r="B830" s="3" t="s">
        <v>57</v>
      </c>
      <c r="C830" s="3" t="s">
        <v>11</v>
      </c>
      <c r="D830" s="3" t="s">
        <v>12</v>
      </c>
      <c r="E830" s="3" t="s">
        <v>1782</v>
      </c>
      <c r="F830" s="3" t="s">
        <v>1417</v>
      </c>
      <c r="G830" s="3" t="n">
        <v>13500</v>
      </c>
      <c r="H830" s="3"/>
      <c r="I830" s="3" t="s">
        <v>1415</v>
      </c>
      <c r="J830" s="4" t="str">
        <f aca="false">IF(AND($A830&lt;&gt;"",$A830=Подбор!$C$4),MAX(J$1:J829)+1,"")</f>
        <v/>
      </c>
    </row>
    <row r="831" customFormat="false" ht="15" hidden="false" customHeight="false" outlineLevel="0" collapsed="false">
      <c r="A831" s="3" t="s">
        <v>831</v>
      </c>
      <c r="B831" s="3" t="s">
        <v>57</v>
      </c>
      <c r="C831" s="3" t="s">
        <v>11</v>
      </c>
      <c r="D831" s="3" t="s">
        <v>12</v>
      </c>
      <c r="E831" s="3" t="s">
        <v>1804</v>
      </c>
      <c r="F831" s="3" t="s">
        <v>1403</v>
      </c>
      <c r="G831" s="3" t="n">
        <v>7000</v>
      </c>
      <c r="H831" s="3"/>
      <c r="I831" s="3" t="s">
        <v>1415</v>
      </c>
      <c r="J831" s="4" t="str">
        <f aca="false">IF(AND($A831&lt;&gt;"",$A831=Подбор!$C$4),MAX(J$1:J830)+1,"")</f>
        <v/>
      </c>
    </row>
    <row r="832" customFormat="false" ht="15" hidden="false" customHeight="false" outlineLevel="0" collapsed="false">
      <c r="A832" s="3" t="s">
        <v>832</v>
      </c>
      <c r="B832" s="3" t="s">
        <v>57</v>
      </c>
      <c r="C832" s="3" t="s">
        <v>11</v>
      </c>
      <c r="D832" s="3" t="s">
        <v>12</v>
      </c>
      <c r="E832" s="3" t="s">
        <v>1527</v>
      </c>
      <c r="F832" s="3" t="s">
        <v>1403</v>
      </c>
      <c r="G832" s="3" t="n">
        <v>2500</v>
      </c>
      <c r="H832" s="3"/>
      <c r="I832" s="3" t="s">
        <v>1415</v>
      </c>
      <c r="J832" s="4" t="str">
        <f aca="false">IF(AND($A832&lt;&gt;"",$A832=Подбор!$C$4),MAX(J$1:J831)+1,"")</f>
        <v/>
      </c>
    </row>
    <row r="833" customFormat="false" ht="15" hidden="false" customHeight="false" outlineLevel="0" collapsed="false">
      <c r="A833" s="3" t="s">
        <v>833</v>
      </c>
      <c r="B833" s="3" t="s">
        <v>57</v>
      </c>
      <c r="C833" s="3" t="s">
        <v>11</v>
      </c>
      <c r="D833" s="3" t="s">
        <v>12</v>
      </c>
      <c r="E833" s="3" t="s">
        <v>1774</v>
      </c>
      <c r="F833" s="3" t="s">
        <v>1403</v>
      </c>
      <c r="G833" s="3" t="n">
        <v>12000</v>
      </c>
      <c r="H833" s="3"/>
      <c r="I833" s="3" t="s">
        <v>1415</v>
      </c>
      <c r="J833" s="4" t="str">
        <f aca="false">IF(AND($A833&lt;&gt;"",$A833=Подбор!$C$4),MAX(J$1:J832)+1,"")</f>
        <v/>
      </c>
    </row>
    <row r="834" customFormat="false" ht="15" hidden="false" customHeight="false" outlineLevel="0" collapsed="false">
      <c r="A834" s="3" t="s">
        <v>834</v>
      </c>
      <c r="B834" s="3" t="s">
        <v>57</v>
      </c>
      <c r="C834" s="3" t="s">
        <v>11</v>
      </c>
      <c r="D834" s="3" t="s">
        <v>12</v>
      </c>
      <c r="E834" s="3" t="s">
        <v>1742</v>
      </c>
      <c r="F834" s="3" t="s">
        <v>1403</v>
      </c>
      <c r="G834" s="3" t="n">
        <v>10000</v>
      </c>
      <c r="H834" s="3"/>
      <c r="I834" s="3" t="s">
        <v>1415</v>
      </c>
      <c r="J834" s="4" t="str">
        <f aca="false">IF(AND($A834&lt;&gt;"",$A834=Подбор!$C$4),MAX(J$1:J833)+1,"")</f>
        <v/>
      </c>
    </row>
    <row r="835" customFormat="false" ht="15" hidden="false" customHeight="false" outlineLevel="0" collapsed="false">
      <c r="A835" s="3" t="s">
        <v>835</v>
      </c>
      <c r="B835" s="3" t="s">
        <v>57</v>
      </c>
      <c r="C835" s="3" t="s">
        <v>11</v>
      </c>
      <c r="D835" s="3" t="s">
        <v>12</v>
      </c>
      <c r="E835" s="3" t="s">
        <v>1476</v>
      </c>
      <c r="F835" s="3" t="s">
        <v>1403</v>
      </c>
      <c r="G835" s="3" t="n">
        <v>24000</v>
      </c>
      <c r="H835" s="3"/>
      <c r="I835" s="3" t="s">
        <v>1415</v>
      </c>
      <c r="J835" s="4" t="str">
        <f aca="false">IF(AND($A835&lt;&gt;"",$A835=Подбор!$C$4),MAX(J$1:J834)+1,"")</f>
        <v/>
      </c>
    </row>
    <row r="836" customFormat="false" ht="15" hidden="false" customHeight="false" outlineLevel="0" collapsed="false">
      <c r="A836" s="3" t="s">
        <v>836</v>
      </c>
      <c r="B836" s="3" t="s">
        <v>57</v>
      </c>
      <c r="C836" s="3" t="s">
        <v>11</v>
      </c>
      <c r="D836" s="3" t="s">
        <v>12</v>
      </c>
      <c r="E836" s="3" t="s">
        <v>1462</v>
      </c>
      <c r="F836" s="3" t="s">
        <v>1403</v>
      </c>
      <c r="G836" s="3" t="n">
        <v>1600</v>
      </c>
      <c r="H836" s="3"/>
      <c r="I836" s="3" t="s">
        <v>1415</v>
      </c>
      <c r="J836" s="4" t="str">
        <f aca="false">IF(AND($A836&lt;&gt;"",$A836=Подбор!$C$4),MAX(J$1:J835)+1,"")</f>
        <v/>
      </c>
    </row>
    <row r="837" customFormat="false" ht="15" hidden="false" customHeight="false" outlineLevel="0" collapsed="false">
      <c r="A837" s="3" t="s">
        <v>837</v>
      </c>
      <c r="B837" s="3" t="s">
        <v>57</v>
      </c>
      <c r="C837" s="3" t="s">
        <v>11</v>
      </c>
      <c r="D837" s="3" t="s">
        <v>12</v>
      </c>
      <c r="E837" s="3" t="s">
        <v>1799</v>
      </c>
      <c r="F837" s="3" t="s">
        <v>1403</v>
      </c>
      <c r="G837" s="3" t="n">
        <v>2000</v>
      </c>
      <c r="H837" s="3"/>
      <c r="I837" s="3" t="s">
        <v>1415</v>
      </c>
      <c r="J837" s="4" t="str">
        <f aca="false">IF(AND($A837&lt;&gt;"",$A837=Подбор!$C$4),MAX(J$1:J836)+1,"")</f>
        <v/>
      </c>
    </row>
    <row r="838" customFormat="false" ht="15" hidden="false" customHeight="false" outlineLevel="0" collapsed="false">
      <c r="A838" s="3" t="s">
        <v>838</v>
      </c>
      <c r="B838" s="3" t="s">
        <v>57</v>
      </c>
      <c r="C838" s="3" t="s">
        <v>11</v>
      </c>
      <c r="D838" s="3" t="s">
        <v>12</v>
      </c>
      <c r="E838" s="3" t="s">
        <v>1811</v>
      </c>
      <c r="F838" s="3" t="s">
        <v>1403</v>
      </c>
      <c r="G838" s="3" t="n">
        <v>1500</v>
      </c>
      <c r="H838" s="3"/>
      <c r="I838" s="3" t="s">
        <v>1415</v>
      </c>
      <c r="J838" s="4" t="str">
        <f aca="false">IF(AND($A838&lt;&gt;"",$A838=Подбор!$C$4),MAX(J$1:J837)+1,"")</f>
        <v/>
      </c>
    </row>
    <row r="839" customFormat="false" ht="15" hidden="false" customHeight="false" outlineLevel="0" collapsed="false">
      <c r="A839" s="3" t="s">
        <v>840</v>
      </c>
      <c r="B839" s="3" t="s">
        <v>57</v>
      </c>
      <c r="C839" s="3" t="s">
        <v>11</v>
      </c>
      <c r="D839" s="3" t="s">
        <v>12</v>
      </c>
      <c r="E839" s="3" t="s">
        <v>1812</v>
      </c>
      <c r="F839" s="3" t="s">
        <v>1403</v>
      </c>
      <c r="G839" s="3" t="n">
        <v>5000</v>
      </c>
      <c r="H839" s="3"/>
      <c r="I839" s="3" t="s">
        <v>1415</v>
      </c>
      <c r="J839" s="4" t="str">
        <f aca="false">IF(AND($A839&lt;&gt;"",$A839=Подбор!$C$4),MAX(J$1:J838)+1,"")</f>
        <v/>
      </c>
    </row>
    <row r="840" customFormat="false" ht="15" hidden="false" customHeight="false" outlineLevel="0" collapsed="false">
      <c r="A840" s="3" t="s">
        <v>842</v>
      </c>
      <c r="B840" s="3" t="s">
        <v>57</v>
      </c>
      <c r="C840" s="3" t="s">
        <v>11</v>
      </c>
      <c r="D840" s="3" t="s">
        <v>12</v>
      </c>
      <c r="E840" s="3" t="s">
        <v>1536</v>
      </c>
      <c r="F840" s="3" t="s">
        <v>1403</v>
      </c>
      <c r="G840" s="3" t="n">
        <v>13500</v>
      </c>
      <c r="H840" s="3"/>
      <c r="I840" s="3" t="s">
        <v>1415</v>
      </c>
      <c r="J840" s="4" t="str">
        <f aca="false">IF(AND($A840&lt;&gt;"",$A840=Подбор!$C$4),MAX(J$1:J839)+1,"")</f>
        <v/>
      </c>
    </row>
    <row r="841" customFormat="false" ht="15" hidden="false" customHeight="false" outlineLevel="0" collapsed="false">
      <c r="A841" s="3" t="s">
        <v>843</v>
      </c>
      <c r="B841" s="3" t="s">
        <v>57</v>
      </c>
      <c r="C841" s="3" t="s">
        <v>11</v>
      </c>
      <c r="D841" s="3" t="s">
        <v>12</v>
      </c>
      <c r="E841" s="3" t="s">
        <v>1530</v>
      </c>
      <c r="F841" s="3" t="s">
        <v>1403</v>
      </c>
      <c r="G841" s="3" t="n">
        <v>2500</v>
      </c>
      <c r="H841" s="3"/>
      <c r="I841" s="3" t="s">
        <v>1415</v>
      </c>
      <c r="J841" s="4" t="str">
        <f aca="false">IF(AND($A841&lt;&gt;"",$A841=Подбор!$C$4),MAX(J$1:J840)+1,"")</f>
        <v/>
      </c>
    </row>
    <row r="842" customFormat="false" ht="15" hidden="false" customHeight="false" outlineLevel="0" collapsed="false">
      <c r="A842" s="3" t="s">
        <v>844</v>
      </c>
      <c r="B842" s="3" t="s">
        <v>57</v>
      </c>
      <c r="C842" s="3" t="s">
        <v>11</v>
      </c>
      <c r="D842" s="3" t="s">
        <v>12</v>
      </c>
      <c r="E842" s="3" t="s">
        <v>1504</v>
      </c>
      <c r="F842" s="3" t="s">
        <v>1403</v>
      </c>
      <c r="G842" s="3" t="n">
        <v>20000</v>
      </c>
      <c r="H842" s="3"/>
      <c r="I842" s="3" t="s">
        <v>1415</v>
      </c>
      <c r="J842" s="4" t="str">
        <f aca="false">IF(AND($A842&lt;&gt;"",$A842=Подбор!$C$4),MAX(J$1:J841)+1,"")</f>
        <v/>
      </c>
    </row>
    <row r="843" customFormat="false" ht="15" hidden="false" customHeight="false" outlineLevel="0" collapsed="false">
      <c r="A843" s="3" t="s">
        <v>845</v>
      </c>
      <c r="B843" s="3" t="s">
        <v>57</v>
      </c>
      <c r="C843" s="3" t="s">
        <v>11</v>
      </c>
      <c r="D843" s="3" t="s">
        <v>12</v>
      </c>
      <c r="E843" s="3" t="s">
        <v>1504</v>
      </c>
      <c r="F843" s="3" t="s">
        <v>1403</v>
      </c>
      <c r="G843" s="3" t="n">
        <v>20000</v>
      </c>
      <c r="H843" s="3"/>
      <c r="I843" s="3" t="s">
        <v>1415</v>
      </c>
      <c r="J843" s="4" t="str">
        <f aca="false">IF(AND($A843&lt;&gt;"",$A843=Подбор!$C$4),MAX(J$1:J842)+1,"")</f>
        <v/>
      </c>
    </row>
    <row r="844" customFormat="false" ht="15" hidden="false" customHeight="false" outlineLevel="0" collapsed="false">
      <c r="A844" s="3" t="s">
        <v>846</v>
      </c>
      <c r="B844" s="3" t="s">
        <v>57</v>
      </c>
      <c r="C844" s="3" t="s">
        <v>11</v>
      </c>
      <c r="D844" s="3" t="s">
        <v>12</v>
      </c>
      <c r="E844" s="3" t="s">
        <v>1462</v>
      </c>
      <c r="F844" s="3" t="s">
        <v>1403</v>
      </c>
      <c r="G844" s="3" t="n">
        <v>1600</v>
      </c>
      <c r="H844" s="3"/>
      <c r="I844" s="3" t="s">
        <v>1415</v>
      </c>
      <c r="J844" s="4" t="str">
        <f aca="false">IF(AND($A844&lt;&gt;"",$A844=Подбор!$C$4),MAX(J$1:J843)+1,"")</f>
        <v/>
      </c>
    </row>
    <row r="845" customFormat="false" ht="15" hidden="false" customHeight="false" outlineLevel="0" collapsed="false">
      <c r="A845" s="3" t="s">
        <v>847</v>
      </c>
      <c r="B845" s="3" t="s">
        <v>57</v>
      </c>
      <c r="C845" s="3" t="s">
        <v>11</v>
      </c>
      <c r="D845" s="3" t="s">
        <v>12</v>
      </c>
      <c r="E845" s="3" t="s">
        <v>1498</v>
      </c>
      <c r="F845" s="3" t="s">
        <v>1403</v>
      </c>
      <c r="G845" s="3" t="n">
        <v>6500</v>
      </c>
      <c r="H845" s="3"/>
      <c r="I845" s="3" t="s">
        <v>1415</v>
      </c>
      <c r="J845" s="4" t="str">
        <f aca="false">IF(AND($A845&lt;&gt;"",$A845=Подбор!$C$4),MAX(J$1:J844)+1,"")</f>
        <v/>
      </c>
    </row>
    <row r="846" customFormat="false" ht="15" hidden="false" customHeight="false" outlineLevel="0" collapsed="false">
      <c r="A846" s="3" t="s">
        <v>848</v>
      </c>
      <c r="B846" s="3" t="s">
        <v>57</v>
      </c>
      <c r="C846" s="3" t="s">
        <v>11</v>
      </c>
      <c r="D846" s="3" t="s">
        <v>12</v>
      </c>
      <c r="E846" s="3" t="s">
        <v>1498</v>
      </c>
      <c r="F846" s="3" t="s">
        <v>1403</v>
      </c>
      <c r="G846" s="3" t="n">
        <v>6500</v>
      </c>
      <c r="H846" s="3"/>
      <c r="I846" s="3" t="s">
        <v>1415</v>
      </c>
      <c r="J846" s="4" t="str">
        <f aca="false">IF(AND($A846&lt;&gt;"",$A846=Подбор!$C$4),MAX(J$1:J845)+1,"")</f>
        <v/>
      </c>
    </row>
    <row r="847" customFormat="false" ht="15" hidden="false" customHeight="false" outlineLevel="0" collapsed="false">
      <c r="A847" s="3" t="s">
        <v>849</v>
      </c>
      <c r="B847" s="3" t="s">
        <v>57</v>
      </c>
      <c r="C847" s="3" t="s">
        <v>11</v>
      </c>
      <c r="D847" s="3" t="s">
        <v>12</v>
      </c>
      <c r="E847" s="3" t="s">
        <v>1567</v>
      </c>
      <c r="F847" s="3" t="s">
        <v>1403</v>
      </c>
      <c r="G847" s="3" t="n">
        <v>25000</v>
      </c>
      <c r="H847" s="3"/>
      <c r="I847" s="3" t="s">
        <v>1415</v>
      </c>
      <c r="J847" s="4" t="str">
        <f aca="false">IF(AND($A847&lt;&gt;"",$A847=Подбор!$C$4),MAX(J$1:J846)+1,"")</f>
        <v/>
      </c>
    </row>
    <row r="848" customFormat="false" ht="15" hidden="false" customHeight="false" outlineLevel="0" collapsed="false">
      <c r="A848" s="3" t="s">
        <v>850</v>
      </c>
      <c r="B848" s="3" t="s">
        <v>57</v>
      </c>
      <c r="C848" s="3" t="s">
        <v>11</v>
      </c>
      <c r="D848" s="3" t="s">
        <v>12</v>
      </c>
      <c r="E848" s="3" t="s">
        <v>1567</v>
      </c>
      <c r="F848" s="3" t="s">
        <v>1403</v>
      </c>
      <c r="G848" s="3" t="n">
        <v>25000</v>
      </c>
      <c r="H848" s="3"/>
      <c r="I848" s="3" t="s">
        <v>1415</v>
      </c>
      <c r="J848" s="4" t="str">
        <f aca="false">IF(AND($A848&lt;&gt;"",$A848=Подбор!$C$4),MAX(J$1:J847)+1,"")</f>
        <v/>
      </c>
    </row>
    <row r="849" customFormat="false" ht="15" hidden="false" customHeight="false" outlineLevel="0" collapsed="false">
      <c r="A849" s="3" t="s">
        <v>851</v>
      </c>
      <c r="B849" s="3" t="s">
        <v>57</v>
      </c>
      <c r="C849" s="3" t="s">
        <v>11</v>
      </c>
      <c r="D849" s="3" t="s">
        <v>12</v>
      </c>
      <c r="E849" s="3" t="s">
        <v>1567</v>
      </c>
      <c r="F849" s="3" t="s">
        <v>1403</v>
      </c>
      <c r="G849" s="3" t="n">
        <v>25000</v>
      </c>
      <c r="H849" s="3"/>
      <c r="I849" s="3" t="s">
        <v>1415</v>
      </c>
      <c r="J849" s="4" t="str">
        <f aca="false">IF(AND($A849&lt;&gt;"",$A849=Подбор!$C$4),MAX(J$1:J848)+1,"")</f>
        <v/>
      </c>
    </row>
    <row r="850" customFormat="false" ht="15" hidden="false" customHeight="false" outlineLevel="0" collapsed="false">
      <c r="A850" s="3" t="s">
        <v>852</v>
      </c>
      <c r="B850" s="3" t="s">
        <v>57</v>
      </c>
      <c r="C850" s="3" t="s">
        <v>11</v>
      </c>
      <c r="D850" s="3" t="s">
        <v>12</v>
      </c>
      <c r="E850" s="3" t="s">
        <v>1567</v>
      </c>
      <c r="F850" s="3" t="s">
        <v>1403</v>
      </c>
      <c r="G850" s="3" t="n">
        <v>25000</v>
      </c>
      <c r="H850" s="3"/>
      <c r="I850" s="3" t="s">
        <v>1415</v>
      </c>
      <c r="J850" s="4" t="str">
        <f aca="false">IF(AND($A850&lt;&gt;"",$A850=Подбор!$C$4),MAX(J$1:J849)+1,"")</f>
        <v/>
      </c>
    </row>
    <row r="851" customFormat="false" ht="15" hidden="false" customHeight="false" outlineLevel="0" collapsed="false">
      <c r="A851" s="3" t="s">
        <v>853</v>
      </c>
      <c r="B851" s="3" t="s">
        <v>57</v>
      </c>
      <c r="C851" s="3" t="s">
        <v>11</v>
      </c>
      <c r="D851" s="3" t="s">
        <v>12</v>
      </c>
      <c r="E851" s="3" t="s">
        <v>1813</v>
      </c>
      <c r="F851" s="3" t="s">
        <v>1403</v>
      </c>
      <c r="G851" s="3" t="n">
        <v>10000</v>
      </c>
      <c r="H851" s="3"/>
      <c r="I851" s="3" t="s">
        <v>1415</v>
      </c>
      <c r="J851" s="4" t="str">
        <f aca="false">IF(AND($A851&lt;&gt;"",$A851=Подбор!$C$4),MAX(J$1:J850)+1,"")</f>
        <v/>
      </c>
    </row>
    <row r="852" customFormat="false" ht="15" hidden="false" customHeight="false" outlineLevel="0" collapsed="false">
      <c r="A852" s="3" t="s">
        <v>855</v>
      </c>
      <c r="B852" s="3" t="s">
        <v>57</v>
      </c>
      <c r="C852" s="3" t="s">
        <v>11</v>
      </c>
      <c r="D852" s="3" t="s">
        <v>12</v>
      </c>
      <c r="E852" s="3" t="s">
        <v>1567</v>
      </c>
      <c r="F852" s="3" t="s">
        <v>1403</v>
      </c>
      <c r="G852" s="3" t="n">
        <v>25000</v>
      </c>
      <c r="H852" s="3"/>
      <c r="I852" s="3" t="s">
        <v>1415</v>
      </c>
      <c r="J852" s="4" t="str">
        <f aca="false">IF(AND($A852&lt;&gt;"",$A852=Подбор!$C$4),MAX(J$1:J851)+1,"")</f>
        <v/>
      </c>
    </row>
    <row r="853" customFormat="false" ht="15" hidden="false" customHeight="false" outlineLevel="0" collapsed="false">
      <c r="A853" s="3" t="s">
        <v>856</v>
      </c>
      <c r="B853" s="3" t="s">
        <v>57</v>
      </c>
      <c r="C853" s="3" t="s">
        <v>11</v>
      </c>
      <c r="D853" s="3" t="s">
        <v>12</v>
      </c>
      <c r="E853" s="3" t="s">
        <v>1750</v>
      </c>
      <c r="F853" s="3" t="s">
        <v>1403</v>
      </c>
      <c r="G853" s="3" t="n">
        <v>25000</v>
      </c>
      <c r="H853" s="3"/>
      <c r="I853" s="3" t="s">
        <v>1415</v>
      </c>
      <c r="J853" s="4" t="str">
        <f aca="false">IF(AND($A853&lt;&gt;"",$A853=Подбор!$C$4),MAX(J$1:J852)+1,"")</f>
        <v/>
      </c>
    </row>
    <row r="854" customFormat="false" ht="15" hidden="false" customHeight="false" outlineLevel="0" collapsed="false">
      <c r="A854" s="3" t="s">
        <v>857</v>
      </c>
      <c r="B854" s="3" t="s">
        <v>57</v>
      </c>
      <c r="C854" s="3" t="s">
        <v>11</v>
      </c>
      <c r="D854" s="3" t="s">
        <v>12</v>
      </c>
      <c r="E854" s="3" t="s">
        <v>1812</v>
      </c>
      <c r="F854" s="3" t="s">
        <v>1403</v>
      </c>
      <c r="G854" s="3" t="n">
        <v>5000</v>
      </c>
      <c r="H854" s="3"/>
      <c r="I854" s="3" t="s">
        <v>1415</v>
      </c>
      <c r="J854" s="4" t="str">
        <f aca="false">IF(AND($A854&lt;&gt;"",$A854=Подбор!$C$4),MAX(J$1:J853)+1,"")</f>
        <v/>
      </c>
    </row>
    <row r="855" customFormat="false" ht="15" hidden="false" customHeight="false" outlineLevel="0" collapsed="false">
      <c r="A855" s="3" t="s">
        <v>858</v>
      </c>
      <c r="B855" s="3" t="s">
        <v>57</v>
      </c>
      <c r="C855" s="3" t="s">
        <v>11</v>
      </c>
      <c r="D855" s="3" t="s">
        <v>12</v>
      </c>
      <c r="E855" s="3" t="s">
        <v>1752</v>
      </c>
      <c r="F855" s="3" t="s">
        <v>1403</v>
      </c>
      <c r="G855" s="3"/>
      <c r="H855" s="3"/>
      <c r="I855" s="3"/>
      <c r="J855" s="4" t="str">
        <f aca="false">IF(AND($A855&lt;&gt;"",$A855=Подбор!$C$4),MAX(J$1:J854)+1,"")</f>
        <v/>
      </c>
    </row>
    <row r="856" customFormat="false" ht="15" hidden="false" customHeight="false" outlineLevel="0" collapsed="false">
      <c r="A856" s="3" t="s">
        <v>859</v>
      </c>
      <c r="B856" s="3" t="s">
        <v>57</v>
      </c>
      <c r="C856" s="3" t="s">
        <v>11</v>
      </c>
      <c r="D856" s="3" t="s">
        <v>12</v>
      </c>
      <c r="E856" s="3" t="s">
        <v>1814</v>
      </c>
      <c r="F856" s="3" t="s">
        <v>1403</v>
      </c>
      <c r="G856" s="3" t="n">
        <v>6500</v>
      </c>
      <c r="H856" s="3"/>
      <c r="I856" s="3" t="s">
        <v>1415</v>
      </c>
      <c r="J856" s="4" t="str">
        <f aca="false">IF(AND($A856&lt;&gt;"",$A856=Подбор!$C$4),MAX(J$1:J855)+1,"")</f>
        <v/>
      </c>
    </row>
    <row r="857" customFormat="false" ht="15" hidden="false" customHeight="false" outlineLevel="0" collapsed="false">
      <c r="A857" s="3" t="s">
        <v>861</v>
      </c>
      <c r="B857" s="3" t="s">
        <v>34</v>
      </c>
      <c r="C857" s="3" t="s">
        <v>11</v>
      </c>
      <c r="D857" s="3" t="s">
        <v>12</v>
      </c>
      <c r="E857" s="3" t="s">
        <v>1673</v>
      </c>
      <c r="F857" s="3" t="s">
        <v>1403</v>
      </c>
      <c r="G857" s="3" t="n">
        <v>2000</v>
      </c>
      <c r="H857" s="3"/>
      <c r="I857" s="3" t="s">
        <v>1415</v>
      </c>
      <c r="J857" s="4" t="str">
        <f aca="false">IF(AND($A857&lt;&gt;"",$A857=Подбор!$C$4),MAX(J$1:J856)+1,"")</f>
        <v/>
      </c>
    </row>
    <row r="858" customFormat="false" ht="15" hidden="false" customHeight="false" outlineLevel="0" collapsed="false">
      <c r="A858" s="3" t="s">
        <v>861</v>
      </c>
      <c r="B858" s="3" t="s">
        <v>34</v>
      </c>
      <c r="C858" s="3" t="s">
        <v>11</v>
      </c>
      <c r="D858" s="3" t="s">
        <v>21</v>
      </c>
      <c r="E858" s="3" t="s">
        <v>1676</v>
      </c>
      <c r="F858" s="3" t="s">
        <v>1403</v>
      </c>
      <c r="G858" s="3" t="n">
        <v>2000</v>
      </c>
      <c r="H858" s="3"/>
      <c r="I858" s="3" t="s">
        <v>1415</v>
      </c>
      <c r="J858" s="4" t="str">
        <f aca="false">IF(AND($A858&lt;&gt;"",$A858=Подбор!$C$4),MAX(J$1:J857)+1,"")</f>
        <v/>
      </c>
    </row>
    <row r="859" customFormat="false" ht="15" hidden="false" customHeight="false" outlineLevel="0" collapsed="false">
      <c r="A859" s="3" t="s">
        <v>861</v>
      </c>
      <c r="B859" s="3" t="s">
        <v>34</v>
      </c>
      <c r="C859" s="3" t="s">
        <v>11</v>
      </c>
      <c r="D859" s="3" t="s">
        <v>23</v>
      </c>
      <c r="E859" s="3" t="s">
        <v>1677</v>
      </c>
      <c r="F859" s="3" t="s">
        <v>1403</v>
      </c>
      <c r="G859" s="3" t="n">
        <v>2000</v>
      </c>
      <c r="H859" s="3"/>
      <c r="I859" s="3" t="s">
        <v>1415</v>
      </c>
      <c r="J859" s="4" t="str">
        <f aca="false">IF(AND($A859&lt;&gt;"",$A859=Подбор!$C$4),MAX(J$1:J858)+1,"")</f>
        <v/>
      </c>
    </row>
    <row r="860" customFormat="false" ht="15" hidden="false" customHeight="false" outlineLevel="0" collapsed="false">
      <c r="A860" s="3" t="s">
        <v>861</v>
      </c>
      <c r="B860" s="3" t="s">
        <v>34</v>
      </c>
      <c r="C860" s="3" t="s">
        <v>11</v>
      </c>
      <c r="D860" s="3" t="s">
        <v>25</v>
      </c>
      <c r="E860" s="3" t="s">
        <v>1678</v>
      </c>
      <c r="F860" s="3" t="s">
        <v>1403</v>
      </c>
      <c r="G860" s="3" t="n">
        <v>2000</v>
      </c>
      <c r="H860" s="3"/>
      <c r="I860" s="3" t="s">
        <v>1415</v>
      </c>
      <c r="J860" s="4" t="str">
        <f aca="false">IF(AND($A860&lt;&gt;"",$A860=Подбор!$C$4),MAX(J$1:J859)+1,"")</f>
        <v/>
      </c>
    </row>
    <row r="861" customFormat="false" ht="15" hidden="false" customHeight="false" outlineLevel="0" collapsed="false">
      <c r="A861" s="3" t="s">
        <v>862</v>
      </c>
      <c r="B861" s="3" t="s">
        <v>84</v>
      </c>
      <c r="C861" s="3" t="s">
        <v>11</v>
      </c>
      <c r="D861" s="3" t="s">
        <v>12</v>
      </c>
      <c r="E861" s="3" t="s">
        <v>1815</v>
      </c>
      <c r="F861" s="3" t="s">
        <v>1403</v>
      </c>
      <c r="G861" s="3" t="n">
        <v>2500</v>
      </c>
      <c r="H861" s="3"/>
      <c r="I861" s="3" t="s">
        <v>1415</v>
      </c>
      <c r="J861" s="4" t="str">
        <f aca="false">IF(AND($A861&lt;&gt;"",$A861=Подбор!$C$4),MAX(J$1:J860)+1,"")</f>
        <v/>
      </c>
    </row>
    <row r="862" customFormat="false" ht="15" hidden="false" customHeight="false" outlineLevel="0" collapsed="false">
      <c r="A862" s="3" t="s">
        <v>864</v>
      </c>
      <c r="B862" s="3" t="s">
        <v>34</v>
      </c>
      <c r="C862" s="3" t="s">
        <v>11</v>
      </c>
      <c r="D862" s="3" t="s">
        <v>12</v>
      </c>
      <c r="E862" s="3" t="s">
        <v>15</v>
      </c>
      <c r="F862" s="3"/>
      <c r="G862" s="3"/>
      <c r="H862" s="3"/>
      <c r="I862" s="3"/>
      <c r="J862" s="4" t="str">
        <f aca="false">IF(AND($A862&lt;&gt;"",$A862=Подбор!$C$4),MAX(J$1:J861)+1,"")</f>
        <v/>
      </c>
    </row>
    <row r="863" customFormat="false" ht="15" hidden="false" customHeight="false" outlineLevel="0" collapsed="false">
      <c r="A863" s="3" t="s">
        <v>864</v>
      </c>
      <c r="B863" s="3" t="s">
        <v>34</v>
      </c>
      <c r="C863" s="3" t="s">
        <v>11</v>
      </c>
      <c r="D863" s="3" t="s">
        <v>21</v>
      </c>
      <c r="E863" s="3" t="s">
        <v>15</v>
      </c>
      <c r="F863" s="3"/>
      <c r="G863" s="3"/>
      <c r="H863" s="3"/>
      <c r="I863" s="3"/>
      <c r="J863" s="4" t="str">
        <f aca="false">IF(AND($A863&lt;&gt;"",$A863=Подбор!$C$4),MAX(J$1:J862)+1,"")</f>
        <v/>
      </c>
    </row>
    <row r="864" customFormat="false" ht="15" hidden="false" customHeight="false" outlineLevel="0" collapsed="false">
      <c r="A864" s="3" t="s">
        <v>864</v>
      </c>
      <c r="B864" s="3" t="s">
        <v>34</v>
      </c>
      <c r="C864" s="3" t="s">
        <v>11</v>
      </c>
      <c r="D864" s="3" t="s">
        <v>23</v>
      </c>
      <c r="E864" s="3" t="s">
        <v>15</v>
      </c>
      <c r="F864" s="3"/>
      <c r="G864" s="3"/>
      <c r="H864" s="3"/>
      <c r="I864" s="3"/>
      <c r="J864" s="4" t="str">
        <f aca="false">IF(AND($A864&lt;&gt;"",$A864=Подбор!$C$4),MAX(J$1:J863)+1,"")</f>
        <v/>
      </c>
    </row>
    <row r="865" customFormat="false" ht="15" hidden="false" customHeight="false" outlineLevel="0" collapsed="false">
      <c r="A865" s="3" t="s">
        <v>864</v>
      </c>
      <c r="B865" s="3" t="s">
        <v>34</v>
      </c>
      <c r="C865" s="3" t="s">
        <v>11</v>
      </c>
      <c r="D865" s="3" t="s">
        <v>25</v>
      </c>
      <c r="E865" s="3" t="s">
        <v>15</v>
      </c>
      <c r="F865" s="3"/>
      <c r="G865" s="3"/>
      <c r="H865" s="3"/>
      <c r="I865" s="3"/>
      <c r="J865" s="4" t="str">
        <f aca="false">IF(AND($A865&lt;&gt;"",$A865=Подбор!$C$4),MAX(J$1:J864)+1,"")</f>
        <v/>
      </c>
    </row>
    <row r="866" customFormat="false" ht="15" hidden="false" customHeight="false" outlineLevel="0" collapsed="false">
      <c r="A866" s="3" t="s">
        <v>869</v>
      </c>
      <c r="B866" s="3" t="s">
        <v>34</v>
      </c>
      <c r="C866" s="3" t="s">
        <v>11</v>
      </c>
      <c r="D866" s="3" t="s">
        <v>12</v>
      </c>
      <c r="E866" s="3" t="s">
        <v>15</v>
      </c>
      <c r="F866" s="3"/>
      <c r="G866" s="3"/>
      <c r="H866" s="3"/>
      <c r="I866" s="3"/>
      <c r="J866" s="4" t="str">
        <f aca="false">IF(AND($A866&lt;&gt;"",$A866=Подбор!$C$4),MAX(J$1:J865)+1,"")</f>
        <v/>
      </c>
    </row>
    <row r="867" customFormat="false" ht="15" hidden="false" customHeight="false" outlineLevel="0" collapsed="false">
      <c r="A867" s="3" t="s">
        <v>869</v>
      </c>
      <c r="B867" s="3" t="s">
        <v>34</v>
      </c>
      <c r="C867" s="3" t="s">
        <v>14</v>
      </c>
      <c r="D867" s="3" t="s">
        <v>15</v>
      </c>
      <c r="E867" s="3" t="s">
        <v>15</v>
      </c>
      <c r="F867" s="3"/>
      <c r="G867" s="3"/>
      <c r="H867" s="3"/>
      <c r="I867" s="3"/>
      <c r="J867" s="4" t="str">
        <f aca="false">IF(AND($A867&lt;&gt;"",$A867=Подбор!$C$4),MAX(J$1:J866)+1,"")</f>
        <v/>
      </c>
    </row>
    <row r="868" customFormat="false" ht="15" hidden="false" customHeight="false" outlineLevel="0" collapsed="false">
      <c r="A868" s="3" t="s">
        <v>872</v>
      </c>
      <c r="B868" s="3" t="s">
        <v>110</v>
      </c>
      <c r="C868" s="3" t="s">
        <v>11</v>
      </c>
      <c r="D868" s="3" t="s">
        <v>12</v>
      </c>
      <c r="E868" s="3" t="s">
        <v>1816</v>
      </c>
      <c r="F868" s="3" t="s">
        <v>1403</v>
      </c>
      <c r="G868" s="3"/>
      <c r="H868" s="3"/>
      <c r="I868" s="3"/>
      <c r="J868" s="4" t="str">
        <f aca="false">IF(AND($A868&lt;&gt;"",$A868=Подбор!$C$4),MAX(J$1:J867)+1,"")</f>
        <v/>
      </c>
    </row>
    <row r="869" customFormat="false" ht="15" hidden="false" customHeight="false" outlineLevel="0" collapsed="false">
      <c r="A869" s="3" t="s">
        <v>874</v>
      </c>
      <c r="B869" s="3" t="s">
        <v>34</v>
      </c>
      <c r="C869" s="3" t="s">
        <v>11</v>
      </c>
      <c r="D869" s="3" t="s">
        <v>12</v>
      </c>
      <c r="E869" s="3" t="s">
        <v>1414</v>
      </c>
      <c r="F869" s="3" t="s">
        <v>1403</v>
      </c>
      <c r="G869" s="3" t="n">
        <v>6000</v>
      </c>
      <c r="H869" s="3"/>
      <c r="I869" s="3" t="s">
        <v>1415</v>
      </c>
      <c r="J869" s="4" t="str">
        <f aca="false">IF(AND($A869&lt;&gt;"",$A869=Подбор!$C$4),MAX(J$1:J868)+1,"")</f>
        <v/>
      </c>
    </row>
    <row r="870" customFormat="false" ht="15" hidden="false" customHeight="false" outlineLevel="0" collapsed="false">
      <c r="A870" s="3" t="s">
        <v>874</v>
      </c>
      <c r="B870" s="3" t="s">
        <v>34</v>
      </c>
      <c r="C870" s="3" t="s">
        <v>36</v>
      </c>
      <c r="D870" s="3" t="s">
        <v>15</v>
      </c>
      <c r="E870" s="3" t="s">
        <v>1418</v>
      </c>
      <c r="F870" s="3" t="s">
        <v>1403</v>
      </c>
      <c r="G870" s="3" t="n">
        <v>30000</v>
      </c>
      <c r="H870" s="3"/>
      <c r="I870" s="3" t="s">
        <v>1415</v>
      </c>
      <c r="J870" s="4" t="str">
        <f aca="false">IF(AND($A870&lt;&gt;"",$A870=Подбор!$C$4),MAX(J$1:J869)+1,"")</f>
        <v/>
      </c>
    </row>
    <row r="871" customFormat="false" ht="15" hidden="false" customHeight="false" outlineLevel="0" collapsed="false">
      <c r="A871" s="3" t="s">
        <v>875</v>
      </c>
      <c r="B871" s="3" t="s">
        <v>34</v>
      </c>
      <c r="C871" s="3" t="s">
        <v>11</v>
      </c>
      <c r="D871" s="3" t="s">
        <v>12</v>
      </c>
      <c r="E871" s="3" t="s">
        <v>15</v>
      </c>
      <c r="F871" s="3"/>
      <c r="G871" s="3"/>
      <c r="H871" s="3"/>
      <c r="I871" s="3"/>
      <c r="J871" s="4" t="str">
        <f aca="false">IF(AND($A871&lt;&gt;"",$A871=Подбор!$C$4),MAX(J$1:J870)+1,"")</f>
        <v/>
      </c>
    </row>
    <row r="872" customFormat="false" ht="15" hidden="false" customHeight="false" outlineLevel="0" collapsed="false">
      <c r="A872" s="3" t="s">
        <v>875</v>
      </c>
      <c r="B872" s="3" t="s">
        <v>34</v>
      </c>
      <c r="C872" s="3" t="s">
        <v>11</v>
      </c>
      <c r="D872" s="3" t="s">
        <v>21</v>
      </c>
      <c r="E872" s="3" t="s">
        <v>15</v>
      </c>
      <c r="F872" s="3"/>
      <c r="G872" s="3"/>
      <c r="H872" s="3"/>
      <c r="I872" s="3"/>
      <c r="J872" s="4" t="str">
        <f aca="false">IF(AND($A872&lt;&gt;"",$A872=Подбор!$C$4),MAX(J$1:J871)+1,"")</f>
        <v/>
      </c>
    </row>
    <row r="873" customFormat="false" ht="15" hidden="false" customHeight="false" outlineLevel="0" collapsed="false">
      <c r="A873" s="3" t="s">
        <v>875</v>
      </c>
      <c r="B873" s="3" t="s">
        <v>34</v>
      </c>
      <c r="C873" s="3" t="s">
        <v>11</v>
      </c>
      <c r="D873" s="3" t="s">
        <v>23</v>
      </c>
      <c r="E873" s="3" t="s">
        <v>15</v>
      </c>
      <c r="F873" s="3"/>
      <c r="G873" s="3"/>
      <c r="H873" s="3"/>
      <c r="I873" s="3"/>
      <c r="J873" s="4" t="str">
        <f aca="false">IF(AND($A873&lt;&gt;"",$A873=Подбор!$C$4),MAX(J$1:J872)+1,"")</f>
        <v/>
      </c>
    </row>
    <row r="874" customFormat="false" ht="15" hidden="false" customHeight="false" outlineLevel="0" collapsed="false">
      <c r="A874" s="3" t="s">
        <v>875</v>
      </c>
      <c r="B874" s="3" t="s">
        <v>34</v>
      </c>
      <c r="C874" s="3" t="s">
        <v>11</v>
      </c>
      <c r="D874" s="3" t="s">
        <v>25</v>
      </c>
      <c r="E874" s="3" t="s">
        <v>15</v>
      </c>
      <c r="F874" s="3"/>
      <c r="G874" s="3"/>
      <c r="H874" s="3"/>
      <c r="I874" s="3"/>
      <c r="J874" s="4" t="str">
        <f aca="false">IF(AND($A874&lt;&gt;"",$A874=Подбор!$C$4),MAX(J$1:J873)+1,"")</f>
        <v/>
      </c>
    </row>
    <row r="875" customFormat="false" ht="15" hidden="false" customHeight="false" outlineLevel="0" collapsed="false">
      <c r="A875" s="3" t="s">
        <v>880</v>
      </c>
      <c r="B875" s="3" t="s">
        <v>84</v>
      </c>
      <c r="C875" s="3" t="s">
        <v>11</v>
      </c>
      <c r="D875" s="3" t="s">
        <v>12</v>
      </c>
      <c r="E875" s="3" t="s">
        <v>1578</v>
      </c>
      <c r="F875" s="3" t="s">
        <v>1403</v>
      </c>
      <c r="G875" s="3" t="n">
        <v>2000</v>
      </c>
      <c r="H875" s="3"/>
      <c r="I875" s="3" t="s">
        <v>1415</v>
      </c>
      <c r="J875" s="4" t="str">
        <f aca="false">IF(AND($A875&lt;&gt;"",$A875=Подбор!$C$4),MAX(J$1:J874)+1,"")</f>
        <v/>
      </c>
    </row>
    <row r="876" customFormat="false" ht="15" hidden="false" customHeight="false" outlineLevel="0" collapsed="false">
      <c r="A876" s="3" t="s">
        <v>881</v>
      </c>
      <c r="B876" s="3" t="s">
        <v>498</v>
      </c>
      <c r="C876" s="3" t="s">
        <v>11</v>
      </c>
      <c r="D876" s="3" t="s">
        <v>12</v>
      </c>
      <c r="E876" s="3" t="s">
        <v>1817</v>
      </c>
      <c r="F876" s="3" t="s">
        <v>1403</v>
      </c>
      <c r="G876" s="3"/>
      <c r="H876" s="3"/>
      <c r="I876" s="3"/>
      <c r="J876" s="4" t="str">
        <f aca="false">IF(AND($A876&lt;&gt;"",$A876=Подбор!$C$4),MAX(J$1:J875)+1,"")</f>
        <v/>
      </c>
    </row>
    <row r="877" customFormat="false" ht="15" hidden="false" customHeight="false" outlineLevel="0" collapsed="false">
      <c r="A877" s="3" t="s">
        <v>881</v>
      </c>
      <c r="B877" s="3" t="s">
        <v>498</v>
      </c>
      <c r="C877" s="3" t="s">
        <v>14</v>
      </c>
      <c r="D877" s="3" t="s">
        <v>15</v>
      </c>
      <c r="E877" s="3" t="s">
        <v>1818</v>
      </c>
      <c r="F877" s="3" t="s">
        <v>1403</v>
      </c>
      <c r="G877" s="3"/>
      <c r="H877" s="3"/>
      <c r="I877" s="3"/>
      <c r="J877" s="4" t="str">
        <f aca="false">IF(AND($A877&lt;&gt;"",$A877=Подбор!$C$4),MAX(J$1:J876)+1,"")</f>
        <v/>
      </c>
    </row>
    <row r="878" customFormat="false" ht="15" hidden="false" customHeight="false" outlineLevel="0" collapsed="false">
      <c r="A878" s="3" t="s">
        <v>886</v>
      </c>
      <c r="B878" s="3" t="s">
        <v>40</v>
      </c>
      <c r="C878" s="3" t="s">
        <v>11</v>
      </c>
      <c r="D878" s="3" t="s">
        <v>12</v>
      </c>
      <c r="E878" s="3" t="s">
        <v>15</v>
      </c>
      <c r="F878" s="3"/>
      <c r="G878" s="3"/>
      <c r="H878" s="3"/>
      <c r="I878" s="3"/>
      <c r="J878" s="4" t="str">
        <f aca="false">IF(AND($A878&lt;&gt;"",$A878=Подбор!$C$4),MAX(J$1:J877)+1,"")</f>
        <v/>
      </c>
    </row>
    <row r="879" customFormat="false" ht="15" hidden="false" customHeight="false" outlineLevel="0" collapsed="false">
      <c r="A879" s="3" t="s">
        <v>887</v>
      </c>
      <c r="B879" s="3" t="s">
        <v>84</v>
      </c>
      <c r="C879" s="3" t="s">
        <v>11</v>
      </c>
      <c r="D879" s="3" t="s">
        <v>12</v>
      </c>
      <c r="E879" s="3" t="s">
        <v>1819</v>
      </c>
      <c r="F879" s="3" t="s">
        <v>1403</v>
      </c>
      <c r="G879" s="3"/>
      <c r="H879" s="3"/>
      <c r="I879" s="3"/>
      <c r="J879" s="4" t="str">
        <f aca="false">IF(AND($A879&lt;&gt;"",$A879=Подбор!$C$4),MAX(J$1:J878)+1,"")</f>
        <v/>
      </c>
    </row>
    <row r="880" customFormat="false" ht="15" hidden="false" customHeight="false" outlineLevel="0" collapsed="false">
      <c r="A880" s="3" t="s">
        <v>889</v>
      </c>
      <c r="B880" s="3" t="s">
        <v>84</v>
      </c>
      <c r="C880" s="3" t="s">
        <v>11</v>
      </c>
      <c r="D880" s="3" t="s">
        <v>12</v>
      </c>
      <c r="E880" s="3" t="s">
        <v>1819</v>
      </c>
      <c r="F880" s="3" t="s">
        <v>1403</v>
      </c>
      <c r="G880" s="3"/>
      <c r="H880" s="3"/>
      <c r="I880" s="3"/>
      <c r="J880" s="4" t="str">
        <f aca="false">IF(AND($A880&lt;&gt;"",$A880=Подбор!$C$4),MAX(J$1:J879)+1,"")</f>
        <v/>
      </c>
    </row>
    <row r="881" customFormat="false" ht="15" hidden="false" customHeight="false" outlineLevel="0" collapsed="false">
      <c r="A881" s="3" t="s">
        <v>890</v>
      </c>
      <c r="B881" s="3" t="s">
        <v>10</v>
      </c>
      <c r="C881" s="3" t="s">
        <v>11</v>
      </c>
      <c r="D881" s="3" t="s">
        <v>12</v>
      </c>
      <c r="E881" s="3" t="s">
        <v>1820</v>
      </c>
      <c r="F881" s="3" t="s">
        <v>1403</v>
      </c>
      <c r="G881" s="3"/>
      <c r="H881" s="3"/>
      <c r="I881" s="3"/>
      <c r="J881" s="4" t="str">
        <f aca="false">IF(AND($A881&lt;&gt;"",$A881=Подбор!$C$4),MAX(J$1:J880)+1,"")</f>
        <v/>
      </c>
    </row>
    <row r="882" customFormat="false" ht="15" hidden="false" customHeight="false" outlineLevel="0" collapsed="false">
      <c r="A882" s="3" t="s">
        <v>890</v>
      </c>
      <c r="B882" s="3" t="s">
        <v>10</v>
      </c>
      <c r="C882" s="3" t="s">
        <v>11</v>
      </c>
      <c r="D882" s="3" t="s">
        <v>21</v>
      </c>
      <c r="E882" s="3" t="s">
        <v>1821</v>
      </c>
      <c r="F882" s="3" t="s">
        <v>1403</v>
      </c>
      <c r="G882" s="3"/>
      <c r="H882" s="3"/>
      <c r="I882" s="3"/>
      <c r="J882" s="4" t="str">
        <f aca="false">IF(AND($A882&lt;&gt;"",$A882=Подбор!$C$4),MAX(J$1:J881)+1,"")</f>
        <v/>
      </c>
    </row>
    <row r="883" customFormat="false" ht="15" hidden="false" customHeight="false" outlineLevel="0" collapsed="false">
      <c r="A883" s="3" t="s">
        <v>890</v>
      </c>
      <c r="B883" s="3" t="s">
        <v>10</v>
      </c>
      <c r="C883" s="3" t="s">
        <v>11</v>
      </c>
      <c r="D883" s="3" t="s">
        <v>23</v>
      </c>
      <c r="E883" s="3" t="s">
        <v>1822</v>
      </c>
      <c r="F883" s="3" t="s">
        <v>1403</v>
      </c>
      <c r="G883" s="3"/>
      <c r="H883" s="3"/>
      <c r="I883" s="3"/>
      <c r="J883" s="4" t="str">
        <f aca="false">IF(AND($A883&lt;&gt;"",$A883=Подбор!$C$4),MAX(J$1:J882)+1,"")</f>
        <v/>
      </c>
    </row>
    <row r="884" customFormat="false" ht="15" hidden="false" customHeight="false" outlineLevel="0" collapsed="false">
      <c r="A884" s="3" t="s">
        <v>890</v>
      </c>
      <c r="B884" s="3" t="s">
        <v>10</v>
      </c>
      <c r="C884" s="3" t="s">
        <v>11</v>
      </c>
      <c r="D884" s="3" t="s">
        <v>25</v>
      </c>
      <c r="E884" s="3" t="s">
        <v>1823</v>
      </c>
      <c r="F884" s="3" t="s">
        <v>1403</v>
      </c>
      <c r="G884" s="3"/>
      <c r="H884" s="3"/>
      <c r="I884" s="3"/>
      <c r="J884" s="4" t="str">
        <f aca="false">IF(AND($A884&lt;&gt;"",$A884=Подбор!$C$4),MAX(J$1:J883)+1,"")</f>
        <v/>
      </c>
    </row>
    <row r="885" customFormat="false" ht="15" hidden="false" customHeight="false" outlineLevel="0" collapsed="false">
      <c r="A885" s="3" t="s">
        <v>895</v>
      </c>
      <c r="B885" s="3" t="s">
        <v>84</v>
      </c>
      <c r="C885" s="3" t="s">
        <v>11</v>
      </c>
      <c r="D885" s="3" t="s">
        <v>12</v>
      </c>
      <c r="E885" s="3" t="s">
        <v>1586</v>
      </c>
      <c r="F885" s="3" t="s">
        <v>1403</v>
      </c>
      <c r="G885" s="3"/>
      <c r="H885" s="3"/>
      <c r="I885" s="3"/>
      <c r="J885" s="4" t="str">
        <f aca="false">IF(AND($A885&lt;&gt;"",$A885=Подбор!$C$4),MAX(J$1:J884)+1,"")</f>
        <v/>
      </c>
    </row>
    <row r="886" customFormat="false" ht="15" hidden="false" customHeight="false" outlineLevel="0" collapsed="false">
      <c r="A886" s="3" t="s">
        <v>896</v>
      </c>
      <c r="B886" s="3" t="s">
        <v>472</v>
      </c>
      <c r="C886" s="3" t="s">
        <v>11</v>
      </c>
      <c r="D886" s="3" t="s">
        <v>12</v>
      </c>
      <c r="E886" s="3" t="s">
        <v>1824</v>
      </c>
      <c r="F886" s="3" t="s">
        <v>1403</v>
      </c>
      <c r="G886" s="3"/>
      <c r="H886" s="3"/>
      <c r="I886" s="3"/>
      <c r="J886" s="4" t="str">
        <f aca="false">IF(AND($A886&lt;&gt;"",$A886=Подбор!$C$4),MAX(J$1:J885)+1,"")</f>
        <v/>
      </c>
    </row>
    <row r="887" customFormat="false" ht="15" hidden="false" customHeight="false" outlineLevel="0" collapsed="false">
      <c r="A887" s="3" t="s">
        <v>897</v>
      </c>
      <c r="B887" s="3" t="s">
        <v>472</v>
      </c>
      <c r="C887" s="3" t="s">
        <v>11</v>
      </c>
      <c r="D887" s="3" t="s">
        <v>12</v>
      </c>
      <c r="E887" s="3" t="s">
        <v>1825</v>
      </c>
      <c r="F887" s="3" t="s">
        <v>1403</v>
      </c>
      <c r="G887" s="3"/>
      <c r="H887" s="3"/>
      <c r="I887" s="3"/>
      <c r="J887" s="4" t="str">
        <f aca="false">IF(AND($A887&lt;&gt;"",$A887=Подбор!$C$4),MAX(J$1:J886)+1,"")</f>
        <v/>
      </c>
    </row>
    <row r="888" customFormat="false" ht="15" hidden="false" customHeight="false" outlineLevel="0" collapsed="false">
      <c r="A888" s="3" t="s">
        <v>898</v>
      </c>
      <c r="B888" s="3" t="s">
        <v>498</v>
      </c>
      <c r="C888" s="3" t="s">
        <v>11</v>
      </c>
      <c r="D888" s="3" t="s">
        <v>12</v>
      </c>
      <c r="E888" s="3" t="s">
        <v>1826</v>
      </c>
      <c r="F888" s="3" t="s">
        <v>1403</v>
      </c>
      <c r="G888" s="3" t="n">
        <v>1200</v>
      </c>
      <c r="H888" s="3"/>
      <c r="I888" s="3" t="s">
        <v>1415</v>
      </c>
      <c r="J888" s="4" t="str">
        <f aca="false">IF(AND($A888&lt;&gt;"",$A888=Подбор!$C$4),MAX(J$1:J887)+1,"")</f>
        <v/>
      </c>
    </row>
    <row r="889" customFormat="false" ht="15" hidden="false" customHeight="false" outlineLevel="0" collapsed="false">
      <c r="A889" s="3" t="s">
        <v>900</v>
      </c>
      <c r="B889" s="3" t="s">
        <v>498</v>
      </c>
      <c r="C889" s="3" t="s">
        <v>11</v>
      </c>
      <c r="D889" s="3" t="s">
        <v>12</v>
      </c>
      <c r="E889" s="3" t="s">
        <v>1826</v>
      </c>
      <c r="F889" s="3" t="s">
        <v>1403</v>
      </c>
      <c r="G889" s="3" t="n">
        <v>1200</v>
      </c>
      <c r="H889" s="3"/>
      <c r="I889" s="3" t="s">
        <v>1415</v>
      </c>
      <c r="J889" s="4" t="str">
        <f aca="false">IF(AND($A889&lt;&gt;"",$A889=Подбор!$C$4),MAX(J$1:J888)+1,"")</f>
        <v/>
      </c>
    </row>
    <row r="890" customFormat="false" ht="15" hidden="false" customHeight="false" outlineLevel="0" collapsed="false">
      <c r="A890" s="3" t="s">
        <v>900</v>
      </c>
      <c r="B890" s="3" t="s">
        <v>498</v>
      </c>
      <c r="C890" s="3" t="s">
        <v>14</v>
      </c>
      <c r="D890" s="3" t="s">
        <v>15</v>
      </c>
      <c r="E890" s="3" t="s">
        <v>1827</v>
      </c>
      <c r="F890" s="3" t="s">
        <v>1403</v>
      </c>
      <c r="G890" s="3"/>
      <c r="H890" s="3"/>
      <c r="I890" s="3"/>
      <c r="J890" s="4" t="str">
        <f aca="false">IF(AND($A890&lt;&gt;"",$A890=Подбор!$C$4),MAX(J$1:J889)+1,"")</f>
        <v/>
      </c>
    </row>
    <row r="891" customFormat="false" ht="15" hidden="false" customHeight="false" outlineLevel="0" collapsed="false">
      <c r="A891" s="3" t="s">
        <v>902</v>
      </c>
      <c r="B891" s="3" t="s">
        <v>498</v>
      </c>
      <c r="C891" s="3" t="s">
        <v>11</v>
      </c>
      <c r="D891" s="3" t="s">
        <v>12</v>
      </c>
      <c r="E891" s="3" t="s">
        <v>1828</v>
      </c>
      <c r="F891" s="3" t="s">
        <v>1403</v>
      </c>
      <c r="G891" s="3" t="n">
        <v>3000</v>
      </c>
      <c r="H891" s="3"/>
      <c r="I891" s="3" t="s">
        <v>1415</v>
      </c>
      <c r="J891" s="4" t="str">
        <f aca="false">IF(AND($A891&lt;&gt;"",$A891=Подбор!$C$4),MAX(J$1:J890)+1,"")</f>
        <v/>
      </c>
    </row>
    <row r="892" customFormat="false" ht="15" hidden="false" customHeight="false" outlineLevel="0" collapsed="false">
      <c r="A892" s="3" t="s">
        <v>902</v>
      </c>
      <c r="B892" s="3" t="s">
        <v>498</v>
      </c>
      <c r="C892" s="3" t="s">
        <v>14</v>
      </c>
      <c r="D892" s="3" t="s">
        <v>15</v>
      </c>
      <c r="E892" s="3" t="s">
        <v>1829</v>
      </c>
      <c r="F892" s="3" t="s">
        <v>1403</v>
      </c>
      <c r="G892" s="3"/>
      <c r="H892" s="3"/>
      <c r="I892" s="3"/>
      <c r="J892" s="4" t="str">
        <f aca="false">IF(AND($A892&lt;&gt;"",$A892=Подбор!$C$4),MAX(J$1:J891)+1,"")</f>
        <v/>
      </c>
    </row>
    <row r="893" customFormat="false" ht="15" hidden="false" customHeight="false" outlineLevel="0" collapsed="false">
      <c r="A893" s="3" t="s">
        <v>905</v>
      </c>
      <c r="B893" s="3" t="s">
        <v>498</v>
      </c>
      <c r="C893" s="3" t="s">
        <v>11</v>
      </c>
      <c r="D893" s="3" t="s">
        <v>12</v>
      </c>
      <c r="E893" s="3" t="s">
        <v>1830</v>
      </c>
      <c r="F893" s="3" t="s">
        <v>1403</v>
      </c>
      <c r="G893" s="3" t="n">
        <v>12000</v>
      </c>
      <c r="H893" s="3"/>
      <c r="I893" s="3" t="s">
        <v>1415</v>
      </c>
      <c r="J893" s="4" t="str">
        <f aca="false">IF(AND($A893&lt;&gt;"",$A893=Подбор!$C$4),MAX(J$1:J892)+1,"")</f>
        <v/>
      </c>
    </row>
    <row r="894" customFormat="false" ht="15" hidden="false" customHeight="false" outlineLevel="0" collapsed="false">
      <c r="A894" s="3" t="s">
        <v>905</v>
      </c>
      <c r="B894" s="3" t="s">
        <v>498</v>
      </c>
      <c r="C894" s="3" t="s">
        <v>14</v>
      </c>
      <c r="D894" s="3" t="s">
        <v>15</v>
      </c>
      <c r="E894" s="3" t="s">
        <v>1829</v>
      </c>
      <c r="F894" s="3" t="s">
        <v>1403</v>
      </c>
      <c r="G894" s="3"/>
      <c r="H894" s="3"/>
      <c r="I894" s="3"/>
      <c r="J894" s="4" t="str">
        <f aca="false">IF(AND($A894&lt;&gt;"",$A894=Подбор!$C$4),MAX(J$1:J893)+1,"")</f>
        <v/>
      </c>
    </row>
    <row r="895" customFormat="false" ht="15" hidden="false" customHeight="false" outlineLevel="0" collapsed="false">
      <c r="A895" s="3" t="s">
        <v>907</v>
      </c>
      <c r="B895" s="3" t="s">
        <v>498</v>
      </c>
      <c r="C895" s="3" t="s">
        <v>11</v>
      </c>
      <c r="D895" s="3" t="s">
        <v>12</v>
      </c>
      <c r="E895" s="3" t="s">
        <v>1828</v>
      </c>
      <c r="F895" s="3" t="s">
        <v>1403</v>
      </c>
      <c r="G895" s="3" t="n">
        <v>3000</v>
      </c>
      <c r="H895" s="3"/>
      <c r="I895" s="3" t="s">
        <v>1415</v>
      </c>
      <c r="J895" s="4" t="str">
        <f aca="false">IF(AND($A895&lt;&gt;"",$A895=Подбор!$C$4),MAX(J$1:J894)+1,"")</f>
        <v/>
      </c>
    </row>
    <row r="896" customFormat="false" ht="15" hidden="false" customHeight="false" outlineLevel="0" collapsed="false">
      <c r="A896" s="3" t="s">
        <v>907</v>
      </c>
      <c r="B896" s="3" t="s">
        <v>498</v>
      </c>
      <c r="C896" s="3" t="s">
        <v>14</v>
      </c>
      <c r="D896" s="3" t="s">
        <v>15</v>
      </c>
      <c r="E896" s="3" t="s">
        <v>1829</v>
      </c>
      <c r="F896" s="3" t="s">
        <v>1403</v>
      </c>
      <c r="G896" s="3"/>
      <c r="H896" s="3"/>
      <c r="I896" s="3"/>
      <c r="J896" s="4" t="str">
        <f aca="false">IF(AND($A896&lt;&gt;"",$A896=Подбор!$C$4),MAX(J$1:J895)+1,"")</f>
        <v/>
      </c>
    </row>
    <row r="897" customFormat="false" ht="15" hidden="false" customHeight="false" outlineLevel="0" collapsed="false">
      <c r="A897" s="3" t="s">
        <v>909</v>
      </c>
      <c r="B897" s="3" t="s">
        <v>498</v>
      </c>
      <c r="C897" s="3" t="s">
        <v>11</v>
      </c>
      <c r="D897" s="3" t="s">
        <v>12</v>
      </c>
      <c r="E897" s="3" t="s">
        <v>1831</v>
      </c>
      <c r="F897" s="3" t="s">
        <v>1403</v>
      </c>
      <c r="G897" s="3" t="n">
        <v>20000</v>
      </c>
      <c r="H897" s="3"/>
      <c r="I897" s="3" t="s">
        <v>1415</v>
      </c>
      <c r="J897" s="4" t="str">
        <f aca="false">IF(AND($A897&lt;&gt;"",$A897=Подбор!$C$4),MAX(J$1:J896)+1,"")</f>
        <v/>
      </c>
    </row>
    <row r="898" customFormat="false" ht="15" hidden="false" customHeight="false" outlineLevel="0" collapsed="false">
      <c r="A898" s="3" t="s">
        <v>909</v>
      </c>
      <c r="B898" s="3" t="s">
        <v>498</v>
      </c>
      <c r="C898" s="3" t="s">
        <v>14</v>
      </c>
      <c r="D898" s="3" t="s">
        <v>15</v>
      </c>
      <c r="E898" s="3" t="s">
        <v>1829</v>
      </c>
      <c r="F898" s="3" t="s">
        <v>1403</v>
      </c>
      <c r="G898" s="3"/>
      <c r="H898" s="3"/>
      <c r="I898" s="3"/>
      <c r="J898" s="4" t="str">
        <f aca="false">IF(AND($A898&lt;&gt;"",$A898=Подбор!$C$4),MAX(J$1:J897)+1,"")</f>
        <v/>
      </c>
    </row>
    <row r="899" customFormat="false" ht="15" hidden="false" customHeight="false" outlineLevel="0" collapsed="false">
      <c r="A899" s="3" t="s">
        <v>911</v>
      </c>
      <c r="B899" s="3" t="s">
        <v>498</v>
      </c>
      <c r="C899" s="3" t="s">
        <v>11</v>
      </c>
      <c r="D899" s="3" t="s">
        <v>12</v>
      </c>
      <c r="E899" s="3" t="s">
        <v>1832</v>
      </c>
      <c r="F899" s="3" t="s">
        <v>1403</v>
      </c>
      <c r="G899" s="3" t="n">
        <v>1000</v>
      </c>
      <c r="H899" s="3"/>
      <c r="I899" s="3" t="s">
        <v>1415</v>
      </c>
      <c r="J899" s="4" t="str">
        <f aca="false">IF(AND($A899&lt;&gt;"",$A899=Подбор!$C$4),MAX(J$1:J898)+1,"")</f>
        <v/>
      </c>
    </row>
    <row r="900" customFormat="false" ht="15" hidden="false" customHeight="false" outlineLevel="0" collapsed="false">
      <c r="A900" s="3" t="s">
        <v>913</v>
      </c>
      <c r="B900" s="3" t="s">
        <v>498</v>
      </c>
      <c r="C900" s="3" t="s">
        <v>11</v>
      </c>
      <c r="D900" s="3" t="s">
        <v>12</v>
      </c>
      <c r="E900" s="3" t="s">
        <v>1833</v>
      </c>
      <c r="F900" s="3" t="s">
        <v>1403</v>
      </c>
      <c r="G900" s="3" t="n">
        <v>2500</v>
      </c>
      <c r="H900" s="3"/>
      <c r="I900" s="3" t="s">
        <v>1415</v>
      </c>
      <c r="J900" s="4" t="str">
        <f aca="false">IF(AND($A900&lt;&gt;"",$A900=Подбор!$C$4),MAX(J$1:J899)+1,"")</f>
        <v/>
      </c>
    </row>
    <row r="901" customFormat="false" ht="15" hidden="false" customHeight="false" outlineLevel="0" collapsed="false">
      <c r="A901" s="3" t="s">
        <v>913</v>
      </c>
      <c r="B901" s="3" t="s">
        <v>498</v>
      </c>
      <c r="C901" s="3" t="s">
        <v>11</v>
      </c>
      <c r="D901" s="3" t="s">
        <v>21</v>
      </c>
      <c r="E901" s="3" t="s">
        <v>1834</v>
      </c>
      <c r="F901" s="3" t="s">
        <v>1403</v>
      </c>
      <c r="G901" s="3" t="n">
        <v>1300</v>
      </c>
      <c r="H901" s="3"/>
      <c r="I901" s="3" t="s">
        <v>1415</v>
      </c>
      <c r="J901" s="4" t="str">
        <f aca="false">IF(AND($A901&lt;&gt;"",$A901=Подбор!$C$4),MAX(J$1:J900)+1,"")</f>
        <v/>
      </c>
    </row>
    <row r="902" customFormat="false" ht="15" hidden="false" customHeight="false" outlineLevel="0" collapsed="false">
      <c r="A902" s="3" t="s">
        <v>913</v>
      </c>
      <c r="B902" s="3" t="s">
        <v>498</v>
      </c>
      <c r="C902" s="3" t="s">
        <v>11</v>
      </c>
      <c r="D902" s="3" t="s">
        <v>23</v>
      </c>
      <c r="E902" s="3" t="s">
        <v>1835</v>
      </c>
      <c r="F902" s="3" t="s">
        <v>1403</v>
      </c>
      <c r="G902" s="3" t="n">
        <v>1300</v>
      </c>
      <c r="H902" s="3"/>
      <c r="I902" s="3" t="s">
        <v>1415</v>
      </c>
      <c r="J902" s="4" t="str">
        <f aca="false">IF(AND($A902&lt;&gt;"",$A902=Подбор!$C$4),MAX(J$1:J901)+1,"")</f>
        <v/>
      </c>
    </row>
    <row r="903" customFormat="false" ht="15" hidden="false" customHeight="false" outlineLevel="0" collapsed="false">
      <c r="A903" s="3" t="s">
        <v>913</v>
      </c>
      <c r="B903" s="3" t="s">
        <v>498</v>
      </c>
      <c r="C903" s="3" t="s">
        <v>11</v>
      </c>
      <c r="D903" s="3" t="s">
        <v>25</v>
      </c>
      <c r="E903" s="3" t="s">
        <v>1836</v>
      </c>
      <c r="F903" s="3" t="s">
        <v>1403</v>
      </c>
      <c r="G903" s="3" t="n">
        <v>1300</v>
      </c>
      <c r="H903" s="3"/>
      <c r="I903" s="3" t="s">
        <v>1415</v>
      </c>
      <c r="J903" s="4" t="str">
        <f aca="false">IF(AND($A903&lt;&gt;"",$A903=Подбор!$C$4),MAX(J$1:J902)+1,"")</f>
        <v/>
      </c>
    </row>
    <row r="904" customFormat="false" ht="15" hidden="false" customHeight="false" outlineLevel="0" collapsed="false">
      <c r="A904" s="3" t="s">
        <v>918</v>
      </c>
      <c r="B904" s="3" t="s">
        <v>84</v>
      </c>
      <c r="C904" s="3" t="s">
        <v>11</v>
      </c>
      <c r="D904" s="3" t="s">
        <v>12</v>
      </c>
      <c r="E904" s="3" t="s">
        <v>1578</v>
      </c>
      <c r="F904" s="3" t="s">
        <v>1403</v>
      </c>
      <c r="G904" s="3" t="n">
        <v>2000</v>
      </c>
      <c r="H904" s="3"/>
      <c r="I904" s="3" t="s">
        <v>1415</v>
      </c>
      <c r="J904" s="4" t="str">
        <f aca="false">IF(AND($A904&lt;&gt;"",$A904=Подбор!$C$4),MAX(J$1:J903)+1,"")</f>
        <v/>
      </c>
    </row>
    <row r="905" customFormat="false" ht="15" hidden="false" customHeight="false" outlineLevel="0" collapsed="false">
      <c r="A905" s="3" t="s">
        <v>919</v>
      </c>
      <c r="B905" s="3" t="s">
        <v>84</v>
      </c>
      <c r="C905" s="3" t="s">
        <v>11</v>
      </c>
      <c r="D905" s="3" t="s">
        <v>12</v>
      </c>
      <c r="E905" s="3" t="s">
        <v>1578</v>
      </c>
      <c r="F905" s="3" t="s">
        <v>1403</v>
      </c>
      <c r="G905" s="3" t="n">
        <v>2000</v>
      </c>
      <c r="H905" s="3"/>
      <c r="I905" s="3" t="s">
        <v>1415</v>
      </c>
      <c r="J905" s="4" t="str">
        <f aca="false">IF(AND($A905&lt;&gt;"",$A905=Подбор!$C$4),MAX(J$1:J904)+1,"")</f>
        <v/>
      </c>
    </row>
    <row r="906" customFormat="false" ht="15" hidden="false" customHeight="false" outlineLevel="0" collapsed="false">
      <c r="A906" s="3" t="s">
        <v>920</v>
      </c>
      <c r="B906" s="3" t="s">
        <v>84</v>
      </c>
      <c r="C906" s="3" t="s">
        <v>11</v>
      </c>
      <c r="D906" s="3" t="s">
        <v>12</v>
      </c>
      <c r="E906" s="3" t="s">
        <v>1578</v>
      </c>
      <c r="F906" s="3" t="s">
        <v>1403</v>
      </c>
      <c r="G906" s="3" t="n">
        <v>2000</v>
      </c>
      <c r="H906" s="3"/>
      <c r="I906" s="3" t="s">
        <v>1415</v>
      </c>
      <c r="J906" s="4" t="str">
        <f aca="false">IF(AND($A906&lt;&gt;"",$A906=Подбор!$C$4),MAX(J$1:J905)+1,"")</f>
        <v/>
      </c>
    </row>
    <row r="907" customFormat="false" ht="15" hidden="false" customHeight="false" outlineLevel="0" collapsed="false">
      <c r="A907" s="3" t="s">
        <v>921</v>
      </c>
      <c r="B907" s="3" t="s">
        <v>84</v>
      </c>
      <c r="C907" s="3" t="s">
        <v>11</v>
      </c>
      <c r="D907" s="3" t="s">
        <v>12</v>
      </c>
      <c r="E907" s="3" t="s">
        <v>1578</v>
      </c>
      <c r="F907" s="3" t="s">
        <v>1403</v>
      </c>
      <c r="G907" s="3" t="n">
        <v>2000</v>
      </c>
      <c r="H907" s="3"/>
      <c r="I907" s="3" t="s">
        <v>1415</v>
      </c>
      <c r="J907" s="4" t="str">
        <f aca="false">IF(AND($A907&lt;&gt;"",$A907=Подбор!$C$4),MAX(J$1:J906)+1,"")</f>
        <v/>
      </c>
    </row>
    <row r="908" customFormat="false" ht="15" hidden="false" customHeight="false" outlineLevel="0" collapsed="false">
      <c r="A908" s="3" t="s">
        <v>922</v>
      </c>
      <c r="B908" s="3" t="s">
        <v>68</v>
      </c>
      <c r="C908" s="3" t="s">
        <v>11</v>
      </c>
      <c r="D908" s="3" t="s">
        <v>12</v>
      </c>
      <c r="E908" s="3" t="s">
        <v>1837</v>
      </c>
      <c r="F908" s="3" t="s">
        <v>1403</v>
      </c>
      <c r="G908" s="3" t="n">
        <v>7200</v>
      </c>
      <c r="H908" s="3"/>
      <c r="I908" s="3" t="s">
        <v>1415</v>
      </c>
      <c r="J908" s="4" t="str">
        <f aca="false">IF(AND($A908&lt;&gt;"",$A908=Подбор!$C$4),MAX(J$1:J907)+1,"")</f>
        <v/>
      </c>
    </row>
    <row r="909" customFormat="false" ht="15" hidden="false" customHeight="false" outlineLevel="0" collapsed="false">
      <c r="A909" s="3" t="s">
        <v>922</v>
      </c>
      <c r="B909" s="3" t="s">
        <v>68</v>
      </c>
      <c r="C909" s="3" t="s">
        <v>11</v>
      </c>
      <c r="D909" s="3" t="s">
        <v>12</v>
      </c>
      <c r="E909" s="3" t="s">
        <v>1838</v>
      </c>
      <c r="F909" s="3" t="s">
        <v>1421</v>
      </c>
      <c r="G909" s="3" t="n">
        <v>7200</v>
      </c>
      <c r="H909" s="3"/>
      <c r="I909" s="3" t="s">
        <v>1415</v>
      </c>
      <c r="J909" s="4" t="str">
        <f aca="false">IF(AND($A909&lt;&gt;"",$A909=Подбор!$C$4),MAX(J$1:J908)+1,"")</f>
        <v/>
      </c>
    </row>
    <row r="910" customFormat="false" ht="15" hidden="false" customHeight="false" outlineLevel="0" collapsed="false">
      <c r="A910" s="3" t="s">
        <v>922</v>
      </c>
      <c r="B910" s="3" t="s">
        <v>68</v>
      </c>
      <c r="C910" s="3" t="s">
        <v>11</v>
      </c>
      <c r="D910" s="3" t="s">
        <v>12</v>
      </c>
      <c r="E910" s="3" t="s">
        <v>1839</v>
      </c>
      <c r="F910" s="3" t="s">
        <v>508</v>
      </c>
      <c r="G910" s="3" t="n">
        <v>7200</v>
      </c>
      <c r="H910" s="3"/>
      <c r="I910" s="3" t="s">
        <v>1415</v>
      </c>
      <c r="J910" s="4" t="str">
        <f aca="false">IF(AND($A910&lt;&gt;"",$A910=Подбор!$C$4),MAX(J$1:J909)+1,"")</f>
        <v/>
      </c>
    </row>
    <row r="911" customFormat="false" ht="15" hidden="false" customHeight="false" outlineLevel="0" collapsed="false">
      <c r="A911" s="3" t="s">
        <v>924</v>
      </c>
      <c r="B911" s="3" t="s">
        <v>68</v>
      </c>
      <c r="C911" s="3" t="s">
        <v>11</v>
      </c>
      <c r="D911" s="3" t="s">
        <v>12</v>
      </c>
      <c r="E911" s="3" t="s">
        <v>1837</v>
      </c>
      <c r="F911" s="3" t="s">
        <v>1403</v>
      </c>
      <c r="G911" s="3" t="n">
        <v>7200</v>
      </c>
      <c r="H911" s="3"/>
      <c r="I911" s="3" t="s">
        <v>1415</v>
      </c>
      <c r="J911" s="4" t="str">
        <f aca="false">IF(AND($A911&lt;&gt;"",$A911=Подбор!$C$4),MAX(J$1:J910)+1,"")</f>
        <v/>
      </c>
    </row>
    <row r="912" customFormat="false" ht="15" hidden="false" customHeight="false" outlineLevel="0" collapsed="false">
      <c r="A912" s="3" t="s">
        <v>925</v>
      </c>
      <c r="B912" s="3" t="s">
        <v>84</v>
      </c>
      <c r="C912" s="3" t="s">
        <v>11</v>
      </c>
      <c r="D912" s="3" t="s">
        <v>12</v>
      </c>
      <c r="E912" s="3" t="s">
        <v>1840</v>
      </c>
      <c r="F912" s="3" t="s">
        <v>1403</v>
      </c>
      <c r="G912" s="3"/>
      <c r="H912" s="3"/>
      <c r="I912" s="3"/>
      <c r="J912" s="4" t="str">
        <f aca="false">IF(AND($A912&lt;&gt;"",$A912=Подбор!$C$4),MAX(J$1:J911)+1,"")</f>
        <v/>
      </c>
    </row>
    <row r="913" customFormat="false" ht="15" hidden="false" customHeight="false" outlineLevel="0" collapsed="false">
      <c r="A913" s="3" t="s">
        <v>927</v>
      </c>
      <c r="B913" s="3" t="s">
        <v>84</v>
      </c>
      <c r="C913" s="3" t="s">
        <v>11</v>
      </c>
      <c r="D913" s="3" t="s">
        <v>12</v>
      </c>
      <c r="E913" s="3" t="s">
        <v>1840</v>
      </c>
      <c r="F913" s="3" t="s">
        <v>1403</v>
      </c>
      <c r="G913" s="3"/>
      <c r="H913" s="3"/>
      <c r="I913" s="3"/>
      <c r="J913" s="4" t="str">
        <f aca="false">IF(AND($A913&lt;&gt;"",$A913=Подбор!$C$4),MAX(J$1:J912)+1,"")</f>
        <v/>
      </c>
    </row>
    <row r="914" customFormat="false" ht="15" hidden="false" customHeight="false" outlineLevel="0" collapsed="false">
      <c r="A914" s="3" t="s">
        <v>928</v>
      </c>
      <c r="B914" s="3" t="s">
        <v>57</v>
      </c>
      <c r="C914" s="3" t="s">
        <v>11</v>
      </c>
      <c r="D914" s="3" t="s">
        <v>12</v>
      </c>
      <c r="E914" s="3" t="s">
        <v>1772</v>
      </c>
      <c r="F914" s="3" t="s">
        <v>1403</v>
      </c>
      <c r="G914" s="3" t="n">
        <v>2100</v>
      </c>
      <c r="H914" s="3"/>
      <c r="I914" s="3" t="s">
        <v>1415</v>
      </c>
      <c r="J914" s="4" t="str">
        <f aca="false">IF(AND($A914&lt;&gt;"",$A914=Подбор!$C$4),MAX(J$1:J913)+1,"")</f>
        <v/>
      </c>
    </row>
    <row r="915" customFormat="false" ht="15" hidden="false" customHeight="false" outlineLevel="0" collapsed="false">
      <c r="A915" s="3" t="s">
        <v>929</v>
      </c>
      <c r="B915" s="3" t="s">
        <v>84</v>
      </c>
      <c r="C915" s="3" t="s">
        <v>11</v>
      </c>
      <c r="D915" s="3" t="s">
        <v>12</v>
      </c>
      <c r="E915" s="3" t="s">
        <v>1841</v>
      </c>
      <c r="F915" s="3" t="s">
        <v>1403</v>
      </c>
      <c r="G915" s="3" t="n">
        <v>5000</v>
      </c>
      <c r="H915" s="3"/>
      <c r="I915" s="3" t="s">
        <v>1415</v>
      </c>
      <c r="J915" s="4" t="str">
        <f aca="false">IF(AND($A915&lt;&gt;"",$A915=Подбор!$C$4),MAX(J$1:J914)+1,"")</f>
        <v/>
      </c>
    </row>
    <row r="916" customFormat="false" ht="15" hidden="false" customHeight="false" outlineLevel="0" collapsed="false">
      <c r="A916" s="3" t="s">
        <v>933</v>
      </c>
      <c r="B916" s="3" t="s">
        <v>84</v>
      </c>
      <c r="C916" s="3" t="s">
        <v>11</v>
      </c>
      <c r="D916" s="3" t="s">
        <v>12</v>
      </c>
      <c r="E916" s="3" t="s">
        <v>1842</v>
      </c>
      <c r="F916" s="3" t="s">
        <v>1403</v>
      </c>
      <c r="G916" s="3"/>
      <c r="H916" s="3"/>
      <c r="I916" s="3"/>
      <c r="J916" s="4" t="str">
        <f aca="false">IF(AND($A916&lt;&gt;"",$A916=Подбор!$C$4),MAX(J$1:J915)+1,"")</f>
        <v/>
      </c>
    </row>
    <row r="917" customFormat="false" ht="15" hidden="false" customHeight="false" outlineLevel="0" collapsed="false">
      <c r="A917" s="3" t="s">
        <v>935</v>
      </c>
      <c r="B917" s="3" t="s">
        <v>57</v>
      </c>
      <c r="C917" s="3" t="s">
        <v>11</v>
      </c>
      <c r="D917" s="3" t="s">
        <v>12</v>
      </c>
      <c r="E917" s="3" t="s">
        <v>1810</v>
      </c>
      <c r="F917" s="3" t="s">
        <v>1403</v>
      </c>
      <c r="G917" s="3" t="n">
        <v>2500</v>
      </c>
      <c r="H917" s="3"/>
      <c r="I917" s="3" t="s">
        <v>1415</v>
      </c>
      <c r="J917" s="4" t="str">
        <f aca="false">IF(AND($A917&lt;&gt;"",$A917=Подбор!$C$4),MAX(J$1:J916)+1,"")</f>
        <v/>
      </c>
    </row>
    <row r="918" customFormat="false" ht="15" hidden="false" customHeight="false" outlineLevel="0" collapsed="false">
      <c r="A918" s="3" t="s">
        <v>936</v>
      </c>
      <c r="B918" s="3" t="s">
        <v>57</v>
      </c>
      <c r="C918" s="3" t="s">
        <v>11</v>
      </c>
      <c r="D918" s="3" t="s">
        <v>12</v>
      </c>
      <c r="E918" s="3" t="s">
        <v>1843</v>
      </c>
      <c r="F918" s="3" t="s">
        <v>1403</v>
      </c>
      <c r="G918" s="3" t="n">
        <v>6000</v>
      </c>
      <c r="H918" s="3"/>
      <c r="I918" s="3" t="s">
        <v>1415</v>
      </c>
      <c r="J918" s="4" t="str">
        <f aca="false">IF(AND($A918&lt;&gt;"",$A918=Подбор!$C$4),MAX(J$1:J917)+1,"")</f>
        <v/>
      </c>
    </row>
    <row r="919" customFormat="false" ht="15" hidden="false" customHeight="false" outlineLevel="0" collapsed="false">
      <c r="A919" s="3" t="s">
        <v>938</v>
      </c>
      <c r="B919" s="3" t="s">
        <v>57</v>
      </c>
      <c r="C919" s="3" t="s">
        <v>11</v>
      </c>
      <c r="D919" s="3" t="s">
        <v>12</v>
      </c>
      <c r="E919" s="3" t="s">
        <v>1843</v>
      </c>
      <c r="F919" s="3" t="s">
        <v>1403</v>
      </c>
      <c r="G919" s="3" t="n">
        <v>6000</v>
      </c>
      <c r="H919" s="3"/>
      <c r="I919" s="3" t="s">
        <v>1415</v>
      </c>
      <c r="J919" s="4" t="str">
        <f aca="false">IF(AND($A919&lt;&gt;"",$A919=Подбор!$C$4),MAX(J$1:J918)+1,"")</f>
        <v/>
      </c>
    </row>
    <row r="920" customFormat="false" ht="15" hidden="false" customHeight="false" outlineLevel="0" collapsed="false">
      <c r="A920" s="3" t="s">
        <v>939</v>
      </c>
      <c r="B920" s="3" t="s">
        <v>498</v>
      </c>
      <c r="C920" s="3" t="s">
        <v>11</v>
      </c>
      <c r="D920" s="3" t="s">
        <v>12</v>
      </c>
      <c r="E920" s="3" t="s">
        <v>1817</v>
      </c>
      <c r="F920" s="3" t="s">
        <v>1403</v>
      </c>
      <c r="G920" s="3"/>
      <c r="H920" s="3"/>
      <c r="I920" s="3"/>
      <c r="J920" s="4" t="str">
        <f aca="false">IF(AND($A920&lt;&gt;"",$A920=Подбор!$C$4),MAX(J$1:J919)+1,"")</f>
        <v/>
      </c>
    </row>
    <row r="921" customFormat="false" ht="15" hidden="false" customHeight="false" outlineLevel="0" collapsed="false">
      <c r="A921" s="3" t="s">
        <v>939</v>
      </c>
      <c r="B921" s="3" t="s">
        <v>498</v>
      </c>
      <c r="C921" s="3" t="s">
        <v>14</v>
      </c>
      <c r="D921" s="3" t="s">
        <v>15</v>
      </c>
      <c r="E921" s="3" t="s">
        <v>1818</v>
      </c>
      <c r="F921" s="3" t="s">
        <v>1403</v>
      </c>
      <c r="G921" s="3"/>
      <c r="H921" s="3"/>
      <c r="I921" s="3"/>
      <c r="J921" s="4" t="str">
        <f aca="false">IF(AND($A921&lt;&gt;"",$A921=Подбор!$C$4),MAX(J$1:J920)+1,"")</f>
        <v/>
      </c>
    </row>
    <row r="922" customFormat="false" ht="15" hidden="false" customHeight="false" outlineLevel="0" collapsed="false">
      <c r="A922" s="3" t="s">
        <v>940</v>
      </c>
      <c r="B922" s="3" t="s">
        <v>472</v>
      </c>
      <c r="C922" s="3" t="s">
        <v>11</v>
      </c>
      <c r="D922" s="3" t="s">
        <v>12</v>
      </c>
      <c r="E922" s="3" t="s">
        <v>1824</v>
      </c>
      <c r="F922" s="3" t="s">
        <v>1403</v>
      </c>
      <c r="G922" s="3"/>
      <c r="H922" s="3"/>
      <c r="I922" s="3"/>
      <c r="J922" s="4" t="str">
        <f aca="false">IF(AND($A922&lt;&gt;"",$A922=Подбор!$C$4),MAX(J$1:J921)+1,"")</f>
        <v/>
      </c>
    </row>
    <row r="923" customFormat="false" ht="15" hidden="false" customHeight="false" outlineLevel="0" collapsed="false">
      <c r="A923" s="3" t="s">
        <v>941</v>
      </c>
      <c r="B923" s="3" t="s">
        <v>84</v>
      </c>
      <c r="C923" s="3" t="s">
        <v>11</v>
      </c>
      <c r="D923" s="3" t="s">
        <v>12</v>
      </c>
      <c r="E923" s="3" t="s">
        <v>1844</v>
      </c>
      <c r="F923" s="3" t="s">
        <v>1403</v>
      </c>
      <c r="G923" s="3" t="n">
        <v>2100</v>
      </c>
      <c r="H923" s="3"/>
      <c r="I923" s="3" t="s">
        <v>1415</v>
      </c>
      <c r="J923" s="4" t="str">
        <f aca="false">IF(AND($A923&lt;&gt;"",$A923=Подбор!$C$4),MAX(J$1:J922)+1,"")</f>
        <v/>
      </c>
    </row>
    <row r="924" customFormat="false" ht="15" hidden="false" customHeight="false" outlineLevel="0" collapsed="false">
      <c r="A924" s="3" t="s">
        <v>943</v>
      </c>
      <c r="B924" s="3" t="s">
        <v>84</v>
      </c>
      <c r="C924" s="3" t="s">
        <v>11</v>
      </c>
      <c r="D924" s="3" t="s">
        <v>12</v>
      </c>
      <c r="E924" s="3" t="s">
        <v>1578</v>
      </c>
      <c r="F924" s="3" t="s">
        <v>1403</v>
      </c>
      <c r="G924" s="3" t="n">
        <v>2000</v>
      </c>
      <c r="H924" s="3"/>
      <c r="I924" s="3" t="s">
        <v>1415</v>
      </c>
      <c r="J924" s="4" t="str">
        <f aca="false">IF(AND($A924&lt;&gt;"",$A924=Подбор!$C$4),MAX(J$1:J923)+1,"")</f>
        <v/>
      </c>
    </row>
    <row r="925" customFormat="false" ht="15" hidden="false" customHeight="false" outlineLevel="0" collapsed="false">
      <c r="A925" s="3" t="s">
        <v>944</v>
      </c>
      <c r="B925" s="3" t="s">
        <v>84</v>
      </c>
      <c r="C925" s="3" t="s">
        <v>11</v>
      </c>
      <c r="D925" s="3" t="s">
        <v>12</v>
      </c>
      <c r="E925" s="3" t="s">
        <v>1845</v>
      </c>
      <c r="F925" s="3" t="s">
        <v>1403</v>
      </c>
      <c r="G925" s="3"/>
      <c r="H925" s="3"/>
      <c r="I925" s="3"/>
      <c r="J925" s="4" t="str">
        <f aca="false">IF(AND($A925&lt;&gt;"",$A925=Подбор!$C$4),MAX(J$1:J924)+1,"")</f>
        <v/>
      </c>
    </row>
    <row r="926" customFormat="false" ht="15" hidden="false" customHeight="false" outlineLevel="0" collapsed="false">
      <c r="A926" s="3" t="s">
        <v>946</v>
      </c>
      <c r="B926" s="3" t="s">
        <v>84</v>
      </c>
      <c r="C926" s="3" t="s">
        <v>11</v>
      </c>
      <c r="D926" s="3" t="s">
        <v>12</v>
      </c>
      <c r="E926" s="3" t="s">
        <v>1846</v>
      </c>
      <c r="F926" s="3" t="s">
        <v>1403</v>
      </c>
      <c r="G926" s="3"/>
      <c r="H926" s="3"/>
      <c r="I926" s="3"/>
      <c r="J926" s="4" t="str">
        <f aca="false">IF(AND($A926&lt;&gt;"",$A926=Подбор!$C$4),MAX(J$1:J925)+1,"")</f>
        <v/>
      </c>
    </row>
    <row r="927" customFormat="false" ht="15" hidden="false" customHeight="false" outlineLevel="0" collapsed="false">
      <c r="A927" s="3" t="s">
        <v>948</v>
      </c>
      <c r="B927" s="3" t="s">
        <v>10</v>
      </c>
      <c r="C927" s="3" t="s">
        <v>11</v>
      </c>
      <c r="D927" s="3" t="s">
        <v>12</v>
      </c>
      <c r="E927" s="3" t="s">
        <v>1820</v>
      </c>
      <c r="F927" s="3" t="s">
        <v>1403</v>
      </c>
      <c r="G927" s="3"/>
      <c r="H927" s="3"/>
      <c r="I927" s="3"/>
      <c r="J927" s="4" t="str">
        <f aca="false">IF(AND($A927&lt;&gt;"",$A927=Подбор!$C$4),MAX(J$1:J926)+1,"")</f>
        <v/>
      </c>
    </row>
    <row r="928" customFormat="false" ht="15" hidden="false" customHeight="false" outlineLevel="0" collapsed="false">
      <c r="A928" s="3" t="s">
        <v>949</v>
      </c>
      <c r="B928" s="3" t="s">
        <v>84</v>
      </c>
      <c r="C928" s="3" t="s">
        <v>11</v>
      </c>
      <c r="D928" s="3" t="s">
        <v>12</v>
      </c>
      <c r="E928" s="3" t="s">
        <v>1747</v>
      </c>
      <c r="F928" s="3" t="s">
        <v>1403</v>
      </c>
      <c r="G928" s="3"/>
      <c r="H928" s="3"/>
      <c r="I928" s="3"/>
      <c r="J928" s="4" t="str">
        <f aca="false">IF(AND($A928&lt;&gt;"",$A928=Подбор!$C$4),MAX(J$1:J927)+1,"")</f>
        <v/>
      </c>
    </row>
    <row r="929" customFormat="false" ht="15" hidden="false" customHeight="false" outlineLevel="0" collapsed="false">
      <c r="A929" s="3" t="s">
        <v>950</v>
      </c>
      <c r="B929" s="3" t="s">
        <v>84</v>
      </c>
      <c r="C929" s="3" t="s">
        <v>11</v>
      </c>
      <c r="D929" s="3" t="s">
        <v>12</v>
      </c>
      <c r="E929" s="3" t="s">
        <v>1747</v>
      </c>
      <c r="F929" s="3" t="s">
        <v>1403</v>
      </c>
      <c r="G929" s="3"/>
      <c r="H929" s="3"/>
      <c r="I929" s="3"/>
      <c r="J929" s="4" t="str">
        <f aca="false">IF(AND($A929&lt;&gt;"",$A929=Подбор!$C$4),MAX(J$1:J928)+1,"")</f>
        <v/>
      </c>
    </row>
    <row r="930" customFormat="false" ht="15" hidden="false" customHeight="false" outlineLevel="0" collapsed="false">
      <c r="A930" s="3" t="s">
        <v>951</v>
      </c>
      <c r="B930" s="3" t="s">
        <v>84</v>
      </c>
      <c r="C930" s="3" t="s">
        <v>11</v>
      </c>
      <c r="D930" s="3" t="s">
        <v>12</v>
      </c>
      <c r="E930" s="3" t="s">
        <v>1747</v>
      </c>
      <c r="F930" s="3" t="s">
        <v>1403</v>
      </c>
      <c r="G930" s="3"/>
      <c r="H930" s="3"/>
      <c r="I930" s="3"/>
      <c r="J930" s="4" t="str">
        <f aca="false">IF(AND($A930&lt;&gt;"",$A930=Подбор!$C$4),MAX(J$1:J929)+1,"")</f>
        <v/>
      </c>
    </row>
    <row r="931" customFormat="false" ht="15" hidden="false" customHeight="false" outlineLevel="0" collapsed="false">
      <c r="A931" s="3" t="s">
        <v>952</v>
      </c>
      <c r="B931" s="3" t="s">
        <v>68</v>
      </c>
      <c r="C931" s="3" t="s">
        <v>11</v>
      </c>
      <c r="D931" s="3" t="s">
        <v>12</v>
      </c>
      <c r="E931" s="3" t="s">
        <v>1847</v>
      </c>
      <c r="F931" s="3" t="s">
        <v>1403</v>
      </c>
      <c r="G931" s="3" t="n">
        <v>12000</v>
      </c>
      <c r="H931" s="3"/>
      <c r="I931" s="3" t="s">
        <v>1415</v>
      </c>
      <c r="J931" s="4" t="str">
        <f aca="false">IF(AND($A931&lt;&gt;"",$A931=Подбор!$C$4),MAX(J$1:J930)+1,"")</f>
        <v/>
      </c>
    </row>
    <row r="932" customFormat="false" ht="15" hidden="false" customHeight="false" outlineLevel="0" collapsed="false">
      <c r="A932" s="3" t="s">
        <v>952</v>
      </c>
      <c r="B932" s="3" t="s">
        <v>68</v>
      </c>
      <c r="C932" s="3" t="s">
        <v>11</v>
      </c>
      <c r="D932" s="3" t="s">
        <v>21</v>
      </c>
      <c r="E932" s="3" t="s">
        <v>1848</v>
      </c>
      <c r="F932" s="3" t="s">
        <v>1403</v>
      </c>
      <c r="G932" s="3" t="n">
        <v>10000</v>
      </c>
      <c r="H932" s="3"/>
      <c r="I932" s="3" t="s">
        <v>1415</v>
      </c>
      <c r="J932" s="4" t="str">
        <f aca="false">IF(AND($A932&lt;&gt;"",$A932=Подбор!$C$4),MAX(J$1:J931)+1,"")</f>
        <v/>
      </c>
    </row>
    <row r="933" customFormat="false" ht="15" hidden="false" customHeight="false" outlineLevel="0" collapsed="false">
      <c r="A933" s="3" t="s">
        <v>952</v>
      </c>
      <c r="B933" s="3" t="s">
        <v>68</v>
      </c>
      <c r="C933" s="3" t="s">
        <v>11</v>
      </c>
      <c r="D933" s="3" t="s">
        <v>23</v>
      </c>
      <c r="E933" s="3" t="s">
        <v>1849</v>
      </c>
      <c r="F933" s="3" t="s">
        <v>1403</v>
      </c>
      <c r="G933" s="3" t="n">
        <v>10000</v>
      </c>
      <c r="H933" s="3"/>
      <c r="I933" s="3" t="s">
        <v>1415</v>
      </c>
      <c r="J933" s="4" t="str">
        <f aca="false">IF(AND($A933&lt;&gt;"",$A933=Подбор!$C$4),MAX(J$1:J932)+1,"")</f>
        <v/>
      </c>
    </row>
    <row r="934" customFormat="false" ht="15" hidden="false" customHeight="false" outlineLevel="0" collapsed="false">
      <c r="A934" s="3" t="s">
        <v>952</v>
      </c>
      <c r="B934" s="3" t="s">
        <v>68</v>
      </c>
      <c r="C934" s="3" t="s">
        <v>11</v>
      </c>
      <c r="D934" s="3" t="s">
        <v>25</v>
      </c>
      <c r="E934" s="3" t="s">
        <v>1850</v>
      </c>
      <c r="F934" s="3" t="s">
        <v>1403</v>
      </c>
      <c r="G934" s="3" t="n">
        <v>10000</v>
      </c>
      <c r="H934" s="3"/>
      <c r="I934" s="3" t="s">
        <v>1415</v>
      </c>
      <c r="J934" s="4" t="str">
        <f aca="false">IF(AND($A934&lt;&gt;"",$A934=Подбор!$C$4),MAX(J$1:J933)+1,"")</f>
        <v/>
      </c>
    </row>
    <row r="935" customFormat="false" ht="15" hidden="false" customHeight="false" outlineLevel="0" collapsed="false">
      <c r="A935" s="3" t="s">
        <v>957</v>
      </c>
      <c r="B935" s="3" t="s">
        <v>84</v>
      </c>
      <c r="C935" s="3" t="s">
        <v>11</v>
      </c>
      <c r="D935" s="3" t="s">
        <v>12</v>
      </c>
      <c r="E935" s="3" t="s">
        <v>1586</v>
      </c>
      <c r="F935" s="3" t="s">
        <v>1403</v>
      </c>
      <c r="G935" s="3"/>
      <c r="H935" s="3"/>
      <c r="I935" s="3"/>
      <c r="J935" s="4" t="str">
        <f aca="false">IF(AND($A935&lt;&gt;"",$A935=Подбор!$C$4),MAX(J$1:J934)+1,"")</f>
        <v/>
      </c>
    </row>
    <row r="936" customFormat="false" ht="15" hidden="false" customHeight="false" outlineLevel="0" collapsed="false">
      <c r="A936" s="3" t="s">
        <v>958</v>
      </c>
      <c r="B936" s="3" t="s">
        <v>84</v>
      </c>
      <c r="C936" s="3" t="s">
        <v>11</v>
      </c>
      <c r="D936" s="3" t="s">
        <v>12</v>
      </c>
      <c r="E936" s="3" t="s">
        <v>1586</v>
      </c>
      <c r="F936" s="3" t="s">
        <v>1403</v>
      </c>
      <c r="G936" s="3"/>
      <c r="H936" s="3"/>
      <c r="I936" s="3"/>
      <c r="J936" s="4" t="str">
        <f aca="false">IF(AND($A936&lt;&gt;"",$A936=Подбор!$C$4),MAX(J$1:J935)+1,"")</f>
        <v/>
      </c>
    </row>
    <row r="937" customFormat="false" ht="15" hidden="false" customHeight="false" outlineLevel="0" collapsed="false">
      <c r="A937" s="3" t="s">
        <v>959</v>
      </c>
      <c r="B937" s="3" t="s">
        <v>84</v>
      </c>
      <c r="C937" s="3" t="s">
        <v>11</v>
      </c>
      <c r="D937" s="3" t="s">
        <v>12</v>
      </c>
      <c r="E937" s="3" t="s">
        <v>1586</v>
      </c>
      <c r="F937" s="3" t="s">
        <v>1403</v>
      </c>
      <c r="G937" s="3"/>
      <c r="H937" s="3"/>
      <c r="I937" s="3"/>
      <c r="J937" s="4" t="str">
        <f aca="false">IF(AND($A937&lt;&gt;"",$A937=Подбор!$C$4),MAX(J$1:J936)+1,"")</f>
        <v/>
      </c>
    </row>
    <row r="938" customFormat="false" ht="15" hidden="false" customHeight="false" outlineLevel="0" collapsed="false">
      <c r="A938" s="3" t="s">
        <v>960</v>
      </c>
      <c r="B938" s="3" t="s">
        <v>84</v>
      </c>
      <c r="C938" s="3" t="s">
        <v>11</v>
      </c>
      <c r="D938" s="3" t="s">
        <v>12</v>
      </c>
      <c r="E938" s="3" t="s">
        <v>1586</v>
      </c>
      <c r="F938" s="3" t="s">
        <v>1403</v>
      </c>
      <c r="G938" s="3"/>
      <c r="H938" s="3"/>
      <c r="I938" s="3"/>
      <c r="J938" s="4" t="str">
        <f aca="false">IF(AND($A938&lt;&gt;"",$A938=Подбор!$C$4),MAX(J$1:J937)+1,"")</f>
        <v/>
      </c>
    </row>
    <row r="939" customFormat="false" ht="15" hidden="false" customHeight="false" outlineLevel="0" collapsed="false">
      <c r="A939" s="3" t="s">
        <v>961</v>
      </c>
      <c r="B939" s="3" t="s">
        <v>84</v>
      </c>
      <c r="C939" s="3" t="s">
        <v>11</v>
      </c>
      <c r="D939" s="3" t="s">
        <v>12</v>
      </c>
      <c r="E939" s="3" t="s">
        <v>1844</v>
      </c>
      <c r="F939" s="3" t="s">
        <v>1403</v>
      </c>
      <c r="G939" s="3" t="n">
        <v>2100</v>
      </c>
      <c r="H939" s="3"/>
      <c r="I939" s="3" t="s">
        <v>1415</v>
      </c>
      <c r="J939" s="4" t="str">
        <f aca="false">IF(AND($A939&lt;&gt;"",$A939=Подбор!$C$4),MAX(J$1:J938)+1,"")</f>
        <v/>
      </c>
    </row>
    <row r="940" customFormat="false" ht="15" hidden="false" customHeight="false" outlineLevel="0" collapsed="false">
      <c r="A940" s="3" t="s">
        <v>962</v>
      </c>
      <c r="B940" s="3" t="s">
        <v>84</v>
      </c>
      <c r="C940" s="3" t="s">
        <v>567</v>
      </c>
      <c r="D940" s="3" t="s">
        <v>12</v>
      </c>
      <c r="E940" s="3" t="s">
        <v>1851</v>
      </c>
      <c r="F940" s="3" t="s">
        <v>1403</v>
      </c>
      <c r="G940" s="3" t="n">
        <v>400</v>
      </c>
      <c r="H940" s="3"/>
      <c r="I940" s="3" t="s">
        <v>1415</v>
      </c>
      <c r="J940" s="4" t="str">
        <f aca="false">IF(AND($A940&lt;&gt;"",$A940=Подбор!$C$4),MAX(J$1:J939)+1,"")</f>
        <v/>
      </c>
    </row>
    <row r="941" customFormat="false" ht="15" hidden="false" customHeight="false" outlineLevel="0" collapsed="false">
      <c r="A941" s="3" t="s">
        <v>964</v>
      </c>
      <c r="B941" s="3" t="s">
        <v>84</v>
      </c>
      <c r="C941" s="3" t="s">
        <v>11</v>
      </c>
      <c r="D941" s="3" t="s">
        <v>12</v>
      </c>
      <c r="E941" s="3" t="s">
        <v>1519</v>
      </c>
      <c r="F941" s="3" t="s">
        <v>1403</v>
      </c>
      <c r="G941" s="3"/>
      <c r="H941" s="3"/>
      <c r="I941" s="3"/>
      <c r="J941" s="4" t="str">
        <f aca="false">IF(AND($A941&lt;&gt;"",$A941=Подбор!$C$4),MAX(J$1:J940)+1,"")</f>
        <v/>
      </c>
    </row>
    <row r="942" customFormat="false" ht="15" hidden="false" customHeight="false" outlineLevel="0" collapsed="false">
      <c r="A942" s="3" t="s">
        <v>966</v>
      </c>
      <c r="B942" s="3" t="s">
        <v>57</v>
      </c>
      <c r="C942" s="3" t="s">
        <v>11</v>
      </c>
      <c r="D942" s="3" t="s">
        <v>12</v>
      </c>
      <c r="E942" s="3" t="s">
        <v>1852</v>
      </c>
      <c r="F942" s="3" t="s">
        <v>1403</v>
      </c>
      <c r="G942" s="3" t="n">
        <v>11000</v>
      </c>
      <c r="H942" s="3"/>
      <c r="I942" s="3" t="s">
        <v>1415</v>
      </c>
      <c r="J942" s="4" t="str">
        <f aca="false">IF(AND($A942&lt;&gt;"",$A942=Подбор!$C$4),MAX(J$1:J941)+1,"")</f>
        <v/>
      </c>
    </row>
    <row r="943" customFormat="false" ht="15" hidden="false" customHeight="false" outlineLevel="0" collapsed="false">
      <c r="A943" s="3" t="s">
        <v>968</v>
      </c>
      <c r="B943" s="3" t="s">
        <v>57</v>
      </c>
      <c r="C943" s="3" t="s">
        <v>11</v>
      </c>
      <c r="D943" s="3" t="s">
        <v>12</v>
      </c>
      <c r="E943" s="3" t="s">
        <v>1852</v>
      </c>
      <c r="F943" s="3" t="s">
        <v>1403</v>
      </c>
      <c r="G943" s="3" t="n">
        <v>11000</v>
      </c>
      <c r="H943" s="3"/>
      <c r="I943" s="3" t="s">
        <v>1415</v>
      </c>
      <c r="J943" s="4" t="str">
        <f aca="false">IF(AND($A943&lt;&gt;"",$A943=Подбор!$C$4),MAX(J$1:J942)+1,"")</f>
        <v/>
      </c>
    </row>
    <row r="944" customFormat="false" ht="15" hidden="false" customHeight="false" outlineLevel="0" collapsed="false">
      <c r="A944" s="3" t="s">
        <v>969</v>
      </c>
      <c r="B944" s="3" t="s">
        <v>57</v>
      </c>
      <c r="C944" s="3" t="s">
        <v>11</v>
      </c>
      <c r="D944" s="3" t="s">
        <v>12</v>
      </c>
      <c r="E944" s="3" t="s">
        <v>15</v>
      </c>
      <c r="F944" s="3"/>
      <c r="G944" s="3"/>
      <c r="H944" s="3"/>
      <c r="I944" s="3"/>
      <c r="J944" s="4" t="str">
        <f aca="false">IF(AND($A944&lt;&gt;"",$A944=Подбор!$C$4),MAX(J$1:J943)+1,"")</f>
        <v/>
      </c>
    </row>
    <row r="945" customFormat="false" ht="15" hidden="false" customHeight="false" outlineLevel="0" collapsed="false">
      <c r="A945" s="3" t="s">
        <v>971</v>
      </c>
      <c r="B945" s="3" t="s">
        <v>84</v>
      </c>
      <c r="C945" s="3" t="s">
        <v>11</v>
      </c>
      <c r="D945" s="3" t="s">
        <v>12</v>
      </c>
      <c r="E945" s="3" t="s">
        <v>1846</v>
      </c>
      <c r="F945" s="3" t="s">
        <v>1403</v>
      </c>
      <c r="G945" s="3"/>
      <c r="H945" s="3"/>
      <c r="I945" s="3"/>
      <c r="J945" s="4" t="str">
        <f aca="false">IF(AND($A945&lt;&gt;"",$A945=Подбор!$C$4),MAX(J$1:J944)+1,"")</f>
        <v/>
      </c>
    </row>
    <row r="946" customFormat="false" ht="15" hidden="false" customHeight="false" outlineLevel="0" collapsed="false">
      <c r="A946" s="3" t="s">
        <v>972</v>
      </c>
      <c r="B946" s="3" t="s">
        <v>57</v>
      </c>
      <c r="C946" s="3" t="s">
        <v>11</v>
      </c>
      <c r="D946" s="3" t="s">
        <v>12</v>
      </c>
      <c r="E946" s="3" t="s">
        <v>1853</v>
      </c>
      <c r="F946" s="3" t="s">
        <v>1403</v>
      </c>
      <c r="G946" s="3" t="n">
        <v>25000</v>
      </c>
      <c r="H946" s="3"/>
      <c r="I946" s="3" t="s">
        <v>1415</v>
      </c>
      <c r="J946" s="4" t="str">
        <f aca="false">IF(AND($A946&lt;&gt;"",$A946=Подбор!$C$4),MAX(J$1:J945)+1,"")</f>
        <v/>
      </c>
    </row>
    <row r="947" customFormat="false" ht="15" hidden="false" customHeight="false" outlineLevel="0" collapsed="false">
      <c r="A947" s="3" t="s">
        <v>974</v>
      </c>
      <c r="B947" s="3" t="s">
        <v>57</v>
      </c>
      <c r="C947" s="3" t="s">
        <v>11</v>
      </c>
      <c r="D947" s="3" t="s">
        <v>12</v>
      </c>
      <c r="E947" s="3" t="s">
        <v>1853</v>
      </c>
      <c r="F947" s="3" t="s">
        <v>1403</v>
      </c>
      <c r="G947" s="3" t="n">
        <v>25000</v>
      </c>
      <c r="H947" s="3"/>
      <c r="I947" s="3" t="s">
        <v>1415</v>
      </c>
      <c r="J947" s="4" t="str">
        <f aca="false">IF(AND($A947&lt;&gt;"",$A947=Подбор!$C$4),MAX(J$1:J946)+1,"")</f>
        <v/>
      </c>
    </row>
    <row r="948" customFormat="false" ht="15" hidden="false" customHeight="false" outlineLevel="0" collapsed="false">
      <c r="A948" s="3" t="s">
        <v>975</v>
      </c>
      <c r="B948" s="3" t="s">
        <v>57</v>
      </c>
      <c r="C948" s="3" t="s">
        <v>11</v>
      </c>
      <c r="D948" s="3" t="s">
        <v>12</v>
      </c>
      <c r="E948" s="3" t="s">
        <v>1853</v>
      </c>
      <c r="F948" s="3" t="s">
        <v>1403</v>
      </c>
      <c r="G948" s="3" t="n">
        <v>25000</v>
      </c>
      <c r="H948" s="3"/>
      <c r="I948" s="3" t="s">
        <v>1415</v>
      </c>
      <c r="J948" s="4" t="str">
        <f aca="false">IF(AND($A948&lt;&gt;"",$A948=Подбор!$C$4),MAX(J$1:J947)+1,"")</f>
        <v/>
      </c>
    </row>
    <row r="949" customFormat="false" ht="15" hidden="false" customHeight="false" outlineLevel="0" collapsed="false">
      <c r="A949" s="3" t="s">
        <v>976</v>
      </c>
      <c r="B949" s="3" t="s">
        <v>57</v>
      </c>
      <c r="C949" s="3" t="s">
        <v>11</v>
      </c>
      <c r="D949" s="3" t="s">
        <v>12</v>
      </c>
      <c r="E949" s="3" t="s">
        <v>1854</v>
      </c>
      <c r="F949" s="3" t="s">
        <v>1403</v>
      </c>
      <c r="G949" s="3" t="n">
        <v>20000</v>
      </c>
      <c r="H949" s="3"/>
      <c r="I949" s="3" t="s">
        <v>1415</v>
      </c>
      <c r="J949" s="4" t="str">
        <f aca="false">IF(AND($A949&lt;&gt;"",$A949=Подбор!$C$4),MAX(J$1:J948)+1,"")</f>
        <v/>
      </c>
    </row>
    <row r="950" customFormat="false" ht="15" hidden="false" customHeight="false" outlineLevel="0" collapsed="false">
      <c r="A950" s="3" t="s">
        <v>978</v>
      </c>
      <c r="B950" s="3" t="s">
        <v>57</v>
      </c>
      <c r="C950" s="3" t="s">
        <v>11</v>
      </c>
      <c r="D950" s="3" t="s">
        <v>12</v>
      </c>
      <c r="E950" s="3" t="s">
        <v>1855</v>
      </c>
      <c r="F950" s="3" t="s">
        <v>1403</v>
      </c>
      <c r="G950" s="3" t="n">
        <v>30000</v>
      </c>
      <c r="H950" s="3"/>
      <c r="I950" s="3" t="s">
        <v>1415</v>
      </c>
      <c r="J950" s="4" t="str">
        <f aca="false">IF(AND($A950&lt;&gt;"",$A950=Подбор!$C$4),MAX(J$1:J949)+1,"")</f>
        <v/>
      </c>
    </row>
    <row r="951" customFormat="false" ht="15" hidden="false" customHeight="false" outlineLevel="0" collapsed="false">
      <c r="A951" s="3" t="s">
        <v>978</v>
      </c>
      <c r="B951" s="3" t="s">
        <v>57</v>
      </c>
      <c r="C951" s="3" t="s">
        <v>11</v>
      </c>
      <c r="D951" s="3" t="s">
        <v>12</v>
      </c>
      <c r="E951" s="3" t="s">
        <v>1856</v>
      </c>
      <c r="F951" s="3" t="s">
        <v>1421</v>
      </c>
      <c r="G951" s="3" t="n">
        <v>30000</v>
      </c>
      <c r="H951" s="3"/>
      <c r="I951" s="3" t="s">
        <v>1415</v>
      </c>
      <c r="J951" s="4" t="str">
        <f aca="false">IF(AND($A951&lt;&gt;"",$A951=Подбор!$C$4),MAX(J$1:J950)+1,"")</f>
        <v/>
      </c>
    </row>
    <row r="952" customFormat="false" ht="15" hidden="false" customHeight="false" outlineLevel="0" collapsed="false">
      <c r="A952" s="3" t="s">
        <v>980</v>
      </c>
      <c r="B952" s="3" t="s">
        <v>57</v>
      </c>
      <c r="C952" s="3" t="s">
        <v>11</v>
      </c>
      <c r="D952" s="3" t="s">
        <v>12</v>
      </c>
      <c r="E952" s="3" t="s">
        <v>1855</v>
      </c>
      <c r="F952" s="3" t="s">
        <v>1403</v>
      </c>
      <c r="G952" s="3" t="n">
        <v>30000</v>
      </c>
      <c r="H952" s="3"/>
      <c r="I952" s="3" t="s">
        <v>1415</v>
      </c>
      <c r="J952" s="4" t="str">
        <f aca="false">IF(AND($A952&lt;&gt;"",$A952=Подбор!$C$4),MAX(J$1:J951)+1,"")</f>
        <v/>
      </c>
    </row>
    <row r="953" customFormat="false" ht="15" hidden="false" customHeight="false" outlineLevel="0" collapsed="false">
      <c r="A953" s="3" t="s">
        <v>981</v>
      </c>
      <c r="B953" s="3" t="s">
        <v>57</v>
      </c>
      <c r="C953" s="3" t="s">
        <v>11</v>
      </c>
      <c r="D953" s="3" t="s">
        <v>12</v>
      </c>
      <c r="E953" s="3" t="s">
        <v>1857</v>
      </c>
      <c r="F953" s="3" t="s">
        <v>1403</v>
      </c>
      <c r="G953" s="3" t="n">
        <v>8500</v>
      </c>
      <c r="H953" s="3"/>
      <c r="I953" s="3" t="s">
        <v>1415</v>
      </c>
      <c r="J953" s="4" t="str">
        <f aca="false">IF(AND($A953&lt;&gt;"",$A953=Подбор!$C$4),MAX(J$1:J952)+1,"")</f>
        <v/>
      </c>
    </row>
    <row r="954" customFormat="false" ht="15" hidden="false" customHeight="false" outlineLevel="0" collapsed="false">
      <c r="A954" s="3" t="s">
        <v>983</v>
      </c>
      <c r="B954" s="3" t="s">
        <v>57</v>
      </c>
      <c r="C954" s="3" t="s">
        <v>11</v>
      </c>
      <c r="D954" s="3" t="s">
        <v>12</v>
      </c>
      <c r="E954" s="3" t="s">
        <v>1789</v>
      </c>
      <c r="F954" s="3" t="s">
        <v>1403</v>
      </c>
      <c r="G954" s="3" t="n">
        <v>6000</v>
      </c>
      <c r="H954" s="3"/>
      <c r="I954" s="3" t="s">
        <v>1415</v>
      </c>
      <c r="J954" s="4" t="str">
        <f aca="false">IF(AND($A954&lt;&gt;"",$A954=Подбор!$C$4),MAX(J$1:J953)+1,"")</f>
        <v/>
      </c>
    </row>
    <row r="955" customFormat="false" ht="15" hidden="false" customHeight="false" outlineLevel="0" collapsed="false">
      <c r="A955" s="3" t="s">
        <v>984</v>
      </c>
      <c r="B955" s="3" t="s">
        <v>57</v>
      </c>
      <c r="C955" s="3" t="s">
        <v>11</v>
      </c>
      <c r="D955" s="3" t="s">
        <v>12</v>
      </c>
      <c r="E955" s="3" t="s">
        <v>1789</v>
      </c>
      <c r="F955" s="3" t="s">
        <v>1403</v>
      </c>
      <c r="G955" s="3" t="n">
        <v>6000</v>
      </c>
      <c r="H955" s="3"/>
      <c r="I955" s="3" t="s">
        <v>1415</v>
      </c>
      <c r="J955" s="4" t="str">
        <f aca="false">IF(AND($A955&lt;&gt;"",$A955=Подбор!$C$4),MAX(J$1:J954)+1,"")</f>
        <v/>
      </c>
    </row>
    <row r="956" customFormat="false" ht="15" hidden="false" customHeight="false" outlineLevel="0" collapsed="false">
      <c r="A956" s="3" t="s">
        <v>985</v>
      </c>
      <c r="B956" s="3" t="s">
        <v>57</v>
      </c>
      <c r="C956" s="3" t="s">
        <v>11</v>
      </c>
      <c r="D956" s="3" t="s">
        <v>12</v>
      </c>
      <c r="E956" s="3" t="s">
        <v>1858</v>
      </c>
      <c r="F956" s="3" t="s">
        <v>1403</v>
      </c>
      <c r="G956" s="3" t="n">
        <v>12500</v>
      </c>
      <c r="H956" s="3"/>
      <c r="I956" s="3" t="s">
        <v>1415</v>
      </c>
      <c r="J956" s="4" t="str">
        <f aca="false">IF(AND($A956&lt;&gt;"",$A956=Подбор!$C$4),MAX(J$1:J955)+1,"")</f>
        <v/>
      </c>
    </row>
    <row r="957" customFormat="false" ht="15" hidden="false" customHeight="false" outlineLevel="0" collapsed="false">
      <c r="A957" s="3" t="s">
        <v>987</v>
      </c>
      <c r="B957" s="3" t="s">
        <v>57</v>
      </c>
      <c r="C957" s="3" t="s">
        <v>11</v>
      </c>
      <c r="D957" s="3" t="s">
        <v>12</v>
      </c>
      <c r="E957" s="3" t="s">
        <v>1859</v>
      </c>
      <c r="F957" s="3" t="s">
        <v>1403</v>
      </c>
      <c r="G957" s="3"/>
      <c r="H957" s="3"/>
      <c r="I957" s="3"/>
      <c r="J957" s="4" t="str">
        <f aca="false">IF(AND($A957&lt;&gt;"",$A957=Подбор!$C$4),MAX(J$1:J956)+1,"")</f>
        <v/>
      </c>
    </row>
    <row r="958" customFormat="false" ht="15" hidden="false" customHeight="false" outlineLevel="0" collapsed="false">
      <c r="A958" s="3" t="s">
        <v>989</v>
      </c>
      <c r="B958" s="3" t="s">
        <v>57</v>
      </c>
      <c r="C958" s="3" t="s">
        <v>11</v>
      </c>
      <c r="D958" s="3" t="s">
        <v>12</v>
      </c>
      <c r="E958" s="3" t="s">
        <v>1789</v>
      </c>
      <c r="F958" s="3" t="s">
        <v>1403</v>
      </c>
      <c r="G958" s="3" t="n">
        <v>6000</v>
      </c>
      <c r="H958" s="3"/>
      <c r="I958" s="3" t="s">
        <v>1415</v>
      </c>
      <c r="J958" s="4" t="str">
        <f aca="false">IF(AND($A958&lt;&gt;"",$A958=Подбор!$C$4),MAX(J$1:J957)+1,"")</f>
        <v/>
      </c>
    </row>
    <row r="959" customFormat="false" ht="15" hidden="false" customHeight="false" outlineLevel="0" collapsed="false">
      <c r="A959" s="3" t="s">
        <v>990</v>
      </c>
      <c r="B959" s="3" t="s">
        <v>57</v>
      </c>
      <c r="C959" s="3" t="s">
        <v>11</v>
      </c>
      <c r="D959" s="3" t="s">
        <v>12</v>
      </c>
      <c r="E959" s="3" t="s">
        <v>1859</v>
      </c>
      <c r="F959" s="3" t="s">
        <v>1403</v>
      </c>
      <c r="G959" s="3"/>
      <c r="H959" s="3"/>
      <c r="I959" s="3"/>
      <c r="J959" s="4" t="str">
        <f aca="false">IF(AND($A959&lt;&gt;"",$A959=Подбор!$C$4),MAX(J$1:J958)+1,"")</f>
        <v/>
      </c>
    </row>
    <row r="960" customFormat="false" ht="15" hidden="false" customHeight="false" outlineLevel="0" collapsed="false">
      <c r="A960" s="3" t="s">
        <v>991</v>
      </c>
      <c r="B960" s="3" t="s">
        <v>57</v>
      </c>
      <c r="C960" s="3" t="s">
        <v>11</v>
      </c>
      <c r="D960" s="3" t="s">
        <v>12</v>
      </c>
      <c r="E960" s="3" t="s">
        <v>1860</v>
      </c>
      <c r="F960" s="3" t="s">
        <v>1403</v>
      </c>
      <c r="G960" s="3" t="n">
        <v>12000</v>
      </c>
      <c r="H960" s="3"/>
      <c r="I960" s="3" t="s">
        <v>1415</v>
      </c>
      <c r="J960" s="4" t="str">
        <f aca="false">IF(AND($A960&lt;&gt;"",$A960=Подбор!$C$4),MAX(J$1:J959)+1,"")</f>
        <v/>
      </c>
    </row>
    <row r="961" customFormat="false" ht="15" hidden="false" customHeight="false" outlineLevel="0" collapsed="false">
      <c r="A961" s="3" t="s">
        <v>993</v>
      </c>
      <c r="B961" s="3" t="s">
        <v>57</v>
      </c>
      <c r="C961" s="3" t="s">
        <v>11</v>
      </c>
      <c r="D961" s="3" t="s">
        <v>12</v>
      </c>
      <c r="E961" s="3" t="s">
        <v>1855</v>
      </c>
      <c r="F961" s="3" t="s">
        <v>1403</v>
      </c>
      <c r="G961" s="3" t="n">
        <v>30000</v>
      </c>
      <c r="H961" s="3"/>
      <c r="I961" s="3" t="s">
        <v>1415</v>
      </c>
      <c r="J961" s="4" t="str">
        <f aca="false">IF(AND($A961&lt;&gt;"",$A961=Подбор!$C$4),MAX(J$1:J960)+1,"")</f>
        <v/>
      </c>
    </row>
    <row r="962" customFormat="false" ht="15" hidden="false" customHeight="false" outlineLevel="0" collapsed="false">
      <c r="A962" s="3" t="s">
        <v>994</v>
      </c>
      <c r="B962" s="3" t="s">
        <v>57</v>
      </c>
      <c r="C962" s="3" t="s">
        <v>11</v>
      </c>
      <c r="D962" s="3" t="s">
        <v>12</v>
      </c>
      <c r="E962" s="3" t="s">
        <v>1855</v>
      </c>
      <c r="F962" s="3" t="s">
        <v>1403</v>
      </c>
      <c r="G962" s="3" t="n">
        <v>30000</v>
      </c>
      <c r="H962" s="3"/>
      <c r="I962" s="3" t="s">
        <v>1415</v>
      </c>
      <c r="J962" s="4" t="str">
        <f aca="false">IF(AND($A962&lt;&gt;"",$A962=Подбор!$C$4),MAX(J$1:J961)+1,"")</f>
        <v/>
      </c>
    </row>
    <row r="963" customFormat="false" ht="15" hidden="false" customHeight="false" outlineLevel="0" collapsed="false">
      <c r="A963" s="3" t="s">
        <v>995</v>
      </c>
      <c r="B963" s="3" t="s">
        <v>57</v>
      </c>
      <c r="C963" s="3" t="s">
        <v>11</v>
      </c>
      <c r="D963" s="3" t="s">
        <v>12</v>
      </c>
      <c r="E963" s="3" t="s">
        <v>1857</v>
      </c>
      <c r="F963" s="3" t="s">
        <v>1403</v>
      </c>
      <c r="G963" s="3" t="n">
        <v>8500</v>
      </c>
      <c r="H963" s="3"/>
      <c r="I963" s="3" t="s">
        <v>1415</v>
      </c>
      <c r="J963" s="4" t="str">
        <f aca="false">IF(AND($A963&lt;&gt;"",$A963=Подбор!$C$4),MAX(J$1:J962)+1,"")</f>
        <v/>
      </c>
    </row>
    <row r="964" customFormat="false" ht="15" hidden="false" customHeight="false" outlineLevel="0" collapsed="false">
      <c r="A964" s="3" t="s">
        <v>996</v>
      </c>
      <c r="B964" s="3" t="s">
        <v>57</v>
      </c>
      <c r="C964" s="3" t="s">
        <v>11</v>
      </c>
      <c r="D964" s="3" t="s">
        <v>12</v>
      </c>
      <c r="E964" s="3" t="s">
        <v>1857</v>
      </c>
      <c r="F964" s="3" t="s">
        <v>1403</v>
      </c>
      <c r="G964" s="3" t="n">
        <v>8500</v>
      </c>
      <c r="H964" s="3"/>
      <c r="I964" s="3" t="s">
        <v>1415</v>
      </c>
      <c r="J964" s="4" t="str">
        <f aca="false">IF(AND($A964&lt;&gt;"",$A964=Подбор!$C$4),MAX(J$1:J963)+1,"")</f>
        <v/>
      </c>
    </row>
    <row r="965" customFormat="false" ht="15" hidden="false" customHeight="false" outlineLevel="0" collapsed="false">
      <c r="A965" s="3" t="s">
        <v>997</v>
      </c>
      <c r="B965" s="3" t="s">
        <v>57</v>
      </c>
      <c r="C965" s="3" t="s">
        <v>11</v>
      </c>
      <c r="D965" s="3" t="s">
        <v>12</v>
      </c>
      <c r="E965" s="3" t="s">
        <v>1857</v>
      </c>
      <c r="F965" s="3" t="s">
        <v>1403</v>
      </c>
      <c r="G965" s="3" t="n">
        <v>8500</v>
      </c>
      <c r="H965" s="3"/>
      <c r="I965" s="3" t="s">
        <v>1415</v>
      </c>
      <c r="J965" s="4" t="str">
        <f aca="false">IF(AND($A965&lt;&gt;"",$A965=Подбор!$C$4),MAX(J$1:J964)+1,"")</f>
        <v/>
      </c>
    </row>
    <row r="966" customFormat="false" ht="15" hidden="false" customHeight="false" outlineLevel="0" collapsed="false">
      <c r="A966" s="3" t="s">
        <v>998</v>
      </c>
      <c r="B966" s="3" t="s">
        <v>57</v>
      </c>
      <c r="C966" s="3" t="s">
        <v>11</v>
      </c>
      <c r="D966" s="3" t="s">
        <v>12</v>
      </c>
      <c r="E966" s="3" t="s">
        <v>1857</v>
      </c>
      <c r="F966" s="3" t="s">
        <v>1403</v>
      </c>
      <c r="G966" s="3" t="n">
        <v>8500</v>
      </c>
      <c r="H966" s="3"/>
      <c r="I966" s="3" t="s">
        <v>1415</v>
      </c>
      <c r="J966" s="4" t="str">
        <f aca="false">IF(AND($A966&lt;&gt;"",$A966=Подбор!$C$4),MAX(J$1:J965)+1,"")</f>
        <v/>
      </c>
    </row>
    <row r="967" customFormat="false" ht="15" hidden="false" customHeight="false" outlineLevel="0" collapsed="false">
      <c r="A967" s="3" t="s">
        <v>999</v>
      </c>
      <c r="B967" s="3" t="s">
        <v>57</v>
      </c>
      <c r="C967" s="3" t="s">
        <v>11</v>
      </c>
      <c r="D967" s="3" t="s">
        <v>12</v>
      </c>
      <c r="E967" s="3" t="s">
        <v>1857</v>
      </c>
      <c r="F967" s="3" t="s">
        <v>1403</v>
      </c>
      <c r="G967" s="3" t="n">
        <v>8500</v>
      </c>
      <c r="H967" s="3"/>
      <c r="I967" s="3" t="s">
        <v>1415</v>
      </c>
      <c r="J967" s="4" t="str">
        <f aca="false">IF(AND($A967&lt;&gt;"",$A967=Подбор!$C$4),MAX(J$1:J966)+1,"")</f>
        <v/>
      </c>
    </row>
    <row r="968" customFormat="false" ht="15" hidden="false" customHeight="false" outlineLevel="0" collapsed="false">
      <c r="A968" s="3" t="s">
        <v>1000</v>
      </c>
      <c r="B968" s="3" t="s">
        <v>57</v>
      </c>
      <c r="C968" s="3" t="s">
        <v>11</v>
      </c>
      <c r="D968" s="3" t="s">
        <v>12</v>
      </c>
      <c r="E968" s="3" t="s">
        <v>1500</v>
      </c>
      <c r="F968" s="3" t="s">
        <v>1403</v>
      </c>
      <c r="G968" s="3" t="n">
        <v>13000</v>
      </c>
      <c r="H968" s="3"/>
      <c r="I968" s="3" t="s">
        <v>1415</v>
      </c>
      <c r="J968" s="4" t="str">
        <f aca="false">IF(AND($A968&lt;&gt;"",$A968=Подбор!$C$4),MAX(J$1:J967)+1,"")</f>
        <v/>
      </c>
    </row>
    <row r="969" customFormat="false" ht="15" hidden="false" customHeight="false" outlineLevel="0" collapsed="false">
      <c r="A969" s="3" t="s">
        <v>1001</v>
      </c>
      <c r="B969" s="3" t="s">
        <v>57</v>
      </c>
      <c r="C969" s="3" t="s">
        <v>11</v>
      </c>
      <c r="D969" s="3" t="s">
        <v>12</v>
      </c>
      <c r="E969" s="3" t="s">
        <v>1500</v>
      </c>
      <c r="F969" s="3" t="s">
        <v>1403</v>
      </c>
      <c r="G969" s="3" t="n">
        <v>13000</v>
      </c>
      <c r="H969" s="3"/>
      <c r="I969" s="3" t="s">
        <v>1415</v>
      </c>
      <c r="J969" s="4" t="str">
        <f aca="false">IF(AND($A969&lt;&gt;"",$A969=Подбор!$C$4),MAX(J$1:J968)+1,"")</f>
        <v/>
      </c>
    </row>
    <row r="970" customFormat="false" ht="15" hidden="false" customHeight="false" outlineLevel="0" collapsed="false">
      <c r="A970" s="3" t="s">
        <v>1002</v>
      </c>
      <c r="B970" s="3" t="s">
        <v>57</v>
      </c>
      <c r="C970" s="3" t="s">
        <v>11</v>
      </c>
      <c r="D970" s="3" t="s">
        <v>12</v>
      </c>
      <c r="E970" s="3" t="s">
        <v>1500</v>
      </c>
      <c r="F970" s="3" t="s">
        <v>1403</v>
      </c>
      <c r="G970" s="3" t="n">
        <v>13000</v>
      </c>
      <c r="H970" s="3"/>
      <c r="I970" s="3" t="s">
        <v>1415</v>
      </c>
      <c r="J970" s="4" t="str">
        <f aca="false">IF(AND($A970&lt;&gt;"",$A970=Подбор!$C$4),MAX(J$1:J969)+1,"")</f>
        <v/>
      </c>
    </row>
    <row r="971" customFormat="false" ht="15" hidden="false" customHeight="false" outlineLevel="0" collapsed="false">
      <c r="A971" s="3" t="s">
        <v>1003</v>
      </c>
      <c r="B971" s="3" t="s">
        <v>57</v>
      </c>
      <c r="C971" s="3" t="s">
        <v>11</v>
      </c>
      <c r="D971" s="3" t="s">
        <v>12</v>
      </c>
      <c r="E971" s="3" t="s">
        <v>1861</v>
      </c>
      <c r="F971" s="3" t="s">
        <v>1403</v>
      </c>
      <c r="G971" s="3" t="n">
        <v>9000</v>
      </c>
      <c r="H971" s="3"/>
      <c r="I971" s="3" t="s">
        <v>1415</v>
      </c>
      <c r="J971" s="4" t="str">
        <f aca="false">IF(AND($A971&lt;&gt;"",$A971=Подбор!$C$4),MAX(J$1:J970)+1,"")</f>
        <v/>
      </c>
    </row>
    <row r="972" customFormat="false" ht="15" hidden="false" customHeight="false" outlineLevel="0" collapsed="false">
      <c r="A972" s="3" t="s">
        <v>1005</v>
      </c>
      <c r="B972" s="3" t="s">
        <v>57</v>
      </c>
      <c r="C972" s="3" t="s">
        <v>11</v>
      </c>
      <c r="D972" s="3" t="s">
        <v>12</v>
      </c>
      <c r="E972" s="3" t="s">
        <v>1861</v>
      </c>
      <c r="F972" s="3" t="s">
        <v>1403</v>
      </c>
      <c r="G972" s="3" t="n">
        <v>9000</v>
      </c>
      <c r="H972" s="3"/>
      <c r="I972" s="3" t="s">
        <v>1415</v>
      </c>
      <c r="J972" s="4" t="str">
        <f aca="false">IF(AND($A972&lt;&gt;"",$A972=Подбор!$C$4),MAX(J$1:J971)+1,"")</f>
        <v/>
      </c>
    </row>
    <row r="973" customFormat="false" ht="15" hidden="false" customHeight="false" outlineLevel="0" collapsed="false">
      <c r="A973" s="3" t="s">
        <v>1006</v>
      </c>
      <c r="B973" s="3" t="s">
        <v>57</v>
      </c>
      <c r="C973" s="3" t="s">
        <v>11</v>
      </c>
      <c r="D973" s="3" t="s">
        <v>12</v>
      </c>
      <c r="E973" s="3" t="s">
        <v>1855</v>
      </c>
      <c r="F973" s="3" t="s">
        <v>1403</v>
      </c>
      <c r="G973" s="3" t="n">
        <v>30000</v>
      </c>
      <c r="H973" s="3"/>
      <c r="I973" s="3" t="s">
        <v>1415</v>
      </c>
      <c r="J973" s="4" t="str">
        <f aca="false">IF(AND($A973&lt;&gt;"",$A973=Подбор!$C$4),MAX(J$1:J972)+1,"")</f>
        <v/>
      </c>
    </row>
    <row r="974" customFormat="false" ht="15" hidden="false" customHeight="false" outlineLevel="0" collapsed="false">
      <c r="A974" s="3" t="s">
        <v>1007</v>
      </c>
      <c r="B974" s="3" t="s">
        <v>57</v>
      </c>
      <c r="C974" s="3" t="s">
        <v>11</v>
      </c>
      <c r="D974" s="3" t="s">
        <v>12</v>
      </c>
      <c r="E974" s="3" t="s">
        <v>1500</v>
      </c>
      <c r="F974" s="3" t="s">
        <v>1403</v>
      </c>
      <c r="G974" s="3" t="n">
        <v>13000</v>
      </c>
      <c r="H974" s="3"/>
      <c r="I974" s="3" t="s">
        <v>1415</v>
      </c>
      <c r="J974" s="4" t="str">
        <f aca="false">IF(AND($A974&lt;&gt;"",$A974=Подбор!$C$4),MAX(J$1:J973)+1,"")</f>
        <v/>
      </c>
    </row>
    <row r="975" customFormat="false" ht="15" hidden="false" customHeight="false" outlineLevel="0" collapsed="false">
      <c r="A975" s="3" t="s">
        <v>1008</v>
      </c>
      <c r="B975" s="3" t="s">
        <v>57</v>
      </c>
      <c r="C975" s="3" t="s">
        <v>11</v>
      </c>
      <c r="D975" s="3" t="s">
        <v>12</v>
      </c>
      <c r="E975" s="3" t="s">
        <v>1862</v>
      </c>
      <c r="F975" s="3" t="s">
        <v>1403</v>
      </c>
      <c r="G975" s="3" t="n">
        <v>7500</v>
      </c>
      <c r="H975" s="3"/>
      <c r="I975" s="3" t="s">
        <v>1415</v>
      </c>
      <c r="J975" s="4" t="str">
        <f aca="false">IF(AND($A975&lt;&gt;"",$A975=Подбор!$C$4),MAX(J$1:J974)+1,"")</f>
        <v/>
      </c>
    </row>
    <row r="976" customFormat="false" ht="15" hidden="false" customHeight="false" outlineLevel="0" collapsed="false">
      <c r="A976" s="3" t="s">
        <v>1010</v>
      </c>
      <c r="B976" s="3" t="s">
        <v>57</v>
      </c>
      <c r="C976" s="3" t="s">
        <v>11</v>
      </c>
      <c r="D976" s="3" t="s">
        <v>12</v>
      </c>
      <c r="E976" s="3" t="s">
        <v>1863</v>
      </c>
      <c r="F976" s="3" t="s">
        <v>1403</v>
      </c>
      <c r="G976" s="3" t="n">
        <v>15000</v>
      </c>
      <c r="H976" s="3"/>
      <c r="I976" s="3" t="s">
        <v>1415</v>
      </c>
      <c r="J976" s="4" t="str">
        <f aca="false">IF(AND($A976&lt;&gt;"",$A976=Подбор!$C$4),MAX(J$1:J975)+1,"")</f>
        <v/>
      </c>
    </row>
    <row r="977" customFormat="false" ht="15" hidden="false" customHeight="false" outlineLevel="0" collapsed="false">
      <c r="A977" s="3" t="s">
        <v>1012</v>
      </c>
      <c r="B977" s="3" t="s">
        <v>932</v>
      </c>
      <c r="C977" s="3" t="s">
        <v>1013</v>
      </c>
      <c r="D977" s="3" t="s">
        <v>15</v>
      </c>
      <c r="E977" s="3" t="s">
        <v>1864</v>
      </c>
      <c r="F977" s="3" t="s">
        <v>1403</v>
      </c>
      <c r="G977" s="3"/>
      <c r="H977" s="3"/>
      <c r="I977" s="3"/>
      <c r="J977" s="4" t="str">
        <f aca="false">IF(AND($A977&lt;&gt;"",$A977=Подбор!$C$4),MAX(J$1:J976)+1,"")</f>
        <v/>
      </c>
    </row>
    <row r="978" customFormat="false" ht="15" hidden="false" customHeight="false" outlineLevel="0" collapsed="false">
      <c r="A978" s="3" t="s">
        <v>1015</v>
      </c>
      <c r="B978" s="3" t="s">
        <v>932</v>
      </c>
      <c r="C978" s="3" t="s">
        <v>1013</v>
      </c>
      <c r="D978" s="3" t="s">
        <v>15</v>
      </c>
      <c r="E978" s="3" t="s">
        <v>1865</v>
      </c>
      <c r="F978" s="3" t="s">
        <v>1403</v>
      </c>
      <c r="G978" s="3"/>
      <c r="H978" s="3"/>
      <c r="I978" s="3"/>
      <c r="J978" s="4" t="str">
        <f aca="false">IF(AND($A978&lt;&gt;"",$A978=Подбор!$C$4),MAX(J$1:J977)+1,"")</f>
        <v/>
      </c>
    </row>
    <row r="979" customFormat="false" ht="15" hidden="false" customHeight="false" outlineLevel="0" collapsed="false">
      <c r="A979" s="3" t="s">
        <v>1017</v>
      </c>
      <c r="B979" s="3" t="s">
        <v>457</v>
      </c>
      <c r="C979" s="3" t="s">
        <v>11</v>
      </c>
      <c r="D979" s="3" t="s">
        <v>12</v>
      </c>
      <c r="E979" s="3" t="s">
        <v>1866</v>
      </c>
      <c r="F979" s="3"/>
      <c r="G979" s="3"/>
      <c r="H979" s="3"/>
      <c r="I979" s="3"/>
      <c r="J979" s="4" t="str">
        <f aca="false">IF(AND($A979&lt;&gt;"",$A979=Подбор!$C$4),MAX(J$1:J978)+1,"")</f>
        <v/>
      </c>
    </row>
    <row r="980" customFormat="false" ht="15" hidden="false" customHeight="false" outlineLevel="0" collapsed="false">
      <c r="A980" s="3" t="s">
        <v>1017</v>
      </c>
      <c r="B980" s="3" t="s">
        <v>457</v>
      </c>
      <c r="C980" s="3" t="s">
        <v>14</v>
      </c>
      <c r="D980" s="3" t="s">
        <v>15</v>
      </c>
      <c r="E980" s="3"/>
      <c r="F980" s="3"/>
      <c r="G980" s="3"/>
      <c r="H980" s="3"/>
      <c r="I980" s="3" t="s">
        <v>1440</v>
      </c>
      <c r="J980" s="4" t="str">
        <f aca="false">IF(AND($A980&lt;&gt;"",$A980=Подбор!$C$4),MAX(J$1:J979)+1,"")</f>
        <v/>
      </c>
    </row>
    <row r="981" customFormat="false" ht="15" hidden="false" customHeight="false" outlineLevel="0" collapsed="false">
      <c r="A981" s="3" t="s">
        <v>1020</v>
      </c>
      <c r="B981" s="3" t="s">
        <v>84</v>
      </c>
      <c r="C981" s="3" t="s">
        <v>11</v>
      </c>
      <c r="D981" s="3" t="s">
        <v>12</v>
      </c>
      <c r="E981" s="3" t="s">
        <v>1590</v>
      </c>
      <c r="F981" s="3" t="s">
        <v>1403</v>
      </c>
      <c r="G981" s="3"/>
      <c r="H981" s="3"/>
      <c r="I981" s="3"/>
      <c r="J981" s="4" t="str">
        <f aca="false">IF(AND($A981&lt;&gt;"",$A981=Подбор!$C$4),MAX(J$1:J980)+1,"")</f>
        <v/>
      </c>
    </row>
    <row r="982" customFormat="false" ht="15" hidden="false" customHeight="false" outlineLevel="0" collapsed="false">
      <c r="A982" s="3" t="s">
        <v>1021</v>
      </c>
      <c r="B982" s="3" t="s">
        <v>84</v>
      </c>
      <c r="C982" s="3" t="s">
        <v>567</v>
      </c>
      <c r="D982" s="3" t="s">
        <v>12</v>
      </c>
      <c r="E982" s="3" t="s">
        <v>1867</v>
      </c>
      <c r="F982" s="3" t="s">
        <v>1403</v>
      </c>
      <c r="G982" s="3" t="n">
        <v>180</v>
      </c>
      <c r="H982" s="3"/>
      <c r="I982" s="3" t="s">
        <v>1415</v>
      </c>
      <c r="J982" s="4" t="str">
        <f aca="false">IF(AND($A982&lt;&gt;"",$A982=Подбор!$C$4),MAX(J$1:J981)+1,"")</f>
        <v/>
      </c>
    </row>
    <row r="983" customFormat="false" ht="15" hidden="false" customHeight="false" outlineLevel="0" collapsed="false">
      <c r="A983" s="3" t="s">
        <v>1023</v>
      </c>
      <c r="B983" s="3" t="s">
        <v>84</v>
      </c>
      <c r="C983" s="3" t="s">
        <v>567</v>
      </c>
      <c r="D983" s="3" t="s">
        <v>12</v>
      </c>
      <c r="E983" s="3" t="s">
        <v>1868</v>
      </c>
      <c r="F983" s="3" t="s">
        <v>1417</v>
      </c>
      <c r="G983" s="3" t="n">
        <v>6000</v>
      </c>
      <c r="H983" s="3"/>
      <c r="I983" s="3" t="s">
        <v>1415</v>
      </c>
      <c r="J983" s="4" t="str">
        <f aca="false">IF(AND($A983&lt;&gt;"",$A983=Подбор!$C$4),MAX(J$1:J982)+1,"")</f>
        <v/>
      </c>
    </row>
    <row r="984" customFormat="false" ht="15" hidden="false" customHeight="false" outlineLevel="0" collapsed="false">
      <c r="A984" s="3" t="s">
        <v>1025</v>
      </c>
      <c r="B984" s="3" t="s">
        <v>84</v>
      </c>
      <c r="C984" s="3" t="s">
        <v>567</v>
      </c>
      <c r="D984" s="3" t="s">
        <v>12</v>
      </c>
      <c r="E984" s="3" t="s">
        <v>1868</v>
      </c>
      <c r="F984" s="3" t="s">
        <v>1417</v>
      </c>
      <c r="G984" s="3" t="n">
        <v>6000</v>
      </c>
      <c r="H984" s="3"/>
      <c r="I984" s="3" t="s">
        <v>1415</v>
      </c>
      <c r="J984" s="4" t="str">
        <f aca="false">IF(AND($A984&lt;&gt;"",$A984=Подбор!$C$4),MAX(J$1:J983)+1,"")</f>
        <v/>
      </c>
    </row>
    <row r="985" customFormat="false" ht="15" hidden="false" customHeight="false" outlineLevel="0" collapsed="false">
      <c r="A985" s="3" t="s">
        <v>1026</v>
      </c>
      <c r="B985" s="3" t="s">
        <v>10</v>
      </c>
      <c r="C985" s="3" t="s">
        <v>11</v>
      </c>
      <c r="D985" s="3" t="s">
        <v>12</v>
      </c>
      <c r="E985" s="3" t="s">
        <v>1441</v>
      </c>
      <c r="F985" s="3" t="s">
        <v>1421</v>
      </c>
      <c r="G985" s="3" t="n">
        <v>35000</v>
      </c>
      <c r="H985" s="3"/>
      <c r="I985" s="3" t="s">
        <v>1415</v>
      </c>
      <c r="J985" s="4" t="str">
        <f aca="false">IF(AND($A985&lt;&gt;"",$A985=Подбор!$C$4),MAX(J$1:J984)+1,"")</f>
        <v/>
      </c>
    </row>
    <row r="986" customFormat="false" ht="15" hidden="false" customHeight="false" outlineLevel="0" collapsed="false">
      <c r="A986" s="3" t="s">
        <v>1027</v>
      </c>
      <c r="B986" s="3" t="s">
        <v>84</v>
      </c>
      <c r="C986" s="3" t="s">
        <v>11</v>
      </c>
      <c r="D986" s="3" t="s">
        <v>12</v>
      </c>
      <c r="E986" s="3" t="s">
        <v>1578</v>
      </c>
      <c r="F986" s="3" t="s">
        <v>1403</v>
      </c>
      <c r="G986" s="3" t="n">
        <v>2000</v>
      </c>
      <c r="H986" s="3"/>
      <c r="I986" s="3" t="s">
        <v>1415</v>
      </c>
      <c r="J986" s="4" t="str">
        <f aca="false">IF(AND($A986&lt;&gt;"",$A986=Подбор!$C$4),MAX(J$1:J985)+1,"")</f>
        <v/>
      </c>
    </row>
    <row r="987" customFormat="false" ht="15" hidden="false" customHeight="false" outlineLevel="0" collapsed="false">
      <c r="A987" s="3" t="s">
        <v>1028</v>
      </c>
      <c r="B987" s="3" t="s">
        <v>84</v>
      </c>
      <c r="C987" s="3" t="s">
        <v>11</v>
      </c>
      <c r="D987" s="3" t="s">
        <v>12</v>
      </c>
      <c r="E987" s="3" t="s">
        <v>1578</v>
      </c>
      <c r="F987" s="3" t="s">
        <v>1403</v>
      </c>
      <c r="G987" s="3" t="n">
        <v>2000</v>
      </c>
      <c r="H987" s="3"/>
      <c r="I987" s="3" t="s">
        <v>1415</v>
      </c>
      <c r="J987" s="4" t="str">
        <f aca="false">IF(AND($A987&lt;&gt;"",$A987=Подбор!$C$4),MAX(J$1:J986)+1,"")</f>
        <v/>
      </c>
    </row>
    <row r="988" customFormat="false" ht="15" hidden="false" customHeight="false" outlineLevel="0" collapsed="false">
      <c r="A988" s="3" t="s">
        <v>1029</v>
      </c>
      <c r="B988" s="3" t="s">
        <v>68</v>
      </c>
      <c r="C988" s="3" t="s">
        <v>11</v>
      </c>
      <c r="D988" s="3" t="s">
        <v>12</v>
      </c>
      <c r="E988" s="3" t="s">
        <v>1869</v>
      </c>
      <c r="F988" s="3" t="s">
        <v>1403</v>
      </c>
      <c r="G988" s="3" t="n">
        <v>15000</v>
      </c>
      <c r="H988" s="3"/>
      <c r="I988" s="3" t="s">
        <v>1415</v>
      </c>
      <c r="J988" s="4" t="str">
        <f aca="false">IF(AND($A988&lt;&gt;"",$A988=Подбор!$C$4),MAX(J$1:J987)+1,"")</f>
        <v/>
      </c>
    </row>
    <row r="989" customFormat="false" ht="15" hidden="false" customHeight="false" outlineLevel="0" collapsed="false">
      <c r="A989" s="3" t="s">
        <v>1029</v>
      </c>
      <c r="B989" s="3" t="s">
        <v>68</v>
      </c>
      <c r="C989" s="3" t="s">
        <v>11</v>
      </c>
      <c r="D989" s="3" t="s">
        <v>12</v>
      </c>
      <c r="E989" s="3" t="s">
        <v>1870</v>
      </c>
      <c r="F989" s="3" t="s">
        <v>1421</v>
      </c>
      <c r="G989" s="3" t="n">
        <v>15000</v>
      </c>
      <c r="H989" s="3"/>
      <c r="I989" s="3" t="s">
        <v>1415</v>
      </c>
      <c r="J989" s="4" t="str">
        <f aca="false">IF(AND($A989&lt;&gt;"",$A989=Подбор!$C$4),MAX(J$1:J988)+1,"")</f>
        <v/>
      </c>
    </row>
    <row r="990" customFormat="false" ht="15" hidden="false" customHeight="false" outlineLevel="0" collapsed="false">
      <c r="A990" s="3" t="s">
        <v>1029</v>
      </c>
      <c r="B990" s="3" t="s">
        <v>68</v>
      </c>
      <c r="C990" s="3" t="s">
        <v>11</v>
      </c>
      <c r="D990" s="3" t="s">
        <v>12</v>
      </c>
      <c r="E990" s="3" t="s">
        <v>1871</v>
      </c>
      <c r="F990" s="3" t="s">
        <v>1423</v>
      </c>
      <c r="G990" s="3" t="n">
        <v>15000</v>
      </c>
      <c r="H990" s="3"/>
      <c r="I990" s="3" t="s">
        <v>1415</v>
      </c>
      <c r="J990" s="4" t="str">
        <f aca="false">IF(AND($A990&lt;&gt;"",$A990=Подбор!$C$4),MAX(J$1:J989)+1,"")</f>
        <v/>
      </c>
    </row>
    <row r="991" customFormat="false" ht="15" hidden="false" customHeight="false" outlineLevel="0" collapsed="false">
      <c r="A991" s="3" t="s">
        <v>1031</v>
      </c>
      <c r="B991" s="3" t="s">
        <v>68</v>
      </c>
      <c r="C991" s="3" t="s">
        <v>11</v>
      </c>
      <c r="D991" s="3" t="s">
        <v>12</v>
      </c>
      <c r="E991" s="3" t="s">
        <v>1560</v>
      </c>
      <c r="F991" s="3" t="s">
        <v>1403</v>
      </c>
      <c r="G991" s="3" t="n">
        <v>3000</v>
      </c>
      <c r="H991" s="3"/>
      <c r="I991" s="3" t="s">
        <v>1415</v>
      </c>
      <c r="J991" s="4" t="str">
        <f aca="false">IF(AND($A991&lt;&gt;"",$A991=Подбор!$C$4),MAX(J$1:J990)+1,"")</f>
        <v/>
      </c>
    </row>
    <row r="992" customFormat="false" ht="15" hidden="false" customHeight="false" outlineLevel="0" collapsed="false">
      <c r="A992" s="3" t="s">
        <v>1032</v>
      </c>
      <c r="B992" s="3" t="s">
        <v>68</v>
      </c>
      <c r="C992" s="3" t="s">
        <v>11</v>
      </c>
      <c r="D992" s="3" t="s">
        <v>12</v>
      </c>
      <c r="E992" s="3" t="s">
        <v>1872</v>
      </c>
      <c r="F992" s="3" t="s">
        <v>1403</v>
      </c>
      <c r="G992" s="3" t="n">
        <v>7200</v>
      </c>
      <c r="H992" s="3"/>
      <c r="I992" s="3" t="s">
        <v>1415</v>
      </c>
      <c r="J992" s="4" t="str">
        <f aca="false">IF(AND($A992&lt;&gt;"",$A992=Подбор!$C$4),MAX(J$1:J991)+1,"")</f>
        <v/>
      </c>
    </row>
    <row r="993" customFormat="false" ht="15" hidden="false" customHeight="false" outlineLevel="0" collapsed="false">
      <c r="A993" s="3" t="s">
        <v>1032</v>
      </c>
      <c r="B993" s="3" t="s">
        <v>68</v>
      </c>
      <c r="C993" s="3" t="s">
        <v>11</v>
      </c>
      <c r="D993" s="3" t="s">
        <v>12</v>
      </c>
      <c r="E993" s="3" t="s">
        <v>1873</v>
      </c>
      <c r="F993" s="3" t="s">
        <v>1421</v>
      </c>
      <c r="G993" s="3" t="n">
        <v>7200</v>
      </c>
      <c r="H993" s="3"/>
      <c r="I993" s="3" t="s">
        <v>1415</v>
      </c>
      <c r="J993" s="4" t="str">
        <f aca="false">IF(AND($A993&lt;&gt;"",$A993=Подбор!$C$4),MAX(J$1:J992)+1,"")</f>
        <v/>
      </c>
    </row>
    <row r="994" customFormat="false" ht="15" hidden="false" customHeight="false" outlineLevel="0" collapsed="false">
      <c r="A994" s="3" t="s">
        <v>1032</v>
      </c>
      <c r="B994" s="3" t="s">
        <v>68</v>
      </c>
      <c r="C994" s="3" t="s">
        <v>11</v>
      </c>
      <c r="D994" s="3" t="s">
        <v>12</v>
      </c>
      <c r="E994" s="3" t="s">
        <v>1874</v>
      </c>
      <c r="F994" s="3" t="s">
        <v>508</v>
      </c>
      <c r="G994" s="3" t="n">
        <v>7200</v>
      </c>
      <c r="H994" s="3"/>
      <c r="I994" s="3" t="s">
        <v>1415</v>
      </c>
      <c r="J994" s="4" t="str">
        <f aca="false">IF(AND($A994&lt;&gt;"",$A994=Подбор!$C$4),MAX(J$1:J993)+1,"")</f>
        <v/>
      </c>
    </row>
    <row r="995" customFormat="false" ht="15" hidden="false" customHeight="false" outlineLevel="0" collapsed="false">
      <c r="A995" s="3" t="s">
        <v>1034</v>
      </c>
      <c r="B995" s="3" t="s">
        <v>472</v>
      </c>
      <c r="C995" s="3" t="s">
        <v>11</v>
      </c>
      <c r="D995" s="3" t="s">
        <v>12</v>
      </c>
      <c r="E995" s="3" t="s">
        <v>1729</v>
      </c>
      <c r="F995" s="3" t="s">
        <v>1403</v>
      </c>
      <c r="G995" s="3"/>
      <c r="H995" s="3"/>
      <c r="I995" s="3"/>
      <c r="J995" s="4" t="str">
        <f aca="false">IF(AND($A995&lt;&gt;"",$A995=Подбор!$C$4),MAX(J$1:J994)+1,"")</f>
        <v/>
      </c>
    </row>
    <row r="996" customFormat="false" ht="15" hidden="false" customHeight="false" outlineLevel="0" collapsed="false">
      <c r="A996" s="3" t="s">
        <v>1035</v>
      </c>
      <c r="B996" s="3" t="s">
        <v>68</v>
      </c>
      <c r="C996" s="3" t="s">
        <v>11</v>
      </c>
      <c r="D996" s="3" t="s">
        <v>12</v>
      </c>
      <c r="E996" s="3" t="s">
        <v>1560</v>
      </c>
      <c r="F996" s="3" t="s">
        <v>1403</v>
      </c>
      <c r="G996" s="3" t="n">
        <v>3000</v>
      </c>
      <c r="H996" s="3"/>
      <c r="I996" s="3" t="s">
        <v>1415</v>
      </c>
      <c r="J996" s="4" t="str">
        <f aca="false">IF(AND($A996&lt;&gt;"",$A996=Подбор!$C$4),MAX(J$1:J995)+1,"")</f>
        <v/>
      </c>
    </row>
    <row r="997" customFormat="false" ht="15" hidden="false" customHeight="false" outlineLevel="0" collapsed="false">
      <c r="A997" s="3" t="s">
        <v>1036</v>
      </c>
      <c r="B997" s="3" t="s">
        <v>68</v>
      </c>
      <c r="C997" s="3" t="s">
        <v>11</v>
      </c>
      <c r="D997" s="3" t="s">
        <v>12</v>
      </c>
      <c r="E997" s="3" t="s">
        <v>1875</v>
      </c>
      <c r="F997" s="3" t="s">
        <v>1421</v>
      </c>
      <c r="G997" s="3" t="n">
        <v>35000</v>
      </c>
      <c r="H997" s="3"/>
      <c r="I997" s="3" t="s">
        <v>1415</v>
      </c>
      <c r="J997" s="4" t="str">
        <f aca="false">IF(AND($A997&lt;&gt;"",$A997=Подбор!$C$4),MAX(J$1:J996)+1,"")</f>
        <v/>
      </c>
    </row>
    <row r="998" customFormat="false" ht="15" hidden="false" customHeight="false" outlineLevel="0" collapsed="false">
      <c r="A998" s="3" t="s">
        <v>1038</v>
      </c>
      <c r="B998" s="3" t="s">
        <v>10</v>
      </c>
      <c r="C998" s="3" t="s">
        <v>11</v>
      </c>
      <c r="D998" s="3" t="s">
        <v>12</v>
      </c>
      <c r="E998" s="3" t="s">
        <v>1876</v>
      </c>
      <c r="F998" s="3" t="s">
        <v>1403</v>
      </c>
      <c r="G998" s="3"/>
      <c r="H998" s="3"/>
      <c r="I998" s="3"/>
      <c r="J998" s="4" t="str">
        <f aca="false">IF(AND($A998&lt;&gt;"",$A998=Подбор!$C$4),MAX(J$1:J997)+1,"")</f>
        <v/>
      </c>
    </row>
    <row r="999" customFormat="false" ht="15" hidden="false" customHeight="false" outlineLevel="0" collapsed="false">
      <c r="A999" s="3" t="s">
        <v>1038</v>
      </c>
      <c r="B999" s="3" t="s">
        <v>10</v>
      </c>
      <c r="C999" s="3" t="s">
        <v>11</v>
      </c>
      <c r="D999" s="3" t="s">
        <v>21</v>
      </c>
      <c r="E999" s="3" t="s">
        <v>1877</v>
      </c>
      <c r="F999" s="3" t="s">
        <v>1403</v>
      </c>
      <c r="G999" s="3"/>
      <c r="H999" s="3"/>
      <c r="I999" s="3"/>
      <c r="J999" s="4" t="str">
        <f aca="false">IF(AND($A999&lt;&gt;"",$A999=Подбор!$C$4),MAX(J$1:J998)+1,"")</f>
        <v/>
      </c>
    </row>
    <row r="1000" customFormat="false" ht="15" hidden="false" customHeight="false" outlineLevel="0" collapsed="false">
      <c r="A1000" s="3" t="s">
        <v>1038</v>
      </c>
      <c r="B1000" s="3" t="s">
        <v>10</v>
      </c>
      <c r="C1000" s="3" t="s">
        <v>11</v>
      </c>
      <c r="D1000" s="3" t="s">
        <v>23</v>
      </c>
      <c r="E1000" s="3" t="s">
        <v>1878</v>
      </c>
      <c r="F1000" s="3" t="s">
        <v>1403</v>
      </c>
      <c r="G1000" s="3"/>
      <c r="H1000" s="3"/>
      <c r="I1000" s="3"/>
      <c r="J1000" s="4" t="str">
        <f aca="false">IF(AND($A1000&lt;&gt;"",$A1000=Подбор!$C$4),MAX(J$1:J999)+1,"")</f>
        <v/>
      </c>
    </row>
    <row r="1001" customFormat="false" ht="15" hidden="false" customHeight="false" outlineLevel="0" collapsed="false">
      <c r="A1001" s="3" t="s">
        <v>1038</v>
      </c>
      <c r="B1001" s="3" t="s">
        <v>10</v>
      </c>
      <c r="C1001" s="3" t="s">
        <v>11</v>
      </c>
      <c r="D1001" s="3" t="s">
        <v>25</v>
      </c>
      <c r="E1001" s="3" t="s">
        <v>1879</v>
      </c>
      <c r="F1001" s="3" t="s">
        <v>1403</v>
      </c>
      <c r="G1001" s="3"/>
      <c r="H1001" s="3"/>
      <c r="I1001" s="3"/>
      <c r="J1001" s="4" t="str">
        <f aca="false">IF(AND($A1001&lt;&gt;"",$A1001=Подбор!$C$4),MAX(J$1:J1000)+1,"")</f>
        <v/>
      </c>
    </row>
    <row r="1002" customFormat="false" ht="15" hidden="false" customHeight="false" outlineLevel="0" collapsed="false">
      <c r="A1002" s="3" t="s">
        <v>1043</v>
      </c>
      <c r="B1002" s="3" t="s">
        <v>68</v>
      </c>
      <c r="C1002" s="3" t="s">
        <v>11</v>
      </c>
      <c r="D1002" s="3" t="s">
        <v>12</v>
      </c>
      <c r="E1002" s="3" t="s">
        <v>15</v>
      </c>
      <c r="F1002" s="3"/>
      <c r="G1002" s="3"/>
      <c r="H1002" s="3"/>
      <c r="I1002" s="3"/>
      <c r="J1002" s="4" t="str">
        <f aca="false">IF(AND($A1002&lt;&gt;"",$A1002=Подбор!$C$4),MAX(J$1:J1001)+1,"")</f>
        <v/>
      </c>
    </row>
    <row r="1003" customFormat="false" ht="15" hidden="false" customHeight="false" outlineLevel="0" collapsed="false">
      <c r="A1003" s="3" t="s">
        <v>1045</v>
      </c>
      <c r="B1003" s="3" t="s">
        <v>68</v>
      </c>
      <c r="C1003" s="3" t="s">
        <v>11</v>
      </c>
      <c r="D1003" s="3" t="s">
        <v>12</v>
      </c>
      <c r="E1003" s="3" t="s">
        <v>1524</v>
      </c>
      <c r="F1003" s="3" t="s">
        <v>1421</v>
      </c>
      <c r="G1003" s="3" t="n">
        <v>25000</v>
      </c>
      <c r="H1003" s="3"/>
      <c r="I1003" s="3" t="s">
        <v>1415</v>
      </c>
      <c r="J1003" s="4" t="str">
        <f aca="false">IF(AND($A1003&lt;&gt;"",$A1003=Подбор!$C$4),MAX(J$1:J1002)+1,"")</f>
        <v/>
      </c>
    </row>
    <row r="1004" customFormat="false" ht="15" hidden="false" customHeight="false" outlineLevel="0" collapsed="false">
      <c r="A1004" s="3" t="s">
        <v>1045</v>
      </c>
      <c r="B1004" s="3" t="s">
        <v>68</v>
      </c>
      <c r="C1004" s="3" t="s">
        <v>14</v>
      </c>
      <c r="D1004" s="3" t="s">
        <v>15</v>
      </c>
      <c r="E1004" s="3"/>
      <c r="F1004" s="3"/>
      <c r="G1004" s="3"/>
      <c r="H1004" s="3"/>
      <c r="I1004" s="3" t="s">
        <v>1440</v>
      </c>
      <c r="J1004" s="4" t="str">
        <f aca="false">IF(AND($A1004&lt;&gt;"",$A1004=Подбор!$C$4),MAX(J$1:J1003)+1,"")</f>
        <v/>
      </c>
    </row>
    <row r="1005" customFormat="false" ht="15" hidden="false" customHeight="false" outlineLevel="0" collapsed="false">
      <c r="A1005" s="3" t="s">
        <v>1045</v>
      </c>
      <c r="B1005" s="3" t="s">
        <v>68</v>
      </c>
      <c r="C1005" s="3" t="s">
        <v>28</v>
      </c>
      <c r="D1005" s="3" t="s">
        <v>15</v>
      </c>
      <c r="E1005" s="3"/>
      <c r="F1005" s="3"/>
      <c r="G1005" s="3"/>
      <c r="H1005" s="3"/>
      <c r="I1005" s="3" t="s">
        <v>1440</v>
      </c>
      <c r="J1005" s="4" t="str">
        <f aca="false">IF(AND($A1005&lt;&gt;"",$A1005=Подбор!$C$4),MAX(J$1:J1004)+1,"")</f>
        <v/>
      </c>
    </row>
    <row r="1006" customFormat="false" ht="15" hidden="false" customHeight="false" outlineLevel="0" collapsed="false">
      <c r="A1006" s="3" t="s">
        <v>1046</v>
      </c>
      <c r="B1006" s="3" t="s">
        <v>68</v>
      </c>
      <c r="C1006" s="3" t="s">
        <v>11</v>
      </c>
      <c r="D1006" s="3" t="s">
        <v>12</v>
      </c>
      <c r="E1006" s="3" t="s">
        <v>1880</v>
      </c>
      <c r="F1006" s="3" t="s">
        <v>1403</v>
      </c>
      <c r="G1006" s="3" t="n">
        <v>4000</v>
      </c>
      <c r="H1006" s="3"/>
      <c r="I1006" s="3" t="s">
        <v>1415</v>
      </c>
      <c r="J1006" s="4" t="str">
        <f aca="false">IF(AND($A1006&lt;&gt;"",$A1006=Подбор!$C$4),MAX(J$1:J1005)+1,"")</f>
        <v/>
      </c>
    </row>
    <row r="1007" customFormat="false" ht="15" hidden="false" customHeight="false" outlineLevel="0" collapsed="false">
      <c r="A1007" s="3" t="s">
        <v>1048</v>
      </c>
      <c r="B1007" s="3" t="s">
        <v>68</v>
      </c>
      <c r="C1007" s="3" t="s">
        <v>11</v>
      </c>
      <c r="D1007" s="3" t="s">
        <v>12</v>
      </c>
      <c r="E1007" s="3" t="s">
        <v>1881</v>
      </c>
      <c r="F1007" s="3" t="s">
        <v>1403</v>
      </c>
      <c r="G1007" s="3" t="n">
        <v>25000</v>
      </c>
      <c r="H1007" s="3"/>
      <c r="I1007" s="3" t="s">
        <v>1415</v>
      </c>
      <c r="J1007" s="4" t="str">
        <f aca="false">IF(AND($A1007&lt;&gt;"",$A1007=Подбор!$C$4),MAX(J$1:J1006)+1,"")</f>
        <v/>
      </c>
    </row>
    <row r="1008" customFormat="false" ht="15" hidden="false" customHeight="false" outlineLevel="0" collapsed="false">
      <c r="A1008" s="3" t="s">
        <v>1048</v>
      </c>
      <c r="B1008" s="3" t="s">
        <v>68</v>
      </c>
      <c r="C1008" s="3" t="s">
        <v>11</v>
      </c>
      <c r="D1008" s="3" t="s">
        <v>21</v>
      </c>
      <c r="E1008" s="3" t="s">
        <v>1882</v>
      </c>
      <c r="F1008" s="3" t="s">
        <v>1403</v>
      </c>
      <c r="G1008" s="3" t="n">
        <v>15000</v>
      </c>
      <c r="H1008" s="3"/>
      <c r="I1008" s="3" t="s">
        <v>1415</v>
      </c>
      <c r="J1008" s="4" t="str">
        <f aca="false">IF(AND($A1008&lt;&gt;"",$A1008=Подбор!$C$4),MAX(J$1:J1007)+1,"")</f>
        <v/>
      </c>
    </row>
    <row r="1009" customFormat="false" ht="15" hidden="false" customHeight="false" outlineLevel="0" collapsed="false">
      <c r="A1009" s="3" t="s">
        <v>1048</v>
      </c>
      <c r="B1009" s="3" t="s">
        <v>68</v>
      </c>
      <c r="C1009" s="3" t="s">
        <v>11</v>
      </c>
      <c r="D1009" s="3" t="s">
        <v>23</v>
      </c>
      <c r="E1009" s="3" t="s">
        <v>1883</v>
      </c>
      <c r="F1009" s="3" t="s">
        <v>1403</v>
      </c>
      <c r="G1009" s="3" t="n">
        <v>15000</v>
      </c>
      <c r="H1009" s="3"/>
      <c r="I1009" s="3" t="s">
        <v>1415</v>
      </c>
      <c r="J1009" s="4" t="str">
        <f aca="false">IF(AND($A1009&lt;&gt;"",$A1009=Подбор!$C$4),MAX(J$1:J1008)+1,"")</f>
        <v/>
      </c>
    </row>
    <row r="1010" customFormat="false" ht="15" hidden="false" customHeight="false" outlineLevel="0" collapsed="false">
      <c r="A1010" s="3" t="s">
        <v>1048</v>
      </c>
      <c r="B1010" s="3" t="s">
        <v>68</v>
      </c>
      <c r="C1010" s="3" t="s">
        <v>11</v>
      </c>
      <c r="D1010" s="3" t="s">
        <v>25</v>
      </c>
      <c r="E1010" s="3" t="s">
        <v>1884</v>
      </c>
      <c r="F1010" s="3" t="s">
        <v>1403</v>
      </c>
      <c r="G1010" s="3" t="n">
        <v>15000</v>
      </c>
      <c r="H1010" s="3"/>
      <c r="I1010" s="3" t="s">
        <v>1415</v>
      </c>
      <c r="J1010" s="4" t="str">
        <f aca="false">IF(AND($A1010&lt;&gt;"",$A1010=Подбор!$C$4),MAX(J$1:J1009)+1,"")</f>
        <v/>
      </c>
    </row>
    <row r="1011" customFormat="false" ht="15" hidden="false" customHeight="false" outlineLevel="0" collapsed="false">
      <c r="A1011" s="3" t="s">
        <v>1053</v>
      </c>
      <c r="B1011" s="3" t="s">
        <v>68</v>
      </c>
      <c r="C1011" s="3" t="s">
        <v>11</v>
      </c>
      <c r="D1011" s="3" t="s">
        <v>12</v>
      </c>
      <c r="E1011" s="3" t="s">
        <v>1885</v>
      </c>
      <c r="F1011" s="3" t="s">
        <v>1403</v>
      </c>
      <c r="G1011" s="3" t="n">
        <v>12000</v>
      </c>
      <c r="H1011" s="3"/>
      <c r="I1011" s="3" t="s">
        <v>1415</v>
      </c>
      <c r="J1011" s="4" t="str">
        <f aca="false">IF(AND($A1011&lt;&gt;"",$A1011=Подбор!$C$4),MAX(J$1:J1010)+1,"")</f>
        <v/>
      </c>
    </row>
    <row r="1012" customFormat="false" ht="15" hidden="false" customHeight="false" outlineLevel="0" collapsed="false">
      <c r="A1012" s="3" t="s">
        <v>1053</v>
      </c>
      <c r="B1012" s="3" t="s">
        <v>68</v>
      </c>
      <c r="C1012" s="3" t="s">
        <v>11</v>
      </c>
      <c r="D1012" s="3" t="s">
        <v>12</v>
      </c>
      <c r="E1012" s="3" t="s">
        <v>1886</v>
      </c>
      <c r="F1012" s="3" t="s">
        <v>1421</v>
      </c>
      <c r="G1012" s="3" t="n">
        <v>12000</v>
      </c>
      <c r="H1012" s="3"/>
      <c r="I1012" s="3" t="s">
        <v>1415</v>
      </c>
      <c r="J1012" s="4" t="str">
        <f aca="false">IF(AND($A1012&lt;&gt;"",$A1012=Подбор!$C$4),MAX(J$1:J1011)+1,"")</f>
        <v/>
      </c>
    </row>
    <row r="1013" customFormat="false" ht="15" hidden="false" customHeight="false" outlineLevel="0" collapsed="false">
      <c r="A1013" s="3" t="s">
        <v>1055</v>
      </c>
      <c r="B1013" s="3" t="s">
        <v>68</v>
      </c>
      <c r="C1013" s="3" t="s">
        <v>11</v>
      </c>
      <c r="D1013" s="3" t="s">
        <v>12</v>
      </c>
      <c r="E1013" s="3" t="s">
        <v>1887</v>
      </c>
      <c r="F1013" s="3" t="s">
        <v>1403</v>
      </c>
      <c r="G1013" s="3" t="n">
        <v>15000</v>
      </c>
      <c r="H1013" s="3"/>
      <c r="I1013" s="3" t="s">
        <v>1415</v>
      </c>
      <c r="J1013" s="4" t="str">
        <f aca="false">IF(AND($A1013&lt;&gt;"",$A1013=Подбор!$C$4),MAX(J$1:J1012)+1,"")</f>
        <v/>
      </c>
    </row>
    <row r="1014" customFormat="false" ht="15" hidden="false" customHeight="false" outlineLevel="0" collapsed="false">
      <c r="A1014" s="3" t="s">
        <v>1057</v>
      </c>
      <c r="B1014" s="3" t="s">
        <v>68</v>
      </c>
      <c r="C1014" s="3" t="s">
        <v>11</v>
      </c>
      <c r="D1014" s="3" t="s">
        <v>12</v>
      </c>
      <c r="E1014" s="3" t="s">
        <v>1888</v>
      </c>
      <c r="F1014" s="3" t="s">
        <v>1403</v>
      </c>
      <c r="G1014" s="3" t="n">
        <v>20000</v>
      </c>
      <c r="H1014" s="3"/>
      <c r="I1014" s="3" t="s">
        <v>1415</v>
      </c>
      <c r="J1014" s="4" t="str">
        <f aca="false">IF(AND($A1014&lt;&gt;"",$A1014=Подбор!$C$4),MAX(J$1:J1013)+1,"")</f>
        <v/>
      </c>
    </row>
    <row r="1015" customFormat="false" ht="15" hidden="false" customHeight="false" outlineLevel="0" collapsed="false">
      <c r="A1015" s="3" t="s">
        <v>1059</v>
      </c>
      <c r="B1015" s="3" t="s">
        <v>68</v>
      </c>
      <c r="C1015" s="3" t="s">
        <v>11</v>
      </c>
      <c r="D1015" s="3" t="s">
        <v>12</v>
      </c>
      <c r="E1015" s="3" t="s">
        <v>1885</v>
      </c>
      <c r="F1015" s="3" t="s">
        <v>1403</v>
      </c>
      <c r="G1015" s="3" t="n">
        <v>12000</v>
      </c>
      <c r="H1015" s="3"/>
      <c r="I1015" s="3" t="s">
        <v>1415</v>
      </c>
      <c r="J1015" s="4" t="str">
        <f aca="false">IF(AND($A1015&lt;&gt;"",$A1015=Подбор!$C$4),MAX(J$1:J1014)+1,"")</f>
        <v/>
      </c>
    </row>
    <row r="1016" customFormat="false" ht="15" hidden="false" customHeight="false" outlineLevel="0" collapsed="false">
      <c r="A1016" s="3" t="s">
        <v>1060</v>
      </c>
      <c r="B1016" s="3" t="s">
        <v>68</v>
      </c>
      <c r="C1016" s="3" t="s">
        <v>11</v>
      </c>
      <c r="D1016" s="3" t="s">
        <v>12</v>
      </c>
      <c r="E1016" s="3" t="s">
        <v>1889</v>
      </c>
      <c r="F1016" s="3" t="s">
        <v>1403</v>
      </c>
      <c r="G1016" s="3" t="n">
        <v>15000</v>
      </c>
      <c r="H1016" s="3"/>
      <c r="I1016" s="3" t="s">
        <v>1415</v>
      </c>
      <c r="J1016" s="4" t="str">
        <f aca="false">IF(AND($A1016&lt;&gt;"",$A1016=Подбор!$C$4),MAX(J$1:J1015)+1,"")</f>
        <v/>
      </c>
    </row>
    <row r="1017" customFormat="false" ht="15" hidden="false" customHeight="false" outlineLevel="0" collapsed="false">
      <c r="A1017" s="3" t="s">
        <v>1062</v>
      </c>
      <c r="B1017" s="3" t="s">
        <v>68</v>
      </c>
      <c r="C1017" s="3" t="s">
        <v>11</v>
      </c>
      <c r="D1017" s="3" t="s">
        <v>12</v>
      </c>
      <c r="E1017" s="3" t="s">
        <v>1890</v>
      </c>
      <c r="F1017" s="3" t="s">
        <v>1403</v>
      </c>
      <c r="G1017" s="3" t="n">
        <v>3000</v>
      </c>
      <c r="H1017" s="3"/>
      <c r="I1017" s="3" t="s">
        <v>1415</v>
      </c>
      <c r="J1017" s="4" t="str">
        <f aca="false">IF(AND($A1017&lt;&gt;"",$A1017=Подбор!$C$4),MAX(J$1:J1016)+1,"")</f>
        <v/>
      </c>
    </row>
    <row r="1018" customFormat="false" ht="15" hidden="false" customHeight="false" outlineLevel="0" collapsed="false">
      <c r="A1018" s="3" t="s">
        <v>1062</v>
      </c>
      <c r="B1018" s="3" t="s">
        <v>68</v>
      </c>
      <c r="C1018" s="3" t="s">
        <v>11</v>
      </c>
      <c r="D1018" s="3" t="s">
        <v>12</v>
      </c>
      <c r="E1018" s="3" t="s">
        <v>1891</v>
      </c>
      <c r="F1018" s="3" t="s">
        <v>1421</v>
      </c>
      <c r="G1018" s="3" t="n">
        <v>3000</v>
      </c>
      <c r="H1018" s="3"/>
      <c r="I1018" s="3" t="s">
        <v>1415</v>
      </c>
      <c r="J1018" s="4" t="str">
        <f aca="false">IF(AND($A1018&lt;&gt;"",$A1018=Подбор!$C$4),MAX(J$1:J1017)+1,"")</f>
        <v/>
      </c>
    </row>
    <row r="1019" customFormat="false" ht="15" hidden="false" customHeight="false" outlineLevel="0" collapsed="false">
      <c r="A1019" s="3" t="s">
        <v>1064</v>
      </c>
      <c r="B1019" s="3" t="s">
        <v>68</v>
      </c>
      <c r="C1019" s="3" t="s">
        <v>11</v>
      </c>
      <c r="D1019" s="3" t="s">
        <v>12</v>
      </c>
      <c r="E1019" s="3" t="s">
        <v>1892</v>
      </c>
      <c r="F1019" s="3" t="s">
        <v>1403</v>
      </c>
      <c r="G1019" s="3" t="n">
        <v>7200</v>
      </c>
      <c r="H1019" s="3"/>
      <c r="I1019" s="3" t="s">
        <v>1415</v>
      </c>
      <c r="J1019" s="4" t="str">
        <f aca="false">IF(AND($A1019&lt;&gt;"",$A1019=Подбор!$C$4),MAX(J$1:J1018)+1,"")</f>
        <v/>
      </c>
    </row>
    <row r="1020" customFormat="false" ht="15" hidden="false" customHeight="false" outlineLevel="0" collapsed="false">
      <c r="A1020" s="3" t="s">
        <v>1064</v>
      </c>
      <c r="B1020" s="3" t="s">
        <v>68</v>
      </c>
      <c r="C1020" s="3" t="s">
        <v>11</v>
      </c>
      <c r="D1020" s="3" t="s">
        <v>12</v>
      </c>
      <c r="E1020" s="3" t="s">
        <v>1893</v>
      </c>
      <c r="F1020" s="3" t="s">
        <v>1421</v>
      </c>
      <c r="G1020" s="3" t="n">
        <v>7200</v>
      </c>
      <c r="H1020" s="3"/>
      <c r="I1020" s="3" t="s">
        <v>1415</v>
      </c>
      <c r="J1020" s="4" t="str">
        <f aca="false">IF(AND($A1020&lt;&gt;"",$A1020=Подбор!$C$4),MAX(J$1:J1019)+1,"")</f>
        <v/>
      </c>
    </row>
    <row r="1021" customFormat="false" ht="15" hidden="false" customHeight="false" outlineLevel="0" collapsed="false">
      <c r="A1021" s="3" t="s">
        <v>1066</v>
      </c>
      <c r="B1021" s="3" t="s">
        <v>68</v>
      </c>
      <c r="C1021" s="3" t="s">
        <v>11</v>
      </c>
      <c r="D1021" s="3" t="s">
        <v>12</v>
      </c>
      <c r="E1021" s="3" t="s">
        <v>1890</v>
      </c>
      <c r="F1021" s="3" t="s">
        <v>1403</v>
      </c>
      <c r="G1021" s="3" t="n">
        <v>3000</v>
      </c>
      <c r="H1021" s="3"/>
      <c r="I1021" s="3" t="s">
        <v>1415</v>
      </c>
      <c r="J1021" s="4" t="str">
        <f aca="false">IF(AND($A1021&lt;&gt;"",$A1021=Подбор!$C$4),MAX(J$1:J1020)+1,"")</f>
        <v/>
      </c>
    </row>
    <row r="1022" customFormat="false" ht="15" hidden="false" customHeight="false" outlineLevel="0" collapsed="false">
      <c r="A1022" s="3" t="s">
        <v>1067</v>
      </c>
      <c r="B1022" s="3" t="s">
        <v>68</v>
      </c>
      <c r="C1022" s="3" t="s">
        <v>11</v>
      </c>
      <c r="D1022" s="3" t="s">
        <v>12</v>
      </c>
      <c r="E1022" s="3" t="s">
        <v>1892</v>
      </c>
      <c r="F1022" s="3" t="s">
        <v>1403</v>
      </c>
      <c r="G1022" s="3" t="n">
        <v>7200</v>
      </c>
      <c r="H1022" s="3"/>
      <c r="I1022" s="3" t="s">
        <v>1415</v>
      </c>
      <c r="J1022" s="4" t="str">
        <f aca="false">IF(AND($A1022&lt;&gt;"",$A1022=Подбор!$C$4),MAX(J$1:J1021)+1,"")</f>
        <v/>
      </c>
    </row>
    <row r="1023" customFormat="false" ht="15" hidden="false" customHeight="false" outlineLevel="0" collapsed="false">
      <c r="A1023" s="3" t="s">
        <v>1068</v>
      </c>
      <c r="B1023" s="3" t="s">
        <v>68</v>
      </c>
      <c r="C1023" s="3" t="s">
        <v>11</v>
      </c>
      <c r="D1023" s="3" t="s">
        <v>12</v>
      </c>
      <c r="E1023" s="3" t="s">
        <v>1892</v>
      </c>
      <c r="F1023" s="3" t="s">
        <v>1403</v>
      </c>
      <c r="G1023" s="3" t="n">
        <v>7200</v>
      </c>
      <c r="H1023" s="3"/>
      <c r="I1023" s="3" t="s">
        <v>1415</v>
      </c>
      <c r="J1023" s="4" t="str">
        <f aca="false">IF(AND($A1023&lt;&gt;"",$A1023=Подбор!$C$4),MAX(J$1:J1022)+1,"")</f>
        <v/>
      </c>
    </row>
    <row r="1024" customFormat="false" ht="15" hidden="false" customHeight="false" outlineLevel="0" collapsed="false">
      <c r="A1024" s="3" t="s">
        <v>1069</v>
      </c>
      <c r="B1024" s="3" t="s">
        <v>68</v>
      </c>
      <c r="C1024" s="3" t="s">
        <v>11</v>
      </c>
      <c r="D1024" s="3" t="s">
        <v>12</v>
      </c>
      <c r="E1024" s="3" t="s">
        <v>1894</v>
      </c>
      <c r="F1024" s="3" t="s">
        <v>1403</v>
      </c>
      <c r="G1024" s="3" t="n">
        <v>3000</v>
      </c>
      <c r="H1024" s="3"/>
      <c r="I1024" s="3" t="s">
        <v>1415</v>
      </c>
      <c r="J1024" s="4" t="str">
        <f aca="false">IF(AND($A1024&lt;&gt;"",$A1024=Подбор!$C$4),MAX(J$1:J1023)+1,"")</f>
        <v/>
      </c>
    </row>
    <row r="1025" customFormat="false" ht="15" hidden="false" customHeight="false" outlineLevel="0" collapsed="false">
      <c r="A1025" s="3" t="s">
        <v>1069</v>
      </c>
      <c r="B1025" s="3" t="s">
        <v>68</v>
      </c>
      <c r="C1025" s="3" t="s">
        <v>11</v>
      </c>
      <c r="D1025" s="3" t="s">
        <v>12</v>
      </c>
      <c r="E1025" s="3" t="s">
        <v>1895</v>
      </c>
      <c r="F1025" s="3" t="s">
        <v>1421</v>
      </c>
      <c r="G1025" s="3" t="n">
        <v>3000</v>
      </c>
      <c r="H1025" s="3"/>
      <c r="I1025" s="3" t="s">
        <v>1415</v>
      </c>
      <c r="J1025" s="4" t="str">
        <f aca="false">IF(AND($A1025&lt;&gt;"",$A1025=Подбор!$C$4),MAX(J$1:J1024)+1,"")</f>
        <v/>
      </c>
    </row>
    <row r="1026" customFormat="false" ht="15" hidden="false" customHeight="false" outlineLevel="0" collapsed="false">
      <c r="A1026" s="3" t="s">
        <v>1071</v>
      </c>
      <c r="B1026" s="3" t="s">
        <v>68</v>
      </c>
      <c r="C1026" s="3" t="s">
        <v>11</v>
      </c>
      <c r="D1026" s="3" t="s">
        <v>12</v>
      </c>
      <c r="E1026" s="3" t="s">
        <v>1896</v>
      </c>
      <c r="F1026" s="3" t="s">
        <v>1403</v>
      </c>
      <c r="G1026" s="3" t="n">
        <v>7000</v>
      </c>
      <c r="H1026" s="3"/>
      <c r="I1026" s="3" t="s">
        <v>1415</v>
      </c>
      <c r="J1026" s="4" t="str">
        <f aca="false">IF(AND($A1026&lt;&gt;"",$A1026=Подбор!$C$4),MAX(J$1:J1025)+1,"")</f>
        <v/>
      </c>
    </row>
    <row r="1027" customFormat="false" ht="15" hidden="false" customHeight="false" outlineLevel="0" collapsed="false">
      <c r="A1027" s="3" t="s">
        <v>1073</v>
      </c>
      <c r="B1027" s="3" t="s">
        <v>68</v>
      </c>
      <c r="C1027" s="3" t="s">
        <v>11</v>
      </c>
      <c r="D1027" s="3" t="s">
        <v>12</v>
      </c>
      <c r="E1027" s="3" t="s">
        <v>1897</v>
      </c>
      <c r="F1027" s="3" t="s">
        <v>1403</v>
      </c>
      <c r="G1027" s="3"/>
      <c r="H1027" s="3"/>
      <c r="I1027" s="3"/>
      <c r="J1027" s="4" t="str">
        <f aca="false">IF(AND($A1027&lt;&gt;"",$A1027=Подбор!$C$4),MAX(J$1:J1026)+1,"")</f>
        <v/>
      </c>
    </row>
    <row r="1028" customFormat="false" ht="15" hidden="false" customHeight="false" outlineLevel="0" collapsed="false">
      <c r="A1028" s="3" t="s">
        <v>1075</v>
      </c>
      <c r="B1028" s="3" t="s">
        <v>68</v>
      </c>
      <c r="C1028" s="3" t="s">
        <v>11</v>
      </c>
      <c r="D1028" s="3" t="s">
        <v>12</v>
      </c>
      <c r="E1028" s="3" t="s">
        <v>1897</v>
      </c>
      <c r="F1028" s="3" t="s">
        <v>1403</v>
      </c>
      <c r="G1028" s="3"/>
      <c r="H1028" s="3"/>
      <c r="I1028" s="3"/>
      <c r="J1028" s="4" t="str">
        <f aca="false">IF(AND($A1028&lt;&gt;"",$A1028=Подбор!$C$4),MAX(J$1:J1027)+1,"")</f>
        <v/>
      </c>
    </row>
    <row r="1029" customFormat="false" ht="15" hidden="false" customHeight="false" outlineLevel="0" collapsed="false">
      <c r="A1029" s="3" t="s">
        <v>1076</v>
      </c>
      <c r="B1029" s="3" t="s">
        <v>68</v>
      </c>
      <c r="C1029" s="3" t="s">
        <v>11</v>
      </c>
      <c r="D1029" s="3" t="s">
        <v>12</v>
      </c>
      <c r="E1029" s="3" t="s">
        <v>1896</v>
      </c>
      <c r="F1029" s="3" t="s">
        <v>1403</v>
      </c>
      <c r="G1029" s="3" t="n">
        <v>7000</v>
      </c>
      <c r="H1029" s="3"/>
      <c r="I1029" s="3" t="s">
        <v>1415</v>
      </c>
      <c r="J1029" s="4" t="str">
        <f aca="false">IF(AND($A1029&lt;&gt;"",$A1029=Подбор!$C$4),MAX(J$1:J1028)+1,"")</f>
        <v/>
      </c>
    </row>
    <row r="1030" customFormat="false" ht="15" hidden="false" customHeight="false" outlineLevel="0" collapsed="false">
      <c r="A1030" s="3" t="s">
        <v>1077</v>
      </c>
      <c r="B1030" s="3" t="s">
        <v>84</v>
      </c>
      <c r="C1030" s="3" t="s">
        <v>11</v>
      </c>
      <c r="D1030" s="3" t="s">
        <v>12</v>
      </c>
      <c r="E1030" s="3" t="s">
        <v>1846</v>
      </c>
      <c r="F1030" s="3" t="s">
        <v>1403</v>
      </c>
      <c r="G1030" s="3"/>
      <c r="H1030" s="3"/>
      <c r="I1030" s="3"/>
      <c r="J1030" s="4" t="str">
        <f aca="false">IF(AND($A1030&lt;&gt;"",$A1030=Подбор!$C$4),MAX(J$1:J1029)+1,"")</f>
        <v/>
      </c>
    </row>
    <row r="1031" customFormat="false" ht="15" hidden="false" customHeight="false" outlineLevel="0" collapsed="false">
      <c r="A1031" s="3" t="s">
        <v>1079</v>
      </c>
      <c r="B1031" s="3" t="s">
        <v>84</v>
      </c>
      <c r="C1031" s="3" t="s">
        <v>11</v>
      </c>
      <c r="D1031" s="3" t="s">
        <v>12</v>
      </c>
      <c r="E1031" s="3" t="s">
        <v>1519</v>
      </c>
      <c r="F1031" s="3" t="s">
        <v>1403</v>
      </c>
      <c r="G1031" s="3"/>
      <c r="H1031" s="3"/>
      <c r="I1031" s="3"/>
      <c r="J1031" s="4" t="str">
        <f aca="false">IF(AND($A1031&lt;&gt;"",$A1031=Подбор!$C$4),MAX(J$1:J1030)+1,"")</f>
        <v/>
      </c>
    </row>
    <row r="1032" customFormat="false" ht="15" hidden="false" customHeight="false" outlineLevel="0" collapsed="false">
      <c r="A1032" s="3" t="s">
        <v>1081</v>
      </c>
      <c r="B1032" s="3" t="s">
        <v>84</v>
      </c>
      <c r="C1032" s="3" t="s">
        <v>11</v>
      </c>
      <c r="D1032" s="3" t="s">
        <v>12</v>
      </c>
      <c r="E1032" s="3" t="s">
        <v>1846</v>
      </c>
      <c r="F1032" s="3" t="s">
        <v>1403</v>
      </c>
      <c r="G1032" s="3"/>
      <c r="H1032" s="3"/>
      <c r="I1032" s="3"/>
      <c r="J1032" s="4" t="str">
        <f aca="false">IF(AND($A1032&lt;&gt;"",$A1032=Подбор!$C$4),MAX(J$1:J1031)+1,"")</f>
        <v/>
      </c>
    </row>
    <row r="1033" customFormat="false" ht="15" hidden="false" customHeight="false" outlineLevel="0" collapsed="false">
      <c r="A1033" s="3" t="s">
        <v>1082</v>
      </c>
      <c r="B1033" s="3" t="s">
        <v>498</v>
      </c>
      <c r="C1033" s="3" t="s">
        <v>11</v>
      </c>
      <c r="D1033" s="3" t="s">
        <v>12</v>
      </c>
      <c r="E1033" s="3" t="s">
        <v>1898</v>
      </c>
      <c r="F1033" s="3" t="s">
        <v>1403</v>
      </c>
      <c r="G1033" s="3" t="n">
        <v>1200</v>
      </c>
      <c r="H1033" s="3"/>
      <c r="I1033" s="3" t="s">
        <v>1415</v>
      </c>
      <c r="J1033" s="4" t="str">
        <f aca="false">IF(AND($A1033&lt;&gt;"",$A1033=Подбор!$C$4),MAX(J$1:J1032)+1,"")</f>
        <v/>
      </c>
    </row>
    <row r="1034" customFormat="false" ht="15" hidden="false" customHeight="false" outlineLevel="0" collapsed="false">
      <c r="A1034" s="3" t="s">
        <v>1082</v>
      </c>
      <c r="B1034" s="3" t="s">
        <v>498</v>
      </c>
      <c r="C1034" s="3" t="s">
        <v>14</v>
      </c>
      <c r="D1034" s="3" t="s">
        <v>15</v>
      </c>
      <c r="E1034" s="3" t="s">
        <v>1728</v>
      </c>
      <c r="F1034" s="3" t="s">
        <v>1403</v>
      </c>
      <c r="G1034" s="3"/>
      <c r="H1034" s="3"/>
      <c r="I1034" s="3"/>
      <c r="J1034" s="4" t="str">
        <f aca="false">IF(AND($A1034&lt;&gt;"",$A1034=Подбор!$C$4),MAX(J$1:J1033)+1,"")</f>
        <v/>
      </c>
    </row>
    <row r="1035" customFormat="false" ht="15" hidden="false" customHeight="false" outlineLevel="0" collapsed="false">
      <c r="A1035" s="3" t="s">
        <v>1085</v>
      </c>
      <c r="B1035" s="3" t="s">
        <v>68</v>
      </c>
      <c r="C1035" s="3" t="s">
        <v>11</v>
      </c>
      <c r="D1035" s="3" t="s">
        <v>12</v>
      </c>
      <c r="E1035" s="3" t="s">
        <v>1890</v>
      </c>
      <c r="F1035" s="3" t="s">
        <v>1403</v>
      </c>
      <c r="G1035" s="3" t="n">
        <v>3000</v>
      </c>
      <c r="H1035" s="3"/>
      <c r="I1035" s="3" t="s">
        <v>1415</v>
      </c>
      <c r="J1035" s="4" t="str">
        <f aca="false">IF(AND($A1035&lt;&gt;"",$A1035=Подбор!$C$4),MAX(J$1:J1034)+1,"")</f>
        <v/>
      </c>
    </row>
    <row r="1036" customFormat="false" ht="15" hidden="false" customHeight="false" outlineLevel="0" collapsed="false">
      <c r="A1036" s="3" t="s">
        <v>1086</v>
      </c>
      <c r="B1036" s="3" t="s">
        <v>84</v>
      </c>
      <c r="C1036" s="3" t="s">
        <v>11</v>
      </c>
      <c r="D1036" s="3" t="s">
        <v>12</v>
      </c>
      <c r="E1036" s="3" t="s">
        <v>1815</v>
      </c>
      <c r="F1036" s="3" t="s">
        <v>1403</v>
      </c>
      <c r="G1036" s="3" t="n">
        <v>2500</v>
      </c>
      <c r="H1036" s="3"/>
      <c r="I1036" s="3" t="s">
        <v>1415</v>
      </c>
      <c r="J1036" s="4" t="str">
        <f aca="false">IF(AND($A1036&lt;&gt;"",$A1036=Подбор!$C$4),MAX(J$1:J1035)+1,"")</f>
        <v/>
      </c>
    </row>
    <row r="1037" customFormat="false" ht="15" hidden="false" customHeight="false" outlineLevel="0" collapsed="false">
      <c r="A1037" s="3" t="s">
        <v>1088</v>
      </c>
      <c r="B1037" s="3" t="s">
        <v>84</v>
      </c>
      <c r="C1037" s="3" t="s">
        <v>11</v>
      </c>
      <c r="D1037" s="3" t="s">
        <v>12</v>
      </c>
      <c r="E1037" s="3" t="s">
        <v>1519</v>
      </c>
      <c r="F1037" s="3" t="s">
        <v>1403</v>
      </c>
      <c r="G1037" s="3"/>
      <c r="H1037" s="3"/>
      <c r="I1037" s="3"/>
      <c r="J1037" s="4" t="str">
        <f aca="false">IF(AND($A1037&lt;&gt;"",$A1037=Подбор!$C$4),MAX(J$1:J1036)+1,"")</f>
        <v/>
      </c>
    </row>
    <row r="1038" customFormat="false" ht="15" hidden="false" customHeight="false" outlineLevel="0" collapsed="false">
      <c r="A1038" s="3" t="s">
        <v>1089</v>
      </c>
      <c r="B1038" s="3" t="s">
        <v>84</v>
      </c>
      <c r="C1038" s="3" t="s">
        <v>11</v>
      </c>
      <c r="D1038" s="3" t="s">
        <v>12</v>
      </c>
      <c r="E1038" s="3" t="s">
        <v>1899</v>
      </c>
      <c r="F1038" s="3" t="s">
        <v>1403</v>
      </c>
      <c r="G1038" s="3"/>
      <c r="H1038" s="3"/>
      <c r="I1038" s="3"/>
      <c r="J1038" s="4" t="str">
        <f aca="false">IF(AND($A1038&lt;&gt;"",$A1038=Подбор!$C$4),MAX(J$1:J1037)+1,"")</f>
        <v/>
      </c>
    </row>
    <row r="1039" customFormat="false" ht="15" hidden="false" customHeight="false" outlineLevel="0" collapsed="false">
      <c r="A1039" s="3" t="s">
        <v>1090</v>
      </c>
      <c r="B1039" s="3" t="s">
        <v>57</v>
      </c>
      <c r="C1039" s="3" t="s">
        <v>567</v>
      </c>
      <c r="D1039" s="3" t="s">
        <v>12</v>
      </c>
      <c r="E1039" s="3" t="s">
        <v>1900</v>
      </c>
      <c r="F1039" s="3" t="s">
        <v>1403</v>
      </c>
      <c r="G1039" s="3" t="n">
        <v>1200</v>
      </c>
      <c r="H1039" s="3"/>
      <c r="I1039" s="3" t="s">
        <v>1415</v>
      </c>
      <c r="J1039" s="4" t="str">
        <f aca="false">IF(AND($A1039&lt;&gt;"",$A1039=Подбор!$C$4),MAX(J$1:J1038)+1,"")</f>
        <v/>
      </c>
    </row>
    <row r="1040" customFormat="false" ht="15" hidden="false" customHeight="false" outlineLevel="0" collapsed="false">
      <c r="A1040" s="3" t="s">
        <v>1091</v>
      </c>
      <c r="B1040" s="3" t="s">
        <v>57</v>
      </c>
      <c r="C1040" s="3" t="s">
        <v>567</v>
      </c>
      <c r="D1040" s="3" t="s">
        <v>12</v>
      </c>
      <c r="E1040" s="3" t="s">
        <v>1807</v>
      </c>
      <c r="F1040" s="3" t="s">
        <v>1417</v>
      </c>
      <c r="G1040" s="3"/>
      <c r="H1040" s="3"/>
      <c r="I1040" s="3"/>
      <c r="J1040" s="4" t="str">
        <f aca="false">IF(AND($A1040&lt;&gt;"",$A1040=Подбор!$C$4),MAX(J$1:J1039)+1,"")</f>
        <v/>
      </c>
    </row>
    <row r="1041" customFormat="false" ht="15" hidden="false" customHeight="false" outlineLevel="0" collapsed="false">
      <c r="A1041" s="3" t="s">
        <v>1093</v>
      </c>
      <c r="B1041" s="3" t="s">
        <v>68</v>
      </c>
      <c r="C1041" s="3" t="s">
        <v>11</v>
      </c>
      <c r="D1041" s="3" t="s">
        <v>12</v>
      </c>
      <c r="E1041" s="3" t="s">
        <v>1901</v>
      </c>
      <c r="F1041" s="3" t="s">
        <v>1403</v>
      </c>
      <c r="G1041" s="3" t="n">
        <v>25000</v>
      </c>
      <c r="H1041" s="3"/>
      <c r="I1041" s="3" t="s">
        <v>1415</v>
      </c>
      <c r="J1041" s="4" t="str">
        <f aca="false">IF(AND($A1041&lt;&gt;"",$A1041=Подбор!$C$4),MAX(J$1:J1040)+1,"")</f>
        <v/>
      </c>
    </row>
    <row r="1042" customFormat="false" ht="15" hidden="false" customHeight="false" outlineLevel="0" collapsed="false">
      <c r="A1042" s="3" t="s">
        <v>1095</v>
      </c>
      <c r="B1042" s="3" t="s">
        <v>84</v>
      </c>
      <c r="C1042" s="3" t="s">
        <v>11</v>
      </c>
      <c r="D1042" s="3" t="s">
        <v>12</v>
      </c>
      <c r="E1042" s="3" t="s">
        <v>1842</v>
      </c>
      <c r="F1042" s="3" t="s">
        <v>1403</v>
      </c>
      <c r="G1042" s="3"/>
      <c r="H1042" s="3"/>
      <c r="I1042" s="3"/>
      <c r="J1042" s="4" t="str">
        <f aca="false">IF(AND($A1042&lt;&gt;"",$A1042=Подбор!$C$4),MAX(J$1:J1041)+1,"")</f>
        <v/>
      </c>
    </row>
    <row r="1043" customFormat="false" ht="15" hidden="false" customHeight="false" outlineLevel="0" collapsed="false">
      <c r="A1043" s="3" t="s">
        <v>1096</v>
      </c>
      <c r="B1043" s="3" t="s">
        <v>68</v>
      </c>
      <c r="C1043" s="3" t="s">
        <v>11</v>
      </c>
      <c r="D1043" s="3" t="s">
        <v>12</v>
      </c>
      <c r="E1043" s="3" t="s">
        <v>1439</v>
      </c>
      <c r="F1043" s="3" t="s">
        <v>1403</v>
      </c>
      <c r="G1043" s="3" t="n">
        <v>55000</v>
      </c>
      <c r="H1043" s="3"/>
      <c r="I1043" s="3" t="s">
        <v>1415</v>
      </c>
      <c r="J1043" s="4" t="str">
        <f aca="false">IF(AND($A1043&lt;&gt;"",$A1043=Подбор!$C$4),MAX(J$1:J1042)+1,"")</f>
        <v/>
      </c>
    </row>
    <row r="1044" customFormat="false" ht="15" hidden="false" customHeight="false" outlineLevel="0" collapsed="false">
      <c r="A1044" s="3" t="s">
        <v>1097</v>
      </c>
      <c r="B1044" s="3" t="s">
        <v>932</v>
      </c>
      <c r="C1044" s="3" t="s">
        <v>567</v>
      </c>
      <c r="D1044" s="3" t="s">
        <v>12</v>
      </c>
      <c r="E1044" s="3" t="s">
        <v>1902</v>
      </c>
      <c r="F1044" s="3" t="s">
        <v>1403</v>
      </c>
      <c r="G1044" s="3"/>
      <c r="H1044" s="3"/>
      <c r="I1044" s="3"/>
      <c r="J1044" s="4" t="str">
        <f aca="false">IF(AND($A1044&lt;&gt;"",$A1044=Подбор!$C$4),MAX(J$1:J1043)+1,"")</f>
        <v/>
      </c>
    </row>
    <row r="1045" customFormat="false" ht="15" hidden="false" customHeight="false" outlineLevel="0" collapsed="false">
      <c r="A1045" s="3" t="s">
        <v>1099</v>
      </c>
      <c r="B1045" s="3" t="s">
        <v>68</v>
      </c>
      <c r="C1045" s="3" t="s">
        <v>11</v>
      </c>
      <c r="D1045" s="3" t="s">
        <v>12</v>
      </c>
      <c r="E1045" s="3" t="s">
        <v>1546</v>
      </c>
      <c r="F1045" s="3" t="s">
        <v>1403</v>
      </c>
      <c r="G1045" s="3" t="n">
        <v>15000</v>
      </c>
      <c r="H1045" s="3"/>
      <c r="I1045" s="3" t="s">
        <v>1415</v>
      </c>
      <c r="J1045" s="4" t="str">
        <f aca="false">IF(AND($A1045&lt;&gt;"",$A1045=Подбор!$C$4),MAX(J$1:J1044)+1,"")</f>
        <v/>
      </c>
    </row>
    <row r="1046" customFormat="false" ht="15" hidden="false" customHeight="false" outlineLevel="0" collapsed="false">
      <c r="A1046" s="3" t="s">
        <v>1100</v>
      </c>
      <c r="B1046" s="3" t="s">
        <v>84</v>
      </c>
      <c r="C1046" s="3" t="s">
        <v>11</v>
      </c>
      <c r="D1046" s="3" t="s">
        <v>12</v>
      </c>
      <c r="E1046" s="3" t="s">
        <v>1903</v>
      </c>
      <c r="F1046" s="3" t="s">
        <v>1403</v>
      </c>
      <c r="G1046" s="3"/>
      <c r="H1046" s="3"/>
      <c r="I1046" s="3"/>
      <c r="J1046" s="4" t="str">
        <f aca="false">IF(AND($A1046&lt;&gt;"",$A1046=Подбор!$C$4),MAX(J$1:J1045)+1,"")</f>
        <v/>
      </c>
    </row>
    <row r="1047" customFormat="false" ht="15" hidden="false" customHeight="false" outlineLevel="0" collapsed="false">
      <c r="A1047" s="3" t="s">
        <v>1101</v>
      </c>
      <c r="B1047" s="3" t="s">
        <v>84</v>
      </c>
      <c r="C1047" s="3" t="s">
        <v>11</v>
      </c>
      <c r="D1047" s="3" t="s">
        <v>12</v>
      </c>
      <c r="E1047" s="3" t="s">
        <v>1904</v>
      </c>
      <c r="F1047" s="3" t="s">
        <v>1403</v>
      </c>
      <c r="G1047" s="3"/>
      <c r="H1047" s="3"/>
      <c r="I1047" s="3"/>
      <c r="J1047" s="4" t="str">
        <f aca="false">IF(AND($A1047&lt;&gt;"",$A1047=Подбор!$C$4),MAX(J$1:J1046)+1,"")</f>
        <v/>
      </c>
    </row>
    <row r="1048" customFormat="false" ht="15" hidden="false" customHeight="false" outlineLevel="0" collapsed="false">
      <c r="A1048" s="3" t="s">
        <v>1103</v>
      </c>
      <c r="B1048" s="3" t="s">
        <v>84</v>
      </c>
      <c r="C1048" s="3" t="s">
        <v>11</v>
      </c>
      <c r="D1048" s="3" t="s">
        <v>12</v>
      </c>
      <c r="E1048" s="3" t="s">
        <v>1905</v>
      </c>
      <c r="F1048" s="3" t="s">
        <v>1403</v>
      </c>
      <c r="G1048" s="3" t="n">
        <v>6000</v>
      </c>
      <c r="H1048" s="3"/>
      <c r="I1048" s="3" t="s">
        <v>1415</v>
      </c>
      <c r="J1048" s="4" t="str">
        <f aca="false">IF(AND($A1048&lt;&gt;"",$A1048=Подбор!$C$4),MAX(J$1:J1047)+1,"")</f>
        <v/>
      </c>
    </row>
    <row r="1049" customFormat="false" ht="15" hidden="false" customHeight="false" outlineLevel="0" collapsed="false">
      <c r="A1049" s="3" t="s">
        <v>1105</v>
      </c>
      <c r="B1049" s="3" t="s">
        <v>57</v>
      </c>
      <c r="C1049" s="3" t="s">
        <v>567</v>
      </c>
      <c r="D1049" s="3" t="s">
        <v>12</v>
      </c>
      <c r="E1049" s="3" t="s">
        <v>15</v>
      </c>
      <c r="F1049" s="3"/>
      <c r="G1049" s="3"/>
      <c r="H1049" s="3"/>
      <c r="I1049" s="3"/>
      <c r="J1049" s="4" t="str">
        <f aca="false">IF(AND($A1049&lt;&gt;"",$A1049=Подбор!$C$4),MAX(J$1:J1048)+1,"")</f>
        <v/>
      </c>
    </row>
    <row r="1050" customFormat="false" ht="15" hidden="false" customHeight="false" outlineLevel="0" collapsed="false">
      <c r="A1050" s="3" t="s">
        <v>1107</v>
      </c>
      <c r="B1050" s="3" t="s">
        <v>57</v>
      </c>
      <c r="C1050" s="3" t="s">
        <v>567</v>
      </c>
      <c r="D1050" s="3" t="s">
        <v>12</v>
      </c>
      <c r="E1050" s="3" t="s">
        <v>15</v>
      </c>
      <c r="F1050" s="3"/>
      <c r="G1050" s="3"/>
      <c r="H1050" s="3"/>
      <c r="I1050" s="3"/>
      <c r="J1050" s="4" t="str">
        <f aca="false">IF(AND($A1050&lt;&gt;"",$A1050=Подбор!$C$4),MAX(J$1:J1049)+1,"")</f>
        <v/>
      </c>
    </row>
    <row r="1051" customFormat="false" ht="15" hidden="false" customHeight="false" outlineLevel="0" collapsed="false">
      <c r="A1051" s="3" t="s">
        <v>1108</v>
      </c>
      <c r="B1051" s="3" t="s">
        <v>57</v>
      </c>
      <c r="C1051" s="3" t="s">
        <v>567</v>
      </c>
      <c r="D1051" s="3" t="s">
        <v>12</v>
      </c>
      <c r="E1051" s="3" t="s">
        <v>15</v>
      </c>
      <c r="F1051" s="3"/>
      <c r="G1051" s="3"/>
      <c r="H1051" s="3"/>
      <c r="I1051" s="3"/>
      <c r="J1051" s="4" t="str">
        <f aca="false">IF(AND($A1051&lt;&gt;"",$A1051=Подбор!$C$4),MAX(J$1:J1050)+1,"")</f>
        <v/>
      </c>
    </row>
    <row r="1052" customFormat="false" ht="15" hidden="false" customHeight="false" outlineLevel="0" collapsed="false">
      <c r="A1052" s="3" t="s">
        <v>1109</v>
      </c>
      <c r="B1052" s="3" t="s">
        <v>57</v>
      </c>
      <c r="C1052" s="3" t="s">
        <v>567</v>
      </c>
      <c r="D1052" s="3" t="s">
        <v>12</v>
      </c>
      <c r="E1052" s="3" t="s">
        <v>15</v>
      </c>
      <c r="F1052" s="3"/>
      <c r="G1052" s="3"/>
      <c r="H1052" s="3"/>
      <c r="I1052" s="3"/>
      <c r="J1052" s="4" t="str">
        <f aca="false">IF(AND($A1052&lt;&gt;"",$A1052=Подбор!$C$4),MAX(J$1:J1051)+1,"")</f>
        <v/>
      </c>
    </row>
    <row r="1053" customFormat="false" ht="15" hidden="false" customHeight="false" outlineLevel="0" collapsed="false">
      <c r="A1053" s="3" t="s">
        <v>1111</v>
      </c>
      <c r="B1053" s="3" t="s">
        <v>57</v>
      </c>
      <c r="C1053" s="3" t="s">
        <v>567</v>
      </c>
      <c r="D1053" s="3" t="s">
        <v>12</v>
      </c>
      <c r="E1053" s="3" t="s">
        <v>15</v>
      </c>
      <c r="F1053" s="3"/>
      <c r="G1053" s="3"/>
      <c r="H1053" s="3"/>
      <c r="I1053" s="3"/>
      <c r="J1053" s="4" t="str">
        <f aca="false">IF(AND($A1053&lt;&gt;"",$A1053=Подбор!$C$4),MAX(J$1:J1052)+1,"")</f>
        <v/>
      </c>
    </row>
    <row r="1054" customFormat="false" ht="15" hidden="false" customHeight="false" outlineLevel="0" collapsed="false">
      <c r="A1054" s="3" t="s">
        <v>1112</v>
      </c>
      <c r="B1054" s="3" t="s">
        <v>57</v>
      </c>
      <c r="C1054" s="3" t="s">
        <v>11</v>
      </c>
      <c r="D1054" s="3" t="s">
        <v>12</v>
      </c>
      <c r="E1054" s="3" t="s">
        <v>1906</v>
      </c>
      <c r="F1054" s="3" t="s">
        <v>1403</v>
      </c>
      <c r="G1054" s="3" t="n">
        <v>20000</v>
      </c>
      <c r="H1054" s="3"/>
      <c r="I1054" s="3" t="s">
        <v>1415</v>
      </c>
      <c r="J1054" s="4" t="str">
        <f aca="false">IF(AND($A1054&lt;&gt;"",$A1054=Подбор!$C$4),MAX(J$1:J1053)+1,"")</f>
        <v/>
      </c>
    </row>
    <row r="1055" customFormat="false" ht="15" hidden="false" customHeight="false" outlineLevel="0" collapsed="false">
      <c r="A1055" s="3" t="s">
        <v>1112</v>
      </c>
      <c r="B1055" s="3" t="s">
        <v>57</v>
      </c>
      <c r="C1055" s="3" t="s">
        <v>11</v>
      </c>
      <c r="D1055" s="3" t="s">
        <v>12</v>
      </c>
      <c r="E1055" s="3" t="s">
        <v>1907</v>
      </c>
      <c r="F1055" s="3" t="s">
        <v>1421</v>
      </c>
      <c r="G1055" s="3" t="n">
        <v>20000</v>
      </c>
      <c r="H1055" s="3"/>
      <c r="I1055" s="3" t="s">
        <v>1415</v>
      </c>
      <c r="J1055" s="4" t="str">
        <f aca="false">IF(AND($A1055&lt;&gt;"",$A1055=Подбор!$C$4),MAX(J$1:J1054)+1,"")</f>
        <v/>
      </c>
    </row>
    <row r="1056" customFormat="false" ht="15" hidden="false" customHeight="false" outlineLevel="0" collapsed="false">
      <c r="A1056" s="3" t="s">
        <v>1114</v>
      </c>
      <c r="B1056" s="3" t="s">
        <v>84</v>
      </c>
      <c r="C1056" s="3" t="s">
        <v>11</v>
      </c>
      <c r="D1056" s="3" t="s">
        <v>12</v>
      </c>
      <c r="E1056" s="3" t="s">
        <v>15</v>
      </c>
      <c r="F1056" s="3"/>
      <c r="G1056" s="3"/>
      <c r="H1056" s="3"/>
      <c r="I1056" s="3"/>
      <c r="J1056" s="4" t="str">
        <f aca="false">IF(AND($A1056&lt;&gt;"",$A1056=Подбор!$C$4),MAX(J$1:J1055)+1,"")</f>
        <v/>
      </c>
    </row>
    <row r="1057" customFormat="false" ht="15" hidden="false" customHeight="false" outlineLevel="0" collapsed="false">
      <c r="A1057" s="3" t="s">
        <v>1116</v>
      </c>
      <c r="B1057" s="3" t="s">
        <v>57</v>
      </c>
      <c r="C1057" s="3" t="s">
        <v>11</v>
      </c>
      <c r="D1057" s="3" t="s">
        <v>12</v>
      </c>
      <c r="E1057" s="3" t="s">
        <v>1750</v>
      </c>
      <c r="F1057" s="3" t="s">
        <v>1403</v>
      </c>
      <c r="G1057" s="3" t="n">
        <v>25000</v>
      </c>
      <c r="H1057" s="3"/>
      <c r="I1057" s="3" t="s">
        <v>1415</v>
      </c>
      <c r="J1057" s="4" t="str">
        <f aca="false">IF(AND($A1057&lt;&gt;"",$A1057=Подбор!$C$4),MAX(J$1:J1056)+1,"")</f>
        <v/>
      </c>
    </row>
    <row r="1058" customFormat="false" ht="15" hidden="false" customHeight="false" outlineLevel="0" collapsed="false">
      <c r="A1058" s="3" t="s">
        <v>1117</v>
      </c>
      <c r="B1058" s="3" t="s">
        <v>57</v>
      </c>
      <c r="C1058" s="3" t="s">
        <v>11</v>
      </c>
      <c r="D1058" s="3" t="s">
        <v>12</v>
      </c>
      <c r="E1058" s="3" t="s">
        <v>1750</v>
      </c>
      <c r="F1058" s="3" t="s">
        <v>1403</v>
      </c>
      <c r="G1058" s="3" t="n">
        <v>25000</v>
      </c>
      <c r="H1058" s="3"/>
      <c r="I1058" s="3" t="s">
        <v>1415</v>
      </c>
      <c r="J1058" s="4" t="str">
        <f aca="false">IF(AND($A1058&lt;&gt;"",$A1058=Подбор!$C$4),MAX(J$1:J1057)+1,"")</f>
        <v/>
      </c>
    </row>
    <row r="1059" customFormat="false" ht="15" hidden="false" customHeight="false" outlineLevel="0" collapsed="false">
      <c r="A1059" s="3" t="s">
        <v>1118</v>
      </c>
      <c r="B1059" s="3" t="s">
        <v>57</v>
      </c>
      <c r="C1059" s="3" t="s">
        <v>11</v>
      </c>
      <c r="D1059" s="3" t="s">
        <v>12</v>
      </c>
      <c r="E1059" s="3" t="s">
        <v>1776</v>
      </c>
      <c r="F1059" s="3" t="s">
        <v>1403</v>
      </c>
      <c r="G1059" s="3" t="n">
        <v>13000</v>
      </c>
      <c r="H1059" s="3"/>
      <c r="I1059" s="3" t="s">
        <v>1415</v>
      </c>
      <c r="J1059" s="4" t="str">
        <f aca="false">IF(AND($A1059&lt;&gt;"",$A1059=Подбор!$C$4),MAX(J$1:J1058)+1,"")</f>
        <v/>
      </c>
    </row>
    <row r="1060" customFormat="false" ht="15" hidden="false" customHeight="false" outlineLevel="0" collapsed="false">
      <c r="A1060" s="3" t="s">
        <v>1119</v>
      </c>
      <c r="B1060" s="3" t="s">
        <v>84</v>
      </c>
      <c r="C1060" s="3" t="s">
        <v>11</v>
      </c>
      <c r="D1060" s="3" t="s">
        <v>12</v>
      </c>
      <c r="E1060" s="3"/>
      <c r="F1060" s="3"/>
      <c r="G1060" s="3"/>
      <c r="H1060" s="3"/>
      <c r="I1060" s="3" t="s">
        <v>1440</v>
      </c>
      <c r="J1060" s="4" t="str">
        <f aca="false">IF(AND($A1060&lt;&gt;"",$A1060=Подбор!$C$4),MAX(J$1:J1059)+1,"")</f>
        <v/>
      </c>
    </row>
    <row r="1061" customFormat="false" ht="15" hidden="false" customHeight="false" outlineLevel="0" collapsed="false">
      <c r="A1061" s="3" t="s">
        <v>1121</v>
      </c>
      <c r="B1061" s="3" t="s">
        <v>68</v>
      </c>
      <c r="C1061" s="3" t="s">
        <v>11</v>
      </c>
      <c r="D1061" s="3" t="s">
        <v>12</v>
      </c>
      <c r="E1061" s="3" t="s">
        <v>1887</v>
      </c>
      <c r="F1061" s="3" t="s">
        <v>1403</v>
      </c>
      <c r="G1061" s="3" t="n">
        <v>15000</v>
      </c>
      <c r="H1061" s="3"/>
      <c r="I1061" s="3" t="s">
        <v>1415</v>
      </c>
      <c r="J1061" s="4" t="str">
        <f aca="false">IF(AND($A1061&lt;&gt;"",$A1061=Подбор!$C$4),MAX(J$1:J1060)+1,"")</f>
        <v/>
      </c>
    </row>
    <row r="1062" customFormat="false" ht="15" hidden="false" customHeight="false" outlineLevel="0" collapsed="false">
      <c r="A1062" s="3" t="s">
        <v>1122</v>
      </c>
      <c r="B1062" s="3" t="s">
        <v>57</v>
      </c>
      <c r="C1062" s="3" t="s">
        <v>11</v>
      </c>
      <c r="D1062" s="3" t="s">
        <v>12</v>
      </c>
      <c r="E1062" s="3" t="s">
        <v>1908</v>
      </c>
      <c r="F1062" s="3" t="s">
        <v>1403</v>
      </c>
      <c r="G1062" s="3" t="n">
        <v>1600</v>
      </c>
      <c r="H1062" s="3"/>
      <c r="I1062" s="3" t="s">
        <v>1415</v>
      </c>
      <c r="J1062" s="4" t="str">
        <f aca="false">IF(AND($A1062&lt;&gt;"",$A1062=Подбор!$C$4),MAX(J$1:J1061)+1,"")</f>
        <v/>
      </c>
    </row>
    <row r="1063" customFormat="false" ht="15" hidden="false" customHeight="false" outlineLevel="0" collapsed="false">
      <c r="A1063" s="3" t="s">
        <v>1122</v>
      </c>
      <c r="B1063" s="3" t="s">
        <v>57</v>
      </c>
      <c r="C1063" s="3" t="s">
        <v>11</v>
      </c>
      <c r="D1063" s="3" t="s">
        <v>12</v>
      </c>
      <c r="E1063" s="3" t="s">
        <v>1909</v>
      </c>
      <c r="F1063" s="3" t="s">
        <v>1421</v>
      </c>
      <c r="G1063" s="3" t="n">
        <v>1600</v>
      </c>
      <c r="H1063" s="3"/>
      <c r="I1063" s="3" t="s">
        <v>1415</v>
      </c>
      <c r="J1063" s="4" t="str">
        <f aca="false">IF(AND($A1063&lt;&gt;"",$A1063=Подбор!$C$4),MAX(J$1:J1062)+1,"")</f>
        <v/>
      </c>
    </row>
    <row r="1064" customFormat="false" ht="15" hidden="false" customHeight="false" outlineLevel="0" collapsed="false">
      <c r="A1064" s="3" t="s">
        <v>1124</v>
      </c>
      <c r="B1064" s="3" t="s">
        <v>68</v>
      </c>
      <c r="C1064" s="3" t="s">
        <v>11</v>
      </c>
      <c r="D1064" s="3" t="s">
        <v>12</v>
      </c>
      <c r="E1064" s="3" t="s">
        <v>1890</v>
      </c>
      <c r="F1064" s="3" t="s">
        <v>1403</v>
      </c>
      <c r="G1064" s="3" t="n">
        <v>3000</v>
      </c>
      <c r="H1064" s="3"/>
      <c r="I1064" s="3" t="s">
        <v>1415</v>
      </c>
      <c r="J1064" s="4" t="str">
        <f aca="false">IF(AND($A1064&lt;&gt;"",$A1064=Подбор!$C$4),MAX(J$1:J1063)+1,"")</f>
        <v/>
      </c>
    </row>
    <row r="1065" customFormat="false" ht="15" hidden="false" customHeight="false" outlineLevel="0" collapsed="false">
      <c r="A1065" s="3" t="s">
        <v>1125</v>
      </c>
      <c r="B1065" s="3" t="s">
        <v>68</v>
      </c>
      <c r="C1065" s="3" t="s">
        <v>11</v>
      </c>
      <c r="D1065" s="3" t="s">
        <v>12</v>
      </c>
      <c r="E1065" s="3" t="s">
        <v>1892</v>
      </c>
      <c r="F1065" s="3" t="s">
        <v>1403</v>
      </c>
      <c r="G1065" s="3" t="n">
        <v>7200</v>
      </c>
      <c r="H1065" s="3"/>
      <c r="I1065" s="3" t="s">
        <v>1415</v>
      </c>
      <c r="J1065" s="4" t="str">
        <f aca="false">IF(AND($A1065&lt;&gt;"",$A1065=Подбор!$C$4),MAX(J$1:J1064)+1,"")</f>
        <v/>
      </c>
    </row>
    <row r="1066" customFormat="false" ht="15" hidden="false" customHeight="false" outlineLevel="0" collapsed="false">
      <c r="A1066" s="3" t="s">
        <v>1126</v>
      </c>
      <c r="B1066" s="3" t="s">
        <v>68</v>
      </c>
      <c r="C1066" s="3" t="s">
        <v>11</v>
      </c>
      <c r="D1066" s="3" t="s">
        <v>12</v>
      </c>
      <c r="E1066" s="3" t="s">
        <v>1892</v>
      </c>
      <c r="F1066" s="3" t="s">
        <v>1403</v>
      </c>
      <c r="G1066" s="3" t="n">
        <v>7200</v>
      </c>
      <c r="H1066" s="3"/>
      <c r="I1066" s="3" t="s">
        <v>1415</v>
      </c>
      <c r="J1066" s="4" t="str">
        <f aca="false">IF(AND($A1066&lt;&gt;"",$A1066=Подбор!$C$4),MAX(J$1:J1065)+1,"")</f>
        <v/>
      </c>
    </row>
    <row r="1067" customFormat="false" ht="15" hidden="false" customHeight="false" outlineLevel="0" collapsed="false">
      <c r="A1067" s="3" t="s">
        <v>1127</v>
      </c>
      <c r="B1067" s="3" t="s">
        <v>84</v>
      </c>
      <c r="C1067" s="3" t="s">
        <v>11</v>
      </c>
      <c r="D1067" s="3" t="s">
        <v>12</v>
      </c>
      <c r="E1067" s="3" t="s">
        <v>1586</v>
      </c>
      <c r="F1067" s="3" t="s">
        <v>1403</v>
      </c>
      <c r="G1067" s="3"/>
      <c r="H1067" s="3"/>
      <c r="I1067" s="3"/>
      <c r="J1067" s="4" t="str">
        <f aca="false">IF(AND($A1067&lt;&gt;"",$A1067=Подбор!$C$4),MAX(J$1:J1066)+1,"")</f>
        <v/>
      </c>
    </row>
    <row r="1068" customFormat="false" ht="15" hidden="false" customHeight="false" outlineLevel="0" collapsed="false">
      <c r="A1068" s="3" t="s">
        <v>1128</v>
      </c>
      <c r="B1068" s="3" t="s">
        <v>68</v>
      </c>
      <c r="C1068" s="3" t="s">
        <v>11</v>
      </c>
      <c r="D1068" s="3" t="s">
        <v>12</v>
      </c>
      <c r="E1068" s="3" t="s">
        <v>1910</v>
      </c>
      <c r="F1068" s="3" t="s">
        <v>1403</v>
      </c>
      <c r="G1068" s="3" t="n">
        <v>12500</v>
      </c>
      <c r="H1068" s="3"/>
      <c r="I1068" s="3" t="s">
        <v>1415</v>
      </c>
      <c r="J1068" s="4" t="str">
        <f aca="false">IF(AND($A1068&lt;&gt;"",$A1068=Подбор!$C$4),MAX(J$1:J1067)+1,"")</f>
        <v/>
      </c>
    </row>
    <row r="1069" customFormat="false" ht="15" hidden="false" customHeight="false" outlineLevel="0" collapsed="false">
      <c r="A1069" s="3" t="s">
        <v>1130</v>
      </c>
      <c r="B1069" s="3" t="s">
        <v>68</v>
      </c>
      <c r="C1069" s="3" t="s">
        <v>11</v>
      </c>
      <c r="D1069" s="3" t="s">
        <v>12</v>
      </c>
      <c r="E1069" s="3" t="s">
        <v>1910</v>
      </c>
      <c r="F1069" s="3" t="s">
        <v>1403</v>
      </c>
      <c r="G1069" s="3" t="n">
        <v>12500</v>
      </c>
      <c r="H1069" s="3"/>
      <c r="I1069" s="3" t="s">
        <v>1415</v>
      </c>
      <c r="J1069" s="4" t="str">
        <f aca="false">IF(AND($A1069&lt;&gt;"",$A1069=Подбор!$C$4),MAX(J$1:J1068)+1,"")</f>
        <v/>
      </c>
    </row>
    <row r="1070" customFormat="false" ht="15" hidden="false" customHeight="false" outlineLevel="0" collapsed="false">
      <c r="A1070" s="3" t="s">
        <v>1131</v>
      </c>
      <c r="B1070" s="3" t="s">
        <v>68</v>
      </c>
      <c r="C1070" s="3" t="s">
        <v>11</v>
      </c>
      <c r="D1070" s="3" t="s">
        <v>12</v>
      </c>
      <c r="E1070" s="3" t="s">
        <v>1911</v>
      </c>
      <c r="F1070" s="3" t="s">
        <v>1403</v>
      </c>
      <c r="G1070" s="3" t="n">
        <v>15000</v>
      </c>
      <c r="H1070" s="3"/>
      <c r="I1070" s="3" t="s">
        <v>1415</v>
      </c>
      <c r="J1070" s="4" t="str">
        <f aca="false">IF(AND($A1070&lt;&gt;"",$A1070=Подбор!$C$4),MAX(J$1:J1069)+1,"")</f>
        <v/>
      </c>
    </row>
    <row r="1071" customFormat="false" ht="15" hidden="false" customHeight="false" outlineLevel="0" collapsed="false">
      <c r="A1071" s="3" t="s">
        <v>1133</v>
      </c>
      <c r="B1071" s="3" t="s">
        <v>84</v>
      </c>
      <c r="C1071" s="3" t="s">
        <v>11</v>
      </c>
      <c r="D1071" s="3" t="s">
        <v>12</v>
      </c>
      <c r="E1071" s="3" t="s">
        <v>1586</v>
      </c>
      <c r="F1071" s="3" t="s">
        <v>1403</v>
      </c>
      <c r="G1071" s="3"/>
      <c r="H1071" s="3"/>
      <c r="I1071" s="3"/>
      <c r="J1071" s="4" t="str">
        <f aca="false">IF(AND($A1071&lt;&gt;"",$A1071=Подбор!$C$4),MAX(J$1:J1070)+1,"")</f>
        <v/>
      </c>
    </row>
    <row r="1072" customFormat="false" ht="15" hidden="false" customHeight="false" outlineLevel="0" collapsed="false">
      <c r="A1072" s="3" t="s">
        <v>1134</v>
      </c>
      <c r="B1072" s="3" t="s">
        <v>156</v>
      </c>
      <c r="C1072" s="3" t="s">
        <v>11</v>
      </c>
      <c r="D1072" s="3" t="s">
        <v>12</v>
      </c>
      <c r="E1072" s="3" t="s">
        <v>1517</v>
      </c>
      <c r="F1072" s="3" t="s">
        <v>1403</v>
      </c>
      <c r="G1072" s="3"/>
      <c r="H1072" s="3"/>
      <c r="I1072" s="3"/>
      <c r="J1072" s="4" t="str">
        <f aca="false">IF(AND($A1072&lt;&gt;"",$A1072=Подбор!$C$4),MAX(J$1:J1071)+1,"")</f>
        <v/>
      </c>
    </row>
    <row r="1073" customFormat="false" ht="15" hidden="false" customHeight="false" outlineLevel="0" collapsed="false">
      <c r="A1073" s="3" t="s">
        <v>1134</v>
      </c>
      <c r="B1073" s="3" t="s">
        <v>156</v>
      </c>
      <c r="C1073" s="3" t="s">
        <v>14</v>
      </c>
      <c r="D1073" s="3" t="s">
        <v>15</v>
      </c>
      <c r="E1073" s="3" t="s">
        <v>1518</v>
      </c>
      <c r="F1073" s="3" t="s">
        <v>1403</v>
      </c>
      <c r="G1073" s="3" t="n">
        <v>6000</v>
      </c>
      <c r="H1073" s="3"/>
      <c r="I1073" s="3"/>
      <c r="J1073" s="4" t="str">
        <f aca="false">IF(AND($A1073&lt;&gt;"",$A1073=Подбор!$C$4),MAX(J$1:J1072)+1,"")</f>
        <v/>
      </c>
    </row>
    <row r="1074" customFormat="false" ht="15" hidden="false" customHeight="false" outlineLevel="0" collapsed="false">
      <c r="A1074" s="3" t="s">
        <v>1135</v>
      </c>
      <c r="B1074" s="3" t="s">
        <v>68</v>
      </c>
      <c r="C1074" s="3" t="s">
        <v>11</v>
      </c>
      <c r="D1074" s="3" t="s">
        <v>12</v>
      </c>
      <c r="E1074" s="3" t="s">
        <v>1513</v>
      </c>
      <c r="F1074" s="3" t="s">
        <v>1403</v>
      </c>
      <c r="G1074" s="3" t="n">
        <v>15000</v>
      </c>
      <c r="H1074" s="3"/>
      <c r="I1074" s="3" t="s">
        <v>1415</v>
      </c>
      <c r="J1074" s="4" t="str">
        <f aca="false">IF(AND($A1074&lt;&gt;"",$A1074=Подбор!$C$4),MAX(J$1:J1073)+1,"")</f>
        <v/>
      </c>
    </row>
    <row r="1075" customFormat="false" ht="15" hidden="false" customHeight="false" outlineLevel="0" collapsed="false">
      <c r="A1075" s="3" t="s">
        <v>1135</v>
      </c>
      <c r="B1075" s="3" t="s">
        <v>68</v>
      </c>
      <c r="C1075" s="3" t="s">
        <v>28</v>
      </c>
      <c r="D1075" s="3" t="s">
        <v>15</v>
      </c>
      <c r="E1075" s="3"/>
      <c r="F1075" s="3"/>
      <c r="G1075" s="3"/>
      <c r="H1075" s="3"/>
      <c r="I1075" s="3" t="s">
        <v>1440</v>
      </c>
      <c r="J1075" s="4" t="str">
        <f aca="false">IF(AND($A1075&lt;&gt;"",$A1075=Подбор!$C$4),MAX(J$1:J1074)+1,"")</f>
        <v/>
      </c>
    </row>
    <row r="1076" customFormat="false" ht="15" hidden="false" customHeight="false" outlineLevel="0" collapsed="false">
      <c r="A1076" s="3" t="s">
        <v>1136</v>
      </c>
      <c r="B1076" s="3" t="s">
        <v>68</v>
      </c>
      <c r="C1076" s="3" t="s">
        <v>11</v>
      </c>
      <c r="D1076" s="3" t="s">
        <v>12</v>
      </c>
      <c r="E1076" s="3" t="s">
        <v>1912</v>
      </c>
      <c r="F1076" s="3" t="s">
        <v>1403</v>
      </c>
      <c r="G1076" s="3" t="n">
        <v>30000</v>
      </c>
      <c r="H1076" s="3"/>
      <c r="I1076" s="3" t="s">
        <v>1415</v>
      </c>
      <c r="J1076" s="4" t="str">
        <f aca="false">IF(AND($A1076&lt;&gt;"",$A1076=Подбор!$C$4),MAX(J$1:J1075)+1,"")</f>
        <v/>
      </c>
    </row>
    <row r="1077" customFormat="false" ht="15" hidden="false" customHeight="false" outlineLevel="0" collapsed="false">
      <c r="A1077" s="3" t="s">
        <v>1138</v>
      </c>
      <c r="B1077" s="3" t="s">
        <v>110</v>
      </c>
      <c r="C1077" s="3" t="s">
        <v>11</v>
      </c>
      <c r="D1077" s="3" t="s">
        <v>12</v>
      </c>
      <c r="E1077" s="3" t="s">
        <v>1913</v>
      </c>
      <c r="F1077" s="3" t="s">
        <v>1403</v>
      </c>
      <c r="G1077" s="3"/>
      <c r="H1077" s="3"/>
      <c r="I1077" s="3"/>
      <c r="J1077" s="4" t="str">
        <f aca="false">IF(AND($A1077&lt;&gt;"",$A1077=Подбор!$C$4),MAX(J$1:J1076)+1,"")</f>
        <v/>
      </c>
    </row>
    <row r="1078" customFormat="false" ht="15" hidden="false" customHeight="false" outlineLevel="0" collapsed="false">
      <c r="A1078" s="3" t="s">
        <v>1140</v>
      </c>
      <c r="B1078" s="3" t="s">
        <v>156</v>
      </c>
      <c r="C1078" s="3" t="s">
        <v>11</v>
      </c>
      <c r="D1078" s="3" t="s">
        <v>12</v>
      </c>
      <c r="E1078" s="3" t="s">
        <v>1914</v>
      </c>
      <c r="F1078" s="3" t="s">
        <v>1403</v>
      </c>
      <c r="G1078" s="3"/>
      <c r="H1078" s="3"/>
      <c r="I1078" s="3"/>
      <c r="J1078" s="4" t="str">
        <f aca="false">IF(AND($A1078&lt;&gt;"",$A1078=Подбор!$C$4),MAX(J$1:J1077)+1,"")</f>
        <v/>
      </c>
    </row>
    <row r="1079" customFormat="false" ht="15" hidden="false" customHeight="false" outlineLevel="0" collapsed="false">
      <c r="A1079" s="3" t="s">
        <v>1142</v>
      </c>
      <c r="B1079" s="3" t="s">
        <v>57</v>
      </c>
      <c r="C1079" s="3" t="s">
        <v>11</v>
      </c>
      <c r="D1079" s="3" t="s">
        <v>12</v>
      </c>
      <c r="E1079" s="3" t="s">
        <v>1483</v>
      </c>
      <c r="F1079" s="3" t="s">
        <v>1403</v>
      </c>
      <c r="G1079" s="3" t="n">
        <v>3100</v>
      </c>
      <c r="H1079" s="3"/>
      <c r="I1079" s="3" t="s">
        <v>1415</v>
      </c>
      <c r="J1079" s="4" t="str">
        <f aca="false">IF(AND($A1079&lt;&gt;"",$A1079=Подбор!$C$4),MAX(J$1:J1078)+1,"")</f>
        <v/>
      </c>
    </row>
    <row r="1080" customFormat="false" ht="15" hidden="false" customHeight="false" outlineLevel="0" collapsed="false">
      <c r="A1080" s="3" t="s">
        <v>1143</v>
      </c>
      <c r="B1080" s="3" t="s">
        <v>57</v>
      </c>
      <c r="C1080" s="3" t="s">
        <v>11</v>
      </c>
      <c r="D1080" s="3" t="s">
        <v>12</v>
      </c>
      <c r="E1080" s="3" t="s">
        <v>1915</v>
      </c>
      <c r="F1080" s="3" t="s">
        <v>1403</v>
      </c>
      <c r="G1080" s="3" t="n">
        <v>9000</v>
      </c>
      <c r="H1080" s="3"/>
      <c r="I1080" s="3" t="s">
        <v>1415</v>
      </c>
      <c r="J1080" s="4" t="str">
        <f aca="false">IF(AND($A1080&lt;&gt;"",$A1080=Подбор!$C$4),MAX(J$1:J1079)+1,"")</f>
        <v/>
      </c>
    </row>
    <row r="1081" customFormat="false" ht="15" hidden="false" customHeight="false" outlineLevel="0" collapsed="false">
      <c r="A1081" s="3" t="s">
        <v>1144</v>
      </c>
      <c r="B1081" s="3" t="s">
        <v>57</v>
      </c>
      <c r="C1081" s="3" t="s">
        <v>11</v>
      </c>
      <c r="D1081" s="3" t="s">
        <v>12</v>
      </c>
      <c r="E1081" s="3" t="s">
        <v>1483</v>
      </c>
      <c r="F1081" s="3" t="s">
        <v>1403</v>
      </c>
      <c r="G1081" s="3" t="n">
        <v>3100</v>
      </c>
      <c r="H1081" s="3"/>
      <c r="I1081" s="3" t="s">
        <v>1415</v>
      </c>
      <c r="J1081" s="4" t="str">
        <f aca="false">IF(AND($A1081&lt;&gt;"",$A1081=Подбор!$C$4),MAX(J$1:J1080)+1,"")</f>
        <v/>
      </c>
    </row>
    <row r="1082" customFormat="false" ht="15" hidden="false" customHeight="false" outlineLevel="0" collapsed="false">
      <c r="A1082" s="3" t="s">
        <v>1145</v>
      </c>
      <c r="B1082" s="3" t="s">
        <v>57</v>
      </c>
      <c r="C1082" s="3" t="s">
        <v>11</v>
      </c>
      <c r="D1082" s="3" t="s">
        <v>12</v>
      </c>
      <c r="E1082" s="3" t="s">
        <v>1483</v>
      </c>
      <c r="F1082" s="3" t="s">
        <v>1403</v>
      </c>
      <c r="G1082" s="3" t="n">
        <v>3100</v>
      </c>
      <c r="H1082" s="3"/>
      <c r="I1082" s="3" t="s">
        <v>1415</v>
      </c>
      <c r="J1082" s="4" t="str">
        <f aca="false">IF(AND($A1082&lt;&gt;"",$A1082=Подбор!$C$4),MAX(J$1:J1081)+1,"")</f>
        <v/>
      </c>
    </row>
    <row r="1083" customFormat="false" ht="15" hidden="false" customHeight="false" outlineLevel="0" collapsed="false">
      <c r="A1083" s="3" t="s">
        <v>1146</v>
      </c>
      <c r="B1083" s="3" t="s">
        <v>57</v>
      </c>
      <c r="C1083" s="3" t="s">
        <v>11</v>
      </c>
      <c r="D1083" s="3" t="s">
        <v>12</v>
      </c>
      <c r="E1083" s="3" t="s">
        <v>1483</v>
      </c>
      <c r="F1083" s="3" t="s">
        <v>1403</v>
      </c>
      <c r="G1083" s="3" t="n">
        <v>3100</v>
      </c>
      <c r="H1083" s="3"/>
      <c r="I1083" s="3" t="s">
        <v>1415</v>
      </c>
      <c r="J1083" s="4" t="str">
        <f aca="false">IF(AND($A1083&lt;&gt;"",$A1083=Подбор!$C$4),MAX(J$1:J1082)+1,"")</f>
        <v/>
      </c>
    </row>
    <row r="1084" customFormat="false" ht="15" hidden="false" customHeight="false" outlineLevel="0" collapsed="false">
      <c r="A1084" s="3" t="s">
        <v>1147</v>
      </c>
      <c r="B1084" s="3" t="s">
        <v>57</v>
      </c>
      <c r="C1084" s="3" t="s">
        <v>11</v>
      </c>
      <c r="D1084" s="3" t="s">
        <v>12</v>
      </c>
      <c r="E1084" s="3" t="s">
        <v>1916</v>
      </c>
      <c r="F1084" s="3" t="s">
        <v>1403</v>
      </c>
      <c r="G1084" s="3" t="n">
        <v>3000</v>
      </c>
      <c r="H1084" s="3"/>
      <c r="I1084" s="3" t="s">
        <v>1415</v>
      </c>
      <c r="J1084" s="4" t="str">
        <f aca="false">IF(AND($A1084&lt;&gt;"",$A1084=Подбор!$C$4),MAX(J$1:J1083)+1,"")</f>
        <v/>
      </c>
    </row>
    <row r="1085" customFormat="false" ht="15" hidden="false" customHeight="false" outlineLevel="0" collapsed="false">
      <c r="A1085" s="3" t="s">
        <v>1147</v>
      </c>
      <c r="B1085" s="3" t="s">
        <v>57</v>
      </c>
      <c r="C1085" s="3" t="s">
        <v>11</v>
      </c>
      <c r="D1085" s="3" t="s">
        <v>12</v>
      </c>
      <c r="E1085" s="3" t="s">
        <v>1917</v>
      </c>
      <c r="F1085" s="3" t="s">
        <v>1403</v>
      </c>
      <c r="G1085" s="3" t="n">
        <v>3000</v>
      </c>
      <c r="H1085" s="3"/>
      <c r="I1085" s="3" t="s">
        <v>1415</v>
      </c>
      <c r="J1085" s="4" t="str">
        <f aca="false">IF(AND($A1085&lt;&gt;"",$A1085=Подбор!$C$4),MAX(J$1:J1084)+1,"")</f>
        <v/>
      </c>
    </row>
    <row r="1086" customFormat="false" ht="15" hidden="false" customHeight="false" outlineLevel="0" collapsed="false">
      <c r="A1086" s="3" t="s">
        <v>1149</v>
      </c>
      <c r="B1086" s="3" t="s">
        <v>57</v>
      </c>
      <c r="C1086" s="3" t="s">
        <v>11</v>
      </c>
      <c r="D1086" s="3" t="s">
        <v>12</v>
      </c>
      <c r="E1086" s="3" t="s">
        <v>1917</v>
      </c>
      <c r="F1086" s="3" t="s">
        <v>1403</v>
      </c>
      <c r="G1086" s="3" t="n">
        <v>3000</v>
      </c>
      <c r="H1086" s="3"/>
      <c r="I1086" s="3" t="s">
        <v>1415</v>
      </c>
      <c r="J1086" s="4" t="str">
        <f aca="false">IF(AND($A1086&lt;&gt;"",$A1086=Подбор!$C$4),MAX(J$1:J1085)+1,"")</f>
        <v/>
      </c>
    </row>
    <row r="1087" customFormat="false" ht="15" hidden="false" customHeight="false" outlineLevel="0" collapsed="false">
      <c r="A1087" s="3" t="s">
        <v>1150</v>
      </c>
      <c r="B1087" s="3" t="s">
        <v>57</v>
      </c>
      <c r="C1087" s="3" t="s">
        <v>11</v>
      </c>
      <c r="D1087" s="3" t="s">
        <v>12</v>
      </c>
      <c r="E1087" s="3" t="s">
        <v>1906</v>
      </c>
      <c r="F1087" s="3" t="s">
        <v>1403</v>
      </c>
      <c r="G1087" s="3" t="n">
        <v>20000</v>
      </c>
      <c r="H1087" s="3"/>
      <c r="I1087" s="3" t="s">
        <v>1415</v>
      </c>
      <c r="J1087" s="4" t="str">
        <f aca="false">IF(AND($A1087&lt;&gt;"",$A1087=Подбор!$C$4),MAX(J$1:J1086)+1,"")</f>
        <v/>
      </c>
    </row>
    <row r="1088" customFormat="false" ht="15" hidden="false" customHeight="false" outlineLevel="0" collapsed="false">
      <c r="A1088" s="3" t="s">
        <v>1150</v>
      </c>
      <c r="B1088" s="3" t="s">
        <v>57</v>
      </c>
      <c r="C1088" s="3" t="s">
        <v>11</v>
      </c>
      <c r="D1088" s="3" t="s">
        <v>12</v>
      </c>
      <c r="E1088" s="3" t="s">
        <v>1907</v>
      </c>
      <c r="F1088" s="3" t="s">
        <v>1421</v>
      </c>
      <c r="G1088" s="3" t="n">
        <v>20000</v>
      </c>
      <c r="H1088" s="3"/>
      <c r="I1088" s="3" t="s">
        <v>1415</v>
      </c>
      <c r="J1088" s="4" t="str">
        <f aca="false">IF(AND($A1088&lt;&gt;"",$A1088=Подбор!$C$4),MAX(J$1:J1087)+1,"")</f>
        <v/>
      </c>
    </row>
    <row r="1089" customFormat="false" ht="15" hidden="false" customHeight="false" outlineLevel="0" collapsed="false">
      <c r="A1089" s="3" t="s">
        <v>1151</v>
      </c>
      <c r="B1089" s="3" t="s">
        <v>57</v>
      </c>
      <c r="C1089" s="3" t="s">
        <v>11</v>
      </c>
      <c r="D1089" s="3" t="s">
        <v>12</v>
      </c>
      <c r="E1089" s="3" t="s">
        <v>1554</v>
      </c>
      <c r="F1089" s="3" t="s">
        <v>1403</v>
      </c>
      <c r="G1089" s="3" t="n">
        <v>2700</v>
      </c>
      <c r="H1089" s="3"/>
      <c r="I1089" s="3" t="s">
        <v>1415</v>
      </c>
      <c r="J1089" s="4" t="str">
        <f aca="false">IF(AND($A1089&lt;&gt;"",$A1089=Подбор!$C$4),MAX(J$1:J1088)+1,"")</f>
        <v/>
      </c>
    </row>
    <row r="1090" customFormat="false" ht="15" hidden="false" customHeight="false" outlineLevel="0" collapsed="false">
      <c r="A1090" s="3" t="s">
        <v>1152</v>
      </c>
      <c r="B1090" s="3" t="s">
        <v>57</v>
      </c>
      <c r="C1090" s="3" t="s">
        <v>11</v>
      </c>
      <c r="D1090" s="3" t="s">
        <v>12</v>
      </c>
      <c r="E1090" s="3" t="s">
        <v>1554</v>
      </c>
      <c r="F1090" s="3" t="s">
        <v>1403</v>
      </c>
      <c r="G1090" s="3" t="n">
        <v>2700</v>
      </c>
      <c r="H1090" s="3"/>
      <c r="I1090" s="3" t="s">
        <v>1415</v>
      </c>
      <c r="J1090" s="4" t="str">
        <f aca="false">IF(AND($A1090&lt;&gt;"",$A1090=Подбор!$C$4),MAX(J$1:J1089)+1,"")</f>
        <v/>
      </c>
    </row>
    <row r="1091" customFormat="false" ht="15" hidden="false" customHeight="false" outlineLevel="0" collapsed="false">
      <c r="A1091" s="3" t="s">
        <v>1153</v>
      </c>
      <c r="B1091" s="3" t="s">
        <v>10</v>
      </c>
      <c r="C1091" s="3" t="s">
        <v>11</v>
      </c>
      <c r="D1091" s="3" t="s">
        <v>12</v>
      </c>
      <c r="E1091" s="3" t="s">
        <v>15</v>
      </c>
      <c r="F1091" s="3"/>
      <c r="G1091" s="3"/>
      <c r="H1091" s="3"/>
      <c r="I1091" s="3"/>
      <c r="J1091" s="4" t="str">
        <f aca="false">IF(AND($A1091&lt;&gt;"",$A1091=Подбор!$C$4),MAX(J$1:J1090)+1,"")</f>
        <v/>
      </c>
    </row>
    <row r="1092" customFormat="false" ht="15" hidden="false" customHeight="false" outlineLevel="0" collapsed="false">
      <c r="A1092" s="3" t="s">
        <v>1155</v>
      </c>
      <c r="B1092" s="3" t="s">
        <v>156</v>
      </c>
      <c r="C1092" s="3" t="s">
        <v>11</v>
      </c>
      <c r="D1092" s="3" t="s">
        <v>12</v>
      </c>
      <c r="E1092" s="3" t="s">
        <v>15</v>
      </c>
      <c r="F1092" s="3"/>
      <c r="G1092" s="3"/>
      <c r="H1092" s="3"/>
      <c r="I1092" s="3"/>
      <c r="J1092" s="4" t="str">
        <f aca="false">IF(AND($A1092&lt;&gt;"",$A1092=Подбор!$C$4),MAX(J$1:J1091)+1,"")</f>
        <v/>
      </c>
    </row>
    <row r="1093" customFormat="false" ht="15" hidden="false" customHeight="false" outlineLevel="0" collapsed="false">
      <c r="A1093" s="3" t="s">
        <v>1157</v>
      </c>
      <c r="B1093" s="3" t="s">
        <v>68</v>
      </c>
      <c r="C1093" s="3" t="s">
        <v>11</v>
      </c>
      <c r="D1093" s="3" t="s">
        <v>12</v>
      </c>
      <c r="E1093" s="3" t="s">
        <v>1918</v>
      </c>
      <c r="F1093" s="3" t="s">
        <v>1403</v>
      </c>
      <c r="G1093" s="3" t="n">
        <v>3500</v>
      </c>
      <c r="H1093" s="3"/>
      <c r="I1093" s="3" t="s">
        <v>1415</v>
      </c>
      <c r="J1093" s="4" t="str">
        <f aca="false">IF(AND($A1093&lt;&gt;"",$A1093=Подбор!$C$4),MAX(J$1:J1092)+1,"")</f>
        <v/>
      </c>
    </row>
    <row r="1094" customFormat="false" ht="15" hidden="false" customHeight="false" outlineLevel="0" collapsed="false">
      <c r="A1094" s="3" t="s">
        <v>1159</v>
      </c>
      <c r="B1094" s="3" t="s">
        <v>68</v>
      </c>
      <c r="C1094" s="3" t="s">
        <v>11</v>
      </c>
      <c r="D1094" s="3" t="s">
        <v>12</v>
      </c>
      <c r="E1094" s="3" t="s">
        <v>1872</v>
      </c>
      <c r="F1094" s="3" t="s">
        <v>1403</v>
      </c>
      <c r="G1094" s="3" t="n">
        <v>7200</v>
      </c>
      <c r="H1094" s="3"/>
      <c r="I1094" s="3" t="s">
        <v>1415</v>
      </c>
      <c r="J1094" s="4" t="str">
        <f aca="false">IF(AND($A1094&lt;&gt;"",$A1094=Подбор!$C$4),MAX(J$1:J1093)+1,"")</f>
        <v/>
      </c>
    </row>
    <row r="1095" customFormat="false" ht="15" hidden="false" customHeight="false" outlineLevel="0" collapsed="false">
      <c r="A1095" s="3" t="s">
        <v>1160</v>
      </c>
      <c r="B1095" s="3" t="s">
        <v>68</v>
      </c>
      <c r="C1095" s="3" t="s">
        <v>11</v>
      </c>
      <c r="D1095" s="3" t="s">
        <v>12</v>
      </c>
      <c r="E1095" s="3" t="s">
        <v>1919</v>
      </c>
      <c r="F1095" s="3" t="s">
        <v>1403</v>
      </c>
      <c r="G1095" s="3" t="n">
        <v>20000</v>
      </c>
      <c r="H1095" s="3"/>
      <c r="I1095" s="3" t="s">
        <v>1415</v>
      </c>
      <c r="J1095" s="4" t="str">
        <f aca="false">IF(AND($A1095&lt;&gt;"",$A1095=Подбор!$C$4),MAX(J$1:J1094)+1,"")</f>
        <v/>
      </c>
    </row>
    <row r="1096" customFormat="false" ht="15" hidden="false" customHeight="false" outlineLevel="0" collapsed="false">
      <c r="A1096" s="3" t="s">
        <v>1162</v>
      </c>
      <c r="B1096" s="3" t="s">
        <v>84</v>
      </c>
      <c r="C1096" s="3" t="s">
        <v>11</v>
      </c>
      <c r="D1096" s="3" t="s">
        <v>12</v>
      </c>
      <c r="E1096" s="3" t="s">
        <v>1844</v>
      </c>
      <c r="F1096" s="3" t="s">
        <v>1403</v>
      </c>
      <c r="G1096" s="3" t="n">
        <v>2100</v>
      </c>
      <c r="H1096" s="3"/>
      <c r="I1096" s="3" t="s">
        <v>1415</v>
      </c>
      <c r="J1096" s="4" t="str">
        <f aca="false">IF(AND($A1096&lt;&gt;"",$A1096=Подбор!$C$4),MAX(J$1:J1095)+1,"")</f>
        <v/>
      </c>
    </row>
    <row r="1097" customFormat="false" ht="15" hidden="false" customHeight="false" outlineLevel="0" collapsed="false">
      <c r="A1097" s="3" t="s">
        <v>1163</v>
      </c>
      <c r="B1097" s="3" t="s">
        <v>84</v>
      </c>
      <c r="C1097" s="3" t="s">
        <v>11</v>
      </c>
      <c r="D1097" s="3" t="s">
        <v>12</v>
      </c>
      <c r="E1097" s="3" t="s">
        <v>1920</v>
      </c>
      <c r="F1097" s="3" t="s">
        <v>1921</v>
      </c>
      <c r="G1097" s="3"/>
      <c r="H1097" s="3"/>
      <c r="I1097" s="3"/>
      <c r="J1097" s="4" t="str">
        <f aca="false">IF(AND($A1097&lt;&gt;"",$A1097=Подбор!$C$4),MAX(J$1:J1096)+1,"")</f>
        <v/>
      </c>
    </row>
    <row r="1098" customFormat="false" ht="15" hidden="false" customHeight="false" outlineLevel="0" collapsed="false">
      <c r="A1098" s="3" t="s">
        <v>1165</v>
      </c>
      <c r="B1098" s="3" t="s">
        <v>68</v>
      </c>
      <c r="C1098" s="3" t="s">
        <v>11</v>
      </c>
      <c r="D1098" s="3" t="s">
        <v>12</v>
      </c>
      <c r="E1098" s="3" t="s">
        <v>1922</v>
      </c>
      <c r="F1098" s="3" t="s">
        <v>1403</v>
      </c>
      <c r="G1098" s="3" t="n">
        <v>15000</v>
      </c>
      <c r="H1098" s="3"/>
      <c r="I1098" s="3" t="s">
        <v>1415</v>
      </c>
      <c r="J1098" s="4" t="str">
        <f aca="false">IF(AND($A1098&lt;&gt;"",$A1098=Подбор!$C$4),MAX(J$1:J1097)+1,"")</f>
        <v/>
      </c>
    </row>
    <row r="1099" customFormat="false" ht="15" hidden="false" customHeight="false" outlineLevel="0" collapsed="false">
      <c r="A1099" s="3" t="s">
        <v>1166</v>
      </c>
      <c r="B1099" s="3" t="s">
        <v>84</v>
      </c>
      <c r="C1099" s="3" t="s">
        <v>11</v>
      </c>
      <c r="D1099" s="3" t="s">
        <v>12</v>
      </c>
      <c r="E1099" s="3" t="s">
        <v>1923</v>
      </c>
      <c r="F1099" s="3" t="s">
        <v>1403</v>
      </c>
      <c r="G1099" s="3"/>
      <c r="H1099" s="3"/>
      <c r="I1099" s="3"/>
      <c r="J1099" s="4" t="str">
        <f aca="false">IF(AND($A1099&lt;&gt;"",$A1099=Подбор!$C$4),MAX(J$1:J1098)+1,"")</f>
        <v/>
      </c>
    </row>
    <row r="1100" customFormat="false" ht="15" hidden="false" customHeight="false" outlineLevel="0" collapsed="false">
      <c r="A1100" s="3" t="s">
        <v>1168</v>
      </c>
      <c r="B1100" s="3" t="s">
        <v>68</v>
      </c>
      <c r="C1100" s="3" t="s">
        <v>11</v>
      </c>
      <c r="D1100" s="3" t="s">
        <v>12</v>
      </c>
      <c r="E1100" s="3" t="s">
        <v>1924</v>
      </c>
      <c r="F1100" s="3" t="s">
        <v>1403</v>
      </c>
      <c r="G1100" s="3" t="n">
        <v>7200</v>
      </c>
      <c r="H1100" s="3"/>
      <c r="I1100" s="3" t="s">
        <v>1415</v>
      </c>
      <c r="J1100" s="4" t="str">
        <f aca="false">IF(AND($A1100&lt;&gt;"",$A1100=Подбор!$C$4),MAX(J$1:J1099)+1,"")</f>
        <v/>
      </c>
    </row>
    <row r="1101" customFormat="false" ht="15" hidden="false" customHeight="false" outlineLevel="0" collapsed="false">
      <c r="A1101" s="3" t="s">
        <v>1170</v>
      </c>
      <c r="B1101" s="3" t="s">
        <v>68</v>
      </c>
      <c r="C1101" s="3" t="s">
        <v>11</v>
      </c>
      <c r="D1101" s="3" t="s">
        <v>12</v>
      </c>
      <c r="E1101" s="3" t="s">
        <v>1924</v>
      </c>
      <c r="F1101" s="3" t="s">
        <v>1403</v>
      </c>
      <c r="G1101" s="3" t="n">
        <v>7200</v>
      </c>
      <c r="H1101" s="3"/>
      <c r="I1101" s="3" t="s">
        <v>1415</v>
      </c>
      <c r="J1101" s="4" t="str">
        <f aca="false">IF(AND($A1101&lt;&gt;"",$A1101=Подбор!$C$4),MAX(J$1:J1100)+1,"")</f>
        <v/>
      </c>
    </row>
    <row r="1102" customFormat="false" ht="15" hidden="false" customHeight="false" outlineLevel="0" collapsed="false">
      <c r="A1102" s="3" t="s">
        <v>1171</v>
      </c>
      <c r="B1102" s="3" t="s">
        <v>84</v>
      </c>
      <c r="C1102" s="3" t="s">
        <v>11</v>
      </c>
      <c r="D1102" s="3" t="s">
        <v>12</v>
      </c>
      <c r="E1102" s="3" t="s">
        <v>1925</v>
      </c>
      <c r="F1102" s="3" t="s">
        <v>1403</v>
      </c>
      <c r="G1102" s="3"/>
      <c r="H1102" s="3"/>
      <c r="I1102" s="3"/>
      <c r="J1102" s="4" t="str">
        <f aca="false">IF(AND($A1102&lt;&gt;"",$A1102=Подбор!$C$4),MAX(J$1:J1101)+1,"")</f>
        <v/>
      </c>
    </row>
    <row r="1103" customFormat="false" ht="15" hidden="false" customHeight="false" outlineLevel="0" collapsed="false">
      <c r="A1103" s="3" t="s">
        <v>1173</v>
      </c>
      <c r="B1103" s="3" t="s">
        <v>84</v>
      </c>
      <c r="C1103" s="3" t="s">
        <v>11</v>
      </c>
      <c r="D1103" s="3" t="s">
        <v>12</v>
      </c>
      <c r="E1103" s="3" t="s">
        <v>1920</v>
      </c>
      <c r="F1103" s="3" t="s">
        <v>1921</v>
      </c>
      <c r="G1103" s="3"/>
      <c r="H1103" s="3"/>
      <c r="I1103" s="3"/>
      <c r="J1103" s="4" t="str">
        <f aca="false">IF(AND($A1103&lt;&gt;"",$A1103=Подбор!$C$4),MAX(J$1:J1102)+1,"")</f>
        <v/>
      </c>
    </row>
    <row r="1104" customFormat="false" ht="15" hidden="false" customHeight="false" outlineLevel="0" collapsed="false">
      <c r="A1104" s="3" t="s">
        <v>1174</v>
      </c>
      <c r="B1104" s="3" t="s">
        <v>84</v>
      </c>
      <c r="C1104" s="3" t="s">
        <v>11</v>
      </c>
      <c r="D1104" s="3" t="s">
        <v>12</v>
      </c>
      <c r="E1104" s="3" t="s">
        <v>1926</v>
      </c>
      <c r="F1104" s="3" t="s">
        <v>1403</v>
      </c>
      <c r="G1104" s="3"/>
      <c r="H1104" s="3"/>
      <c r="I1104" s="3"/>
      <c r="J1104" s="4" t="str">
        <f aca="false">IF(AND($A1104&lt;&gt;"",$A1104=Подбор!$C$4),MAX(J$1:J1103)+1,"")</f>
        <v/>
      </c>
    </row>
    <row r="1105" customFormat="false" ht="15" hidden="false" customHeight="false" outlineLevel="0" collapsed="false">
      <c r="A1105" s="3" t="s">
        <v>1176</v>
      </c>
      <c r="B1105" s="3" t="s">
        <v>84</v>
      </c>
      <c r="C1105" s="3" t="s">
        <v>11</v>
      </c>
      <c r="D1105" s="3" t="s">
        <v>12</v>
      </c>
      <c r="E1105" s="3" t="s">
        <v>1926</v>
      </c>
      <c r="F1105" s="3" t="s">
        <v>1403</v>
      </c>
      <c r="G1105" s="3"/>
      <c r="H1105" s="3"/>
      <c r="I1105" s="3"/>
      <c r="J1105" s="4" t="str">
        <f aca="false">IF(AND($A1105&lt;&gt;"",$A1105=Подбор!$C$4),MAX(J$1:J1104)+1,"")</f>
        <v/>
      </c>
    </row>
    <row r="1106" customFormat="false" ht="15" hidden="false" customHeight="false" outlineLevel="0" collapsed="false">
      <c r="A1106" s="3" t="s">
        <v>1177</v>
      </c>
      <c r="B1106" s="3" t="s">
        <v>68</v>
      </c>
      <c r="C1106" s="3" t="s">
        <v>11</v>
      </c>
      <c r="D1106" s="3" t="s">
        <v>12</v>
      </c>
      <c r="E1106" s="3" t="s">
        <v>1927</v>
      </c>
      <c r="F1106" s="3" t="s">
        <v>1403</v>
      </c>
      <c r="G1106" s="3" t="n">
        <v>20000</v>
      </c>
      <c r="H1106" s="3"/>
      <c r="I1106" s="3" t="s">
        <v>1415</v>
      </c>
      <c r="J1106" s="4" t="str">
        <f aca="false">IF(AND($A1106&lt;&gt;"",$A1106=Подбор!$C$4),MAX(J$1:J1105)+1,"")</f>
        <v/>
      </c>
    </row>
    <row r="1107" customFormat="false" ht="15" hidden="false" customHeight="false" outlineLevel="0" collapsed="false">
      <c r="A1107" s="3" t="s">
        <v>1181</v>
      </c>
      <c r="B1107" s="3" t="s">
        <v>68</v>
      </c>
      <c r="C1107" s="3" t="s">
        <v>11</v>
      </c>
      <c r="D1107" s="3" t="s">
        <v>12</v>
      </c>
      <c r="E1107" s="3" t="s">
        <v>1928</v>
      </c>
      <c r="F1107" s="3" t="s">
        <v>1403</v>
      </c>
      <c r="G1107" s="3"/>
      <c r="H1107" s="3"/>
      <c r="I1107" s="3"/>
      <c r="J1107" s="4" t="str">
        <f aca="false">IF(AND($A1107&lt;&gt;"",$A1107=Подбор!$C$4),MAX(J$1:J1106)+1,"")</f>
        <v/>
      </c>
    </row>
    <row r="1108" customFormat="false" ht="15" hidden="false" customHeight="false" outlineLevel="0" collapsed="false">
      <c r="A1108" s="3" t="s">
        <v>1183</v>
      </c>
      <c r="B1108" s="3" t="s">
        <v>68</v>
      </c>
      <c r="C1108" s="3" t="s">
        <v>11</v>
      </c>
      <c r="D1108" s="3" t="s">
        <v>12</v>
      </c>
      <c r="E1108" s="3" t="s">
        <v>1929</v>
      </c>
      <c r="F1108" s="3" t="s">
        <v>1403</v>
      </c>
      <c r="G1108" s="3" t="n">
        <v>12500</v>
      </c>
      <c r="H1108" s="3"/>
      <c r="I1108" s="3" t="s">
        <v>1415</v>
      </c>
      <c r="J1108" s="4" t="str">
        <f aca="false">IF(AND($A1108&lt;&gt;"",$A1108=Подбор!$C$4),MAX(J$1:J1107)+1,"")</f>
        <v/>
      </c>
    </row>
    <row r="1109" customFormat="false" ht="15" hidden="false" customHeight="false" outlineLevel="0" collapsed="false">
      <c r="A1109" s="3" t="s">
        <v>1183</v>
      </c>
      <c r="B1109" s="3" t="s">
        <v>68</v>
      </c>
      <c r="C1109" s="3" t="s">
        <v>11</v>
      </c>
      <c r="D1109" s="3" t="s">
        <v>12</v>
      </c>
      <c r="E1109" s="3" t="s">
        <v>1930</v>
      </c>
      <c r="F1109" s="3" t="s">
        <v>1421</v>
      </c>
      <c r="G1109" s="3" t="n">
        <v>12500</v>
      </c>
      <c r="H1109" s="3"/>
      <c r="I1109" s="3" t="s">
        <v>1415</v>
      </c>
      <c r="J1109" s="4" t="str">
        <f aca="false">IF(AND($A1109&lt;&gt;"",$A1109=Подбор!$C$4),MAX(J$1:J1108)+1,"")</f>
        <v/>
      </c>
    </row>
    <row r="1110" customFormat="false" ht="15" hidden="false" customHeight="false" outlineLevel="0" collapsed="false">
      <c r="A1110" s="3" t="s">
        <v>1185</v>
      </c>
      <c r="B1110" s="3" t="s">
        <v>68</v>
      </c>
      <c r="C1110" s="3" t="s">
        <v>11</v>
      </c>
      <c r="D1110" s="3" t="s">
        <v>12</v>
      </c>
      <c r="E1110" s="3" t="s">
        <v>1929</v>
      </c>
      <c r="F1110" s="3" t="s">
        <v>1403</v>
      </c>
      <c r="G1110" s="3" t="n">
        <v>12500</v>
      </c>
      <c r="H1110" s="3"/>
      <c r="I1110" s="3" t="s">
        <v>1415</v>
      </c>
      <c r="J1110" s="4" t="str">
        <f aca="false">IF(AND($A1110&lt;&gt;"",$A1110=Подбор!$C$4),MAX(J$1:J1109)+1,"")</f>
        <v/>
      </c>
    </row>
    <row r="1111" customFormat="false" ht="15" hidden="false" customHeight="false" outlineLevel="0" collapsed="false">
      <c r="A1111" s="3" t="s">
        <v>1186</v>
      </c>
      <c r="B1111" s="3" t="s">
        <v>68</v>
      </c>
      <c r="C1111" s="3" t="s">
        <v>11</v>
      </c>
      <c r="D1111" s="3" t="s">
        <v>12</v>
      </c>
      <c r="E1111" s="3" t="s">
        <v>1894</v>
      </c>
      <c r="F1111" s="3" t="s">
        <v>1403</v>
      </c>
      <c r="G1111" s="3" t="n">
        <v>3000</v>
      </c>
      <c r="H1111" s="3"/>
      <c r="I1111" s="3" t="s">
        <v>1415</v>
      </c>
      <c r="J1111" s="4" t="str">
        <f aca="false">IF(AND($A1111&lt;&gt;"",$A1111=Подбор!$C$4),MAX(J$1:J1110)+1,"")</f>
        <v/>
      </c>
    </row>
    <row r="1112" customFormat="false" ht="15" hidden="false" customHeight="false" outlineLevel="0" collapsed="false">
      <c r="A1112" s="3" t="s">
        <v>1187</v>
      </c>
      <c r="B1112" s="3" t="s">
        <v>68</v>
      </c>
      <c r="C1112" s="3" t="s">
        <v>11</v>
      </c>
      <c r="D1112" s="3" t="s">
        <v>12</v>
      </c>
      <c r="E1112" s="3" t="s">
        <v>1894</v>
      </c>
      <c r="F1112" s="3" t="s">
        <v>1403</v>
      </c>
      <c r="G1112" s="3" t="n">
        <v>3000</v>
      </c>
      <c r="H1112" s="3"/>
      <c r="I1112" s="3" t="s">
        <v>1415</v>
      </c>
      <c r="J1112" s="4" t="str">
        <f aca="false">IF(AND($A1112&lt;&gt;"",$A1112=Подбор!$C$4),MAX(J$1:J1111)+1,"")</f>
        <v/>
      </c>
    </row>
    <row r="1113" customFormat="false" ht="15" hidden="false" customHeight="false" outlineLevel="0" collapsed="false">
      <c r="A1113" s="3" t="s">
        <v>1188</v>
      </c>
      <c r="B1113" s="3" t="s">
        <v>68</v>
      </c>
      <c r="C1113" s="3" t="s">
        <v>11</v>
      </c>
      <c r="D1113" s="3" t="s">
        <v>12</v>
      </c>
      <c r="E1113" s="3" t="s">
        <v>1931</v>
      </c>
      <c r="F1113" s="3" t="s">
        <v>1403</v>
      </c>
      <c r="G1113" s="3"/>
      <c r="H1113" s="3"/>
      <c r="I1113" s="3"/>
      <c r="J1113" s="4" t="str">
        <f aca="false">IF(AND($A1113&lt;&gt;"",$A1113=Подбор!$C$4),MAX(J$1:J1112)+1,"")</f>
        <v/>
      </c>
    </row>
    <row r="1114" customFormat="false" ht="15" hidden="false" customHeight="false" outlineLevel="0" collapsed="false">
      <c r="A1114" s="3" t="s">
        <v>1190</v>
      </c>
      <c r="B1114" s="3" t="s">
        <v>10</v>
      </c>
      <c r="C1114" s="3" t="s">
        <v>11</v>
      </c>
      <c r="D1114" s="3" t="s">
        <v>12</v>
      </c>
      <c r="E1114" s="3" t="s">
        <v>1441</v>
      </c>
      <c r="F1114" s="3" t="s">
        <v>1421</v>
      </c>
      <c r="G1114" s="3" t="n">
        <v>35000</v>
      </c>
      <c r="H1114" s="3"/>
      <c r="I1114" s="3" t="s">
        <v>1415</v>
      </c>
      <c r="J1114" s="4" t="str">
        <f aca="false">IF(AND($A1114&lt;&gt;"",$A1114=Подбор!$C$4),MAX(J$1:J1113)+1,"")</f>
        <v/>
      </c>
    </row>
    <row r="1115" customFormat="false" ht="15" hidden="false" customHeight="false" outlineLevel="0" collapsed="false">
      <c r="A1115" s="3" t="s">
        <v>1191</v>
      </c>
      <c r="B1115" s="3" t="s">
        <v>68</v>
      </c>
      <c r="C1115" s="3" t="s">
        <v>11</v>
      </c>
      <c r="D1115" s="3" t="s">
        <v>12</v>
      </c>
      <c r="E1115" s="3" t="s">
        <v>1932</v>
      </c>
      <c r="F1115" s="3" t="s">
        <v>1403</v>
      </c>
      <c r="G1115" s="3" t="n">
        <v>25000</v>
      </c>
      <c r="H1115" s="3"/>
      <c r="I1115" s="3" t="s">
        <v>1415</v>
      </c>
      <c r="J1115" s="4" t="str">
        <f aca="false">IF(AND($A1115&lt;&gt;"",$A1115=Подбор!$C$4),MAX(J$1:J1114)+1,"")</f>
        <v/>
      </c>
    </row>
    <row r="1116" customFormat="false" ht="15" hidden="false" customHeight="false" outlineLevel="0" collapsed="false">
      <c r="A1116" s="3" t="s">
        <v>1191</v>
      </c>
      <c r="B1116" s="3" t="s">
        <v>68</v>
      </c>
      <c r="C1116" s="3" t="s">
        <v>11</v>
      </c>
      <c r="D1116" s="3" t="s">
        <v>21</v>
      </c>
      <c r="E1116" s="3" t="s">
        <v>1933</v>
      </c>
      <c r="F1116" s="3" t="s">
        <v>1403</v>
      </c>
      <c r="G1116" s="3" t="n">
        <v>15000</v>
      </c>
      <c r="H1116" s="3"/>
      <c r="I1116" s="3" t="s">
        <v>1415</v>
      </c>
      <c r="J1116" s="4" t="str">
        <f aca="false">IF(AND($A1116&lt;&gt;"",$A1116=Подбор!$C$4),MAX(J$1:J1115)+1,"")</f>
        <v/>
      </c>
    </row>
    <row r="1117" customFormat="false" ht="15" hidden="false" customHeight="false" outlineLevel="0" collapsed="false">
      <c r="A1117" s="3" t="s">
        <v>1191</v>
      </c>
      <c r="B1117" s="3" t="s">
        <v>68</v>
      </c>
      <c r="C1117" s="3" t="s">
        <v>11</v>
      </c>
      <c r="D1117" s="3" t="s">
        <v>23</v>
      </c>
      <c r="E1117" s="3" t="s">
        <v>1934</v>
      </c>
      <c r="F1117" s="3" t="s">
        <v>1403</v>
      </c>
      <c r="G1117" s="3" t="n">
        <v>15000</v>
      </c>
      <c r="H1117" s="3"/>
      <c r="I1117" s="3" t="s">
        <v>1415</v>
      </c>
      <c r="J1117" s="4" t="str">
        <f aca="false">IF(AND($A1117&lt;&gt;"",$A1117=Подбор!$C$4),MAX(J$1:J1116)+1,"")</f>
        <v/>
      </c>
    </row>
    <row r="1118" customFormat="false" ht="15" hidden="false" customHeight="false" outlineLevel="0" collapsed="false">
      <c r="A1118" s="3" t="s">
        <v>1191</v>
      </c>
      <c r="B1118" s="3" t="s">
        <v>68</v>
      </c>
      <c r="C1118" s="3" t="s">
        <v>11</v>
      </c>
      <c r="D1118" s="3" t="s">
        <v>25</v>
      </c>
      <c r="E1118" s="3" t="s">
        <v>1935</v>
      </c>
      <c r="F1118" s="3" t="s">
        <v>1403</v>
      </c>
      <c r="G1118" s="3" t="n">
        <v>15000</v>
      </c>
      <c r="H1118" s="3"/>
      <c r="I1118" s="3" t="s">
        <v>1415</v>
      </c>
      <c r="J1118" s="4" t="str">
        <f aca="false">IF(AND($A1118&lt;&gt;"",$A1118=Подбор!$C$4),MAX(J$1:J1117)+1,"")</f>
        <v/>
      </c>
    </row>
    <row r="1119" customFormat="false" ht="15" hidden="false" customHeight="false" outlineLevel="0" collapsed="false">
      <c r="A1119" s="3" t="s">
        <v>1196</v>
      </c>
      <c r="B1119" s="3" t="s">
        <v>68</v>
      </c>
      <c r="C1119" s="3" t="s">
        <v>11</v>
      </c>
      <c r="D1119" s="3" t="s">
        <v>12</v>
      </c>
      <c r="E1119" s="3" t="s">
        <v>15</v>
      </c>
      <c r="F1119" s="3"/>
      <c r="G1119" s="3"/>
      <c r="H1119" s="3"/>
      <c r="I1119" s="3"/>
      <c r="J1119" s="4" t="str">
        <f aca="false">IF(AND($A1119&lt;&gt;"",$A1119=Подбор!$C$4),MAX(J$1:J1118)+1,"")</f>
        <v/>
      </c>
    </row>
    <row r="1120" customFormat="false" ht="15" hidden="false" customHeight="false" outlineLevel="0" collapsed="false">
      <c r="A1120" s="3" t="s">
        <v>1198</v>
      </c>
      <c r="B1120" s="3" t="s">
        <v>84</v>
      </c>
      <c r="C1120" s="3" t="s">
        <v>11</v>
      </c>
      <c r="D1120" s="3" t="s">
        <v>12</v>
      </c>
      <c r="E1120" s="3" t="s">
        <v>15</v>
      </c>
      <c r="F1120" s="3"/>
      <c r="G1120" s="3"/>
      <c r="H1120" s="3"/>
      <c r="I1120" s="3"/>
      <c r="J1120" s="4" t="str">
        <f aca="false">IF(AND($A1120&lt;&gt;"",$A1120=Подбор!$C$4),MAX(J$1:J1119)+1,"")</f>
        <v/>
      </c>
    </row>
    <row r="1121" customFormat="false" ht="15" hidden="false" customHeight="false" outlineLevel="0" collapsed="false">
      <c r="A1121" s="3" t="s">
        <v>1200</v>
      </c>
      <c r="B1121" s="3" t="s">
        <v>57</v>
      </c>
      <c r="C1121" s="3" t="s">
        <v>567</v>
      </c>
      <c r="D1121" s="3" t="s">
        <v>12</v>
      </c>
      <c r="E1121" s="3" t="s">
        <v>15</v>
      </c>
      <c r="F1121" s="3"/>
      <c r="G1121" s="3"/>
      <c r="H1121" s="3"/>
      <c r="I1121" s="3"/>
      <c r="J1121" s="4" t="str">
        <f aca="false">IF(AND($A1121&lt;&gt;"",$A1121=Подбор!$C$4),MAX(J$1:J1120)+1,"")</f>
        <v/>
      </c>
    </row>
    <row r="1122" customFormat="false" ht="15" hidden="false" customHeight="false" outlineLevel="0" collapsed="false">
      <c r="A1122" s="3" t="s">
        <v>1201</v>
      </c>
      <c r="B1122" s="3" t="s">
        <v>84</v>
      </c>
      <c r="C1122" s="3" t="s">
        <v>11</v>
      </c>
      <c r="D1122" s="3" t="s">
        <v>12</v>
      </c>
      <c r="E1122" s="3" t="s">
        <v>1936</v>
      </c>
      <c r="F1122" s="3" t="s">
        <v>1403</v>
      </c>
      <c r="G1122" s="3" t="n">
        <v>2400</v>
      </c>
      <c r="H1122" s="3"/>
      <c r="I1122" s="3" t="s">
        <v>1415</v>
      </c>
      <c r="J1122" s="4" t="str">
        <f aca="false">IF(AND($A1122&lt;&gt;"",$A1122=Подбор!$C$4),MAX(J$1:J1121)+1,"")</f>
        <v/>
      </c>
    </row>
    <row r="1123" customFormat="false" ht="15" hidden="false" customHeight="false" outlineLevel="0" collapsed="false">
      <c r="A1123" s="3" t="s">
        <v>1203</v>
      </c>
      <c r="B1123" s="3" t="s">
        <v>68</v>
      </c>
      <c r="C1123" s="3" t="s">
        <v>11</v>
      </c>
      <c r="D1123" s="3" t="s">
        <v>12</v>
      </c>
      <c r="E1123" s="3" t="s">
        <v>1937</v>
      </c>
      <c r="F1123" s="3" t="s">
        <v>1403</v>
      </c>
      <c r="G1123" s="3" t="n">
        <v>25000</v>
      </c>
      <c r="H1123" s="3"/>
      <c r="I1123" s="3" t="s">
        <v>1415</v>
      </c>
      <c r="J1123" s="4" t="str">
        <f aca="false">IF(AND($A1123&lt;&gt;"",$A1123=Подбор!$C$4),MAX(J$1:J1122)+1,"")</f>
        <v/>
      </c>
    </row>
    <row r="1124" customFormat="false" ht="15" hidden="false" customHeight="false" outlineLevel="0" collapsed="false">
      <c r="A1124" s="3" t="s">
        <v>1203</v>
      </c>
      <c r="B1124" s="3" t="s">
        <v>68</v>
      </c>
      <c r="C1124" s="3" t="s">
        <v>11</v>
      </c>
      <c r="D1124" s="3" t="s">
        <v>21</v>
      </c>
      <c r="E1124" s="3" t="s">
        <v>1938</v>
      </c>
      <c r="F1124" s="3" t="s">
        <v>1403</v>
      </c>
      <c r="G1124" s="3" t="n">
        <v>12000</v>
      </c>
      <c r="H1124" s="3"/>
      <c r="I1124" s="3" t="s">
        <v>1415</v>
      </c>
      <c r="J1124" s="4" t="str">
        <f aca="false">IF(AND($A1124&lt;&gt;"",$A1124=Подбор!$C$4),MAX(J$1:J1123)+1,"")</f>
        <v/>
      </c>
    </row>
    <row r="1125" customFormat="false" ht="15" hidden="false" customHeight="false" outlineLevel="0" collapsed="false">
      <c r="A1125" s="3" t="s">
        <v>1203</v>
      </c>
      <c r="B1125" s="3" t="s">
        <v>68</v>
      </c>
      <c r="C1125" s="3" t="s">
        <v>11</v>
      </c>
      <c r="D1125" s="3" t="s">
        <v>23</v>
      </c>
      <c r="E1125" s="3" t="s">
        <v>1939</v>
      </c>
      <c r="F1125" s="3" t="s">
        <v>1403</v>
      </c>
      <c r="G1125" s="3" t="n">
        <v>12000</v>
      </c>
      <c r="H1125" s="3"/>
      <c r="I1125" s="3" t="s">
        <v>1415</v>
      </c>
      <c r="J1125" s="4" t="str">
        <f aca="false">IF(AND($A1125&lt;&gt;"",$A1125=Подбор!$C$4),MAX(J$1:J1124)+1,"")</f>
        <v/>
      </c>
    </row>
    <row r="1126" customFormat="false" ht="15" hidden="false" customHeight="false" outlineLevel="0" collapsed="false">
      <c r="A1126" s="3" t="s">
        <v>1203</v>
      </c>
      <c r="B1126" s="3" t="s">
        <v>68</v>
      </c>
      <c r="C1126" s="3" t="s">
        <v>11</v>
      </c>
      <c r="D1126" s="3" t="s">
        <v>25</v>
      </c>
      <c r="E1126" s="3" t="s">
        <v>1940</v>
      </c>
      <c r="F1126" s="3" t="s">
        <v>1403</v>
      </c>
      <c r="G1126" s="3" t="n">
        <v>12000</v>
      </c>
      <c r="H1126" s="3"/>
      <c r="I1126" s="3" t="s">
        <v>1415</v>
      </c>
      <c r="J1126" s="4" t="str">
        <f aca="false">IF(AND($A1126&lt;&gt;"",$A1126=Подбор!$C$4),MAX(J$1:J1125)+1,"")</f>
        <v/>
      </c>
    </row>
    <row r="1127" customFormat="false" ht="15" hidden="false" customHeight="false" outlineLevel="0" collapsed="false">
      <c r="A1127" s="3" t="s">
        <v>1208</v>
      </c>
      <c r="B1127" s="3" t="s">
        <v>84</v>
      </c>
      <c r="C1127" s="3" t="s">
        <v>11</v>
      </c>
      <c r="D1127" s="3" t="s">
        <v>12</v>
      </c>
      <c r="E1127" s="3" t="s">
        <v>1936</v>
      </c>
      <c r="F1127" s="3" t="s">
        <v>1403</v>
      </c>
      <c r="G1127" s="3" t="n">
        <v>2400</v>
      </c>
      <c r="H1127" s="3"/>
      <c r="I1127" s="3" t="s">
        <v>1415</v>
      </c>
      <c r="J1127" s="4" t="str">
        <f aca="false">IF(AND($A1127&lt;&gt;"",$A1127=Подбор!$C$4),MAX(J$1:J1126)+1,"")</f>
        <v/>
      </c>
    </row>
    <row r="1128" customFormat="false" ht="15" hidden="false" customHeight="false" outlineLevel="0" collapsed="false">
      <c r="A1128" s="3" t="s">
        <v>1210</v>
      </c>
      <c r="B1128" s="3" t="s">
        <v>932</v>
      </c>
      <c r="C1128" s="3" t="s">
        <v>567</v>
      </c>
      <c r="D1128" s="3" t="s">
        <v>12</v>
      </c>
      <c r="E1128" s="3" t="s">
        <v>15</v>
      </c>
      <c r="F1128" s="3"/>
      <c r="G1128" s="3"/>
      <c r="H1128" s="3"/>
      <c r="I1128" s="3"/>
      <c r="J1128" s="4" t="str">
        <f aca="false">IF(AND($A1128&lt;&gt;"",$A1128=Подбор!$C$4),MAX(J$1:J1127)+1,"")</f>
        <v/>
      </c>
    </row>
    <row r="1129" customFormat="false" ht="15" hidden="false" customHeight="false" outlineLevel="0" collapsed="false">
      <c r="A1129" s="3" t="s">
        <v>1212</v>
      </c>
      <c r="B1129" s="3" t="s">
        <v>932</v>
      </c>
      <c r="C1129" s="3" t="s">
        <v>567</v>
      </c>
      <c r="D1129" s="3" t="s">
        <v>12</v>
      </c>
      <c r="E1129" s="3" t="s">
        <v>15</v>
      </c>
      <c r="F1129" s="3"/>
      <c r="G1129" s="3"/>
      <c r="H1129" s="3"/>
      <c r="I1129" s="3"/>
      <c r="J1129" s="4" t="str">
        <f aca="false">IF(AND($A1129&lt;&gt;"",$A1129=Подбор!$C$4),MAX(J$1:J1128)+1,"")</f>
        <v/>
      </c>
    </row>
    <row r="1130" customFormat="false" ht="15" hidden="false" customHeight="false" outlineLevel="0" collapsed="false">
      <c r="A1130" s="3" t="s">
        <v>1213</v>
      </c>
      <c r="B1130" s="3" t="s">
        <v>472</v>
      </c>
      <c r="C1130" s="3" t="s">
        <v>11</v>
      </c>
      <c r="D1130" s="3" t="s">
        <v>12</v>
      </c>
      <c r="E1130" s="3" t="s">
        <v>1941</v>
      </c>
      <c r="F1130" s="3" t="s">
        <v>1403</v>
      </c>
      <c r="G1130" s="3"/>
      <c r="H1130" s="3"/>
      <c r="I1130" s="3"/>
      <c r="J1130" s="4" t="str">
        <f aca="false">IF(AND($A1130&lt;&gt;"",$A1130=Подбор!$C$4),MAX(J$1:J1129)+1,"")</f>
        <v/>
      </c>
    </row>
    <row r="1131" customFormat="false" ht="15" hidden="false" customHeight="false" outlineLevel="0" collapsed="false">
      <c r="A1131" s="3" t="s">
        <v>1214</v>
      </c>
      <c r="B1131" s="3" t="s">
        <v>472</v>
      </c>
      <c r="C1131" s="3" t="s">
        <v>11</v>
      </c>
      <c r="D1131" s="3" t="s">
        <v>12</v>
      </c>
      <c r="E1131" s="3" t="s">
        <v>1941</v>
      </c>
      <c r="F1131" s="3" t="s">
        <v>1403</v>
      </c>
      <c r="G1131" s="3"/>
      <c r="H1131" s="3"/>
      <c r="I1131" s="3"/>
      <c r="J1131" s="4" t="str">
        <f aca="false">IF(AND($A1131&lt;&gt;"",$A1131=Подбор!$C$4),MAX(J$1:J1130)+1,"")</f>
        <v/>
      </c>
    </row>
    <row r="1132" customFormat="false" ht="15" hidden="false" customHeight="false" outlineLevel="0" collapsed="false">
      <c r="A1132" s="3" t="s">
        <v>1215</v>
      </c>
      <c r="B1132" s="3" t="s">
        <v>472</v>
      </c>
      <c r="C1132" s="3" t="s">
        <v>11</v>
      </c>
      <c r="D1132" s="3" t="s">
        <v>12</v>
      </c>
      <c r="E1132" s="3" t="s">
        <v>1942</v>
      </c>
      <c r="F1132" s="3" t="s">
        <v>1403</v>
      </c>
      <c r="G1132" s="3"/>
      <c r="H1132" s="3"/>
      <c r="I1132" s="3"/>
      <c r="J1132" s="4" t="str">
        <f aca="false">IF(AND($A1132&lt;&gt;"",$A1132=Подбор!$C$4),MAX(J$1:J1131)+1,"")</f>
        <v/>
      </c>
    </row>
    <row r="1133" customFormat="false" ht="15" hidden="false" customHeight="false" outlineLevel="0" collapsed="false">
      <c r="A1133" s="3" t="s">
        <v>1216</v>
      </c>
      <c r="B1133" s="3" t="s">
        <v>932</v>
      </c>
      <c r="C1133" s="3" t="s">
        <v>567</v>
      </c>
      <c r="D1133" s="3" t="s">
        <v>12</v>
      </c>
      <c r="E1133" s="3" t="s">
        <v>15</v>
      </c>
      <c r="F1133" s="3"/>
      <c r="G1133" s="3"/>
      <c r="H1133" s="3"/>
      <c r="I1133" s="3"/>
      <c r="J1133" s="4" t="str">
        <f aca="false">IF(AND($A1133&lt;&gt;"",$A1133=Подбор!$C$4),MAX(J$1:J1132)+1,"")</f>
        <v/>
      </c>
    </row>
    <row r="1134" customFormat="false" ht="15" hidden="false" customHeight="false" outlineLevel="0" collapsed="false">
      <c r="A1134" s="3" t="s">
        <v>1218</v>
      </c>
      <c r="B1134" s="3" t="s">
        <v>57</v>
      </c>
      <c r="C1134" s="3" t="s">
        <v>567</v>
      </c>
      <c r="D1134" s="3" t="s">
        <v>12</v>
      </c>
      <c r="E1134" s="3" t="s">
        <v>1943</v>
      </c>
      <c r="F1134" s="3" t="s">
        <v>1403</v>
      </c>
      <c r="G1134" s="3"/>
      <c r="H1134" s="3"/>
      <c r="I1134" s="3"/>
      <c r="J1134" s="4" t="str">
        <f aca="false">IF(AND($A1134&lt;&gt;"",$A1134=Подбор!$C$4),MAX(J$1:J1133)+1,"")</f>
        <v/>
      </c>
    </row>
    <row r="1135" customFormat="false" ht="15" hidden="false" customHeight="false" outlineLevel="0" collapsed="false">
      <c r="A1135" s="3" t="s">
        <v>1220</v>
      </c>
      <c r="B1135" s="3" t="s">
        <v>932</v>
      </c>
      <c r="C1135" s="3" t="s">
        <v>567</v>
      </c>
      <c r="D1135" s="3" t="s">
        <v>12</v>
      </c>
      <c r="E1135" s="3" t="s">
        <v>1944</v>
      </c>
      <c r="F1135" s="3" t="s">
        <v>1403</v>
      </c>
      <c r="G1135" s="3" t="n">
        <v>2600</v>
      </c>
      <c r="H1135" s="3"/>
      <c r="I1135" s="3" t="s">
        <v>1415</v>
      </c>
      <c r="J1135" s="4" t="str">
        <f aca="false">IF(AND($A1135&lt;&gt;"",$A1135=Подбор!$C$4),MAX(J$1:J1134)+1,"")</f>
        <v/>
      </c>
    </row>
    <row r="1136" customFormat="false" ht="15" hidden="false" customHeight="false" outlineLevel="0" collapsed="false">
      <c r="A1136" s="3" t="s">
        <v>1222</v>
      </c>
      <c r="B1136" s="3" t="s">
        <v>57</v>
      </c>
      <c r="C1136" s="3" t="s">
        <v>11</v>
      </c>
      <c r="D1136" s="3" t="s">
        <v>12</v>
      </c>
      <c r="E1136" s="3" t="s">
        <v>1452</v>
      </c>
      <c r="F1136" s="3" t="s">
        <v>1403</v>
      </c>
      <c r="G1136" s="3" t="n">
        <v>2000</v>
      </c>
      <c r="H1136" s="3"/>
      <c r="I1136" s="3" t="s">
        <v>1415</v>
      </c>
      <c r="J1136" s="4" t="str">
        <f aca="false">IF(AND($A1136&lt;&gt;"",$A1136=Подбор!$C$4),MAX(J$1:J1135)+1,"")</f>
        <v/>
      </c>
    </row>
    <row r="1137" customFormat="false" ht="15" hidden="false" customHeight="false" outlineLevel="0" collapsed="false">
      <c r="A1137" s="3" t="s">
        <v>1223</v>
      </c>
      <c r="B1137" s="3" t="s">
        <v>84</v>
      </c>
      <c r="C1137" s="3" t="s">
        <v>11</v>
      </c>
      <c r="D1137" s="3" t="s">
        <v>12</v>
      </c>
      <c r="E1137" s="3" t="s">
        <v>1841</v>
      </c>
      <c r="F1137" s="3" t="s">
        <v>1403</v>
      </c>
      <c r="G1137" s="3" t="n">
        <v>5000</v>
      </c>
      <c r="H1137" s="3"/>
      <c r="I1137" s="3" t="s">
        <v>1415</v>
      </c>
      <c r="J1137" s="4" t="str">
        <f aca="false">IF(AND($A1137&lt;&gt;"",$A1137=Подбор!$C$4),MAX(J$1:J1136)+1,"")</f>
        <v/>
      </c>
    </row>
    <row r="1138" customFormat="false" ht="15" hidden="false" customHeight="false" outlineLevel="0" collapsed="false">
      <c r="A1138" s="3" t="s">
        <v>1224</v>
      </c>
      <c r="B1138" s="3" t="s">
        <v>84</v>
      </c>
      <c r="C1138" s="3" t="s">
        <v>11</v>
      </c>
      <c r="D1138" s="3" t="s">
        <v>12</v>
      </c>
      <c r="E1138" s="3" t="s">
        <v>1841</v>
      </c>
      <c r="F1138" s="3" t="s">
        <v>1403</v>
      </c>
      <c r="G1138" s="3" t="n">
        <v>5000</v>
      </c>
      <c r="H1138" s="3"/>
      <c r="I1138" s="3" t="s">
        <v>1415</v>
      </c>
      <c r="J1138" s="4" t="str">
        <f aca="false">IF(AND($A1138&lt;&gt;"",$A1138=Подбор!$C$4),MAX(J$1:J1137)+1,"")</f>
        <v/>
      </c>
    </row>
    <row r="1139" customFormat="false" ht="15" hidden="false" customHeight="false" outlineLevel="0" collapsed="false">
      <c r="A1139" s="3" t="s">
        <v>1225</v>
      </c>
      <c r="B1139" s="3" t="s">
        <v>1226</v>
      </c>
      <c r="C1139" s="3" t="s">
        <v>15</v>
      </c>
      <c r="D1139" s="3" t="s">
        <v>15</v>
      </c>
      <c r="E1139" s="3" t="s">
        <v>15</v>
      </c>
      <c r="F1139" s="3"/>
      <c r="G1139" s="3"/>
      <c r="H1139" s="3"/>
      <c r="I1139" s="3"/>
      <c r="J1139" s="4" t="str">
        <f aca="false">IF(AND($A1139&lt;&gt;"",$A1139=Подбор!$C$4),MAX(J$1:J1138)+1,"")</f>
        <v/>
      </c>
    </row>
    <row r="1140" customFormat="false" ht="15" hidden="false" customHeight="false" outlineLevel="0" collapsed="false">
      <c r="A1140" s="3" t="s">
        <v>1227</v>
      </c>
      <c r="B1140" s="3" t="s">
        <v>885</v>
      </c>
      <c r="C1140" s="3" t="s">
        <v>15</v>
      </c>
      <c r="D1140" s="3" t="s">
        <v>15</v>
      </c>
      <c r="E1140" s="3" t="s">
        <v>15</v>
      </c>
      <c r="F1140" s="3"/>
      <c r="G1140" s="3"/>
      <c r="H1140" s="3"/>
      <c r="I1140" s="3"/>
      <c r="J1140" s="4" t="str">
        <f aca="false">IF(AND($A1140&lt;&gt;"",$A1140=Подбор!$C$4),MAX(J$1:J1139)+1,"")</f>
        <v/>
      </c>
    </row>
    <row r="1141" customFormat="false" ht="15" hidden="false" customHeight="false" outlineLevel="0" collapsed="false">
      <c r="A1141" s="3" t="s">
        <v>1228</v>
      </c>
      <c r="B1141" s="3" t="s">
        <v>472</v>
      </c>
      <c r="C1141" s="3" t="s">
        <v>11</v>
      </c>
      <c r="D1141" s="3" t="s">
        <v>12</v>
      </c>
      <c r="E1141" s="3" t="s">
        <v>1945</v>
      </c>
      <c r="F1141" s="3" t="s">
        <v>1403</v>
      </c>
      <c r="G1141" s="3"/>
      <c r="H1141" s="3"/>
      <c r="I1141" s="3"/>
      <c r="J1141" s="4" t="str">
        <f aca="false">IF(AND($A1141&lt;&gt;"",$A1141=Подбор!$C$4),MAX(J$1:J1140)+1,"")</f>
        <v/>
      </c>
    </row>
    <row r="1142" customFormat="false" ht="15" hidden="false" customHeight="false" outlineLevel="0" collapsed="false">
      <c r="A1142" s="3" t="s">
        <v>1229</v>
      </c>
      <c r="B1142" s="3" t="s">
        <v>885</v>
      </c>
      <c r="C1142" s="3" t="s">
        <v>15</v>
      </c>
      <c r="D1142" s="3" t="s">
        <v>15</v>
      </c>
      <c r="E1142" s="3" t="s">
        <v>15</v>
      </c>
      <c r="F1142" s="3"/>
      <c r="G1142" s="3"/>
      <c r="H1142" s="3"/>
      <c r="I1142" s="3"/>
      <c r="J1142" s="4" t="str">
        <f aca="false">IF(AND($A1142&lt;&gt;"",$A1142=Подбор!$C$4),MAX(J$1:J1141)+1,"")</f>
        <v/>
      </c>
    </row>
    <row r="1143" customFormat="false" ht="15" hidden="false" customHeight="false" outlineLevel="0" collapsed="false">
      <c r="A1143" s="3" t="s">
        <v>1230</v>
      </c>
      <c r="B1143" s="3" t="s">
        <v>57</v>
      </c>
      <c r="C1143" s="3" t="s">
        <v>567</v>
      </c>
      <c r="D1143" s="3" t="s">
        <v>12</v>
      </c>
      <c r="E1143" s="3" t="s">
        <v>1946</v>
      </c>
      <c r="F1143" s="3" t="s">
        <v>1403</v>
      </c>
      <c r="G1143" s="3" t="n">
        <v>360</v>
      </c>
      <c r="H1143" s="3"/>
      <c r="I1143" s="3" t="s">
        <v>1415</v>
      </c>
      <c r="J1143" s="4" t="str">
        <f aca="false">IF(AND($A1143&lt;&gt;"",$A1143=Подбор!$C$4),MAX(J$1:J1142)+1,"")</f>
        <v/>
      </c>
    </row>
    <row r="1144" customFormat="false" ht="15" hidden="false" customHeight="false" outlineLevel="0" collapsed="false">
      <c r="A1144" s="3" t="s">
        <v>1232</v>
      </c>
      <c r="B1144" s="3" t="s">
        <v>57</v>
      </c>
      <c r="C1144" s="3" t="s">
        <v>567</v>
      </c>
      <c r="D1144" s="3" t="s">
        <v>12</v>
      </c>
      <c r="E1144" s="3" t="s">
        <v>1947</v>
      </c>
      <c r="F1144" s="3" t="s">
        <v>1403</v>
      </c>
      <c r="G1144" s="3" t="n">
        <v>1000</v>
      </c>
      <c r="H1144" s="3"/>
      <c r="I1144" s="3" t="s">
        <v>1415</v>
      </c>
      <c r="J1144" s="4" t="str">
        <f aca="false">IF(AND($A1144&lt;&gt;"",$A1144=Подбор!$C$4),MAX(J$1:J1143)+1,"")</f>
        <v/>
      </c>
    </row>
    <row r="1145" customFormat="false" ht="15" hidden="false" customHeight="false" outlineLevel="0" collapsed="false">
      <c r="A1145" s="3" t="s">
        <v>1233</v>
      </c>
      <c r="B1145" s="3" t="s">
        <v>57</v>
      </c>
      <c r="C1145" s="3" t="s">
        <v>567</v>
      </c>
      <c r="D1145" s="3" t="s">
        <v>12</v>
      </c>
      <c r="E1145" s="3" t="s">
        <v>1948</v>
      </c>
      <c r="F1145" s="3" t="s">
        <v>1403</v>
      </c>
      <c r="G1145" s="3" t="n">
        <v>190</v>
      </c>
      <c r="H1145" s="3"/>
      <c r="I1145" s="3" t="s">
        <v>1415</v>
      </c>
      <c r="J1145" s="4" t="str">
        <f aca="false">IF(AND($A1145&lt;&gt;"",$A1145=Подбор!$C$4),MAX(J$1:J1144)+1,"")</f>
        <v/>
      </c>
    </row>
    <row r="1146" customFormat="false" ht="15" hidden="false" customHeight="false" outlineLevel="0" collapsed="false">
      <c r="A1146" s="3" t="s">
        <v>1235</v>
      </c>
      <c r="B1146" s="3" t="s">
        <v>57</v>
      </c>
      <c r="C1146" s="3" t="s">
        <v>567</v>
      </c>
      <c r="D1146" s="3" t="s">
        <v>12</v>
      </c>
      <c r="E1146" s="3" t="s">
        <v>1948</v>
      </c>
      <c r="F1146" s="3" t="s">
        <v>1403</v>
      </c>
      <c r="G1146" s="3" t="n">
        <v>190</v>
      </c>
      <c r="H1146" s="3"/>
      <c r="I1146" s="3" t="s">
        <v>1415</v>
      </c>
      <c r="J1146" s="4" t="str">
        <f aca="false">IF(AND($A1146&lt;&gt;"",$A1146=Подбор!$C$4),MAX(J$1:J1145)+1,"")</f>
        <v/>
      </c>
    </row>
    <row r="1147" customFormat="false" ht="15" hidden="false" customHeight="false" outlineLevel="0" collapsed="false">
      <c r="A1147" s="3" t="s">
        <v>1236</v>
      </c>
      <c r="B1147" s="3" t="s">
        <v>57</v>
      </c>
      <c r="C1147" s="3" t="s">
        <v>11</v>
      </c>
      <c r="D1147" s="3" t="s">
        <v>12</v>
      </c>
      <c r="E1147" s="3" t="s">
        <v>1949</v>
      </c>
      <c r="F1147" s="3" t="s">
        <v>1403</v>
      </c>
      <c r="G1147" s="3" t="n">
        <v>7500</v>
      </c>
      <c r="H1147" s="3"/>
      <c r="I1147" s="3" t="s">
        <v>1415</v>
      </c>
      <c r="J1147" s="4" t="str">
        <f aca="false">IF(AND($A1147&lt;&gt;"",$A1147=Подбор!$C$4),MAX(J$1:J1146)+1,"")</f>
        <v/>
      </c>
    </row>
    <row r="1148" customFormat="false" ht="15" hidden="false" customHeight="false" outlineLevel="0" collapsed="false">
      <c r="A1148" s="3" t="s">
        <v>1238</v>
      </c>
      <c r="B1148" s="3" t="s">
        <v>84</v>
      </c>
      <c r="C1148" s="3" t="s">
        <v>11</v>
      </c>
      <c r="D1148" s="3" t="s">
        <v>12</v>
      </c>
      <c r="E1148" s="3" t="s">
        <v>1905</v>
      </c>
      <c r="F1148" s="3" t="s">
        <v>1403</v>
      </c>
      <c r="G1148" s="3" t="n">
        <v>6000</v>
      </c>
      <c r="H1148" s="3"/>
      <c r="I1148" s="3" t="s">
        <v>1415</v>
      </c>
      <c r="J1148" s="4" t="str">
        <f aca="false">IF(AND($A1148&lt;&gt;"",$A1148=Подбор!$C$4),MAX(J$1:J1147)+1,"")</f>
        <v/>
      </c>
    </row>
    <row r="1149" customFormat="false" ht="15" hidden="false" customHeight="false" outlineLevel="0" collapsed="false">
      <c r="A1149" s="3" t="s">
        <v>1239</v>
      </c>
      <c r="B1149" s="3" t="s">
        <v>84</v>
      </c>
      <c r="C1149" s="3" t="s">
        <v>11</v>
      </c>
      <c r="D1149" s="3" t="s">
        <v>12</v>
      </c>
      <c r="E1149" s="3" t="s">
        <v>1899</v>
      </c>
      <c r="F1149" s="3" t="s">
        <v>1403</v>
      </c>
      <c r="G1149" s="3"/>
      <c r="H1149" s="3"/>
      <c r="I1149" s="3"/>
      <c r="J1149" s="4" t="str">
        <f aca="false">IF(AND($A1149&lt;&gt;"",$A1149=Подбор!$C$4),MAX(J$1:J1148)+1,"")</f>
        <v/>
      </c>
    </row>
    <row r="1150" customFormat="false" ht="15" hidden="false" customHeight="false" outlineLevel="0" collapsed="false">
      <c r="A1150" s="3" t="s">
        <v>1240</v>
      </c>
      <c r="B1150" s="3" t="s">
        <v>10</v>
      </c>
      <c r="C1150" s="3" t="s">
        <v>11</v>
      </c>
      <c r="D1150" s="3" t="s">
        <v>12</v>
      </c>
      <c r="E1150" s="3" t="s">
        <v>1876</v>
      </c>
      <c r="F1150" s="3" t="s">
        <v>1403</v>
      </c>
      <c r="G1150" s="3"/>
      <c r="H1150" s="3"/>
      <c r="I1150" s="3"/>
      <c r="J1150" s="4" t="str">
        <f aca="false">IF(AND($A1150&lt;&gt;"",$A1150=Подбор!$C$4),MAX(J$1:J1149)+1,"")</f>
        <v/>
      </c>
    </row>
    <row r="1151" customFormat="false" ht="15" hidden="false" customHeight="false" outlineLevel="0" collapsed="false">
      <c r="A1151" s="3" t="s">
        <v>1242</v>
      </c>
      <c r="B1151" s="3" t="s">
        <v>932</v>
      </c>
      <c r="C1151" s="3" t="s">
        <v>567</v>
      </c>
      <c r="D1151" s="3" t="s">
        <v>12</v>
      </c>
      <c r="E1151" s="3" t="s">
        <v>15</v>
      </c>
      <c r="F1151" s="3"/>
      <c r="G1151" s="3"/>
      <c r="H1151" s="3"/>
      <c r="I1151" s="3"/>
      <c r="J1151" s="4" t="str">
        <f aca="false">IF(AND($A1151&lt;&gt;"",$A1151=Подбор!$C$4),MAX(J$1:J1150)+1,"")</f>
        <v/>
      </c>
    </row>
    <row r="1152" customFormat="false" ht="15" hidden="false" customHeight="false" outlineLevel="0" collapsed="false">
      <c r="A1152" s="3" t="s">
        <v>1244</v>
      </c>
      <c r="B1152" s="3" t="s">
        <v>84</v>
      </c>
      <c r="C1152" s="3" t="s">
        <v>11</v>
      </c>
      <c r="D1152" s="3" t="s">
        <v>12</v>
      </c>
      <c r="E1152" s="3" t="s">
        <v>1950</v>
      </c>
      <c r="F1152" s="3" t="s">
        <v>1403</v>
      </c>
      <c r="G1152" s="3" t="n">
        <v>4000</v>
      </c>
      <c r="H1152" s="3"/>
      <c r="I1152" s="3" t="s">
        <v>1415</v>
      </c>
      <c r="J1152" s="4" t="str">
        <f aca="false">IF(AND($A1152&lt;&gt;"",$A1152=Подбор!$C$4),MAX(J$1:J1151)+1,"")</f>
        <v/>
      </c>
    </row>
    <row r="1153" customFormat="false" ht="15" hidden="false" customHeight="false" outlineLevel="0" collapsed="false">
      <c r="A1153" s="3" t="s">
        <v>1246</v>
      </c>
      <c r="B1153" s="3" t="s">
        <v>84</v>
      </c>
      <c r="C1153" s="3" t="s">
        <v>11</v>
      </c>
      <c r="D1153" s="3" t="s">
        <v>12</v>
      </c>
      <c r="E1153" s="3" t="s">
        <v>1844</v>
      </c>
      <c r="F1153" s="3" t="s">
        <v>1403</v>
      </c>
      <c r="G1153" s="3" t="n">
        <v>2100</v>
      </c>
      <c r="H1153" s="3"/>
      <c r="I1153" s="3" t="s">
        <v>1415</v>
      </c>
      <c r="J1153" s="4" t="str">
        <f aca="false">IF(AND($A1153&lt;&gt;"",$A1153=Подбор!$C$4),MAX(J$1:J1152)+1,"")</f>
        <v/>
      </c>
    </row>
    <row r="1154" customFormat="false" ht="15" hidden="false" customHeight="false" outlineLevel="0" collapsed="false">
      <c r="A1154" s="3" t="s">
        <v>1247</v>
      </c>
      <c r="B1154" s="3" t="s">
        <v>84</v>
      </c>
      <c r="C1154" s="3" t="s">
        <v>11</v>
      </c>
      <c r="D1154" s="3" t="s">
        <v>12</v>
      </c>
      <c r="E1154" s="3" t="s">
        <v>1844</v>
      </c>
      <c r="F1154" s="3" t="s">
        <v>1403</v>
      </c>
      <c r="G1154" s="3" t="n">
        <v>2100</v>
      </c>
      <c r="H1154" s="3"/>
      <c r="I1154" s="3" t="s">
        <v>1415</v>
      </c>
      <c r="J1154" s="4" t="str">
        <f aca="false">IF(AND($A1154&lt;&gt;"",$A1154=Подбор!$C$4),MAX(J$1:J1153)+1,"")</f>
        <v/>
      </c>
    </row>
    <row r="1155" customFormat="false" ht="15" hidden="false" customHeight="false" outlineLevel="0" collapsed="false">
      <c r="A1155" s="3" t="s">
        <v>1248</v>
      </c>
      <c r="B1155" s="3" t="s">
        <v>84</v>
      </c>
      <c r="C1155" s="3" t="s">
        <v>11</v>
      </c>
      <c r="D1155" s="3" t="s">
        <v>12</v>
      </c>
      <c r="E1155" s="3" t="s">
        <v>1578</v>
      </c>
      <c r="F1155" s="3" t="s">
        <v>1403</v>
      </c>
      <c r="G1155" s="3" t="n">
        <v>2000</v>
      </c>
      <c r="H1155" s="3"/>
      <c r="I1155" s="3" t="s">
        <v>1415</v>
      </c>
      <c r="J1155" s="4" t="str">
        <f aca="false">IF(AND($A1155&lt;&gt;"",$A1155=Подбор!$C$4),MAX(J$1:J1154)+1,"")</f>
        <v/>
      </c>
    </row>
    <row r="1156" customFormat="false" ht="15" hidden="false" customHeight="false" outlineLevel="0" collapsed="false">
      <c r="A1156" s="3" t="s">
        <v>1249</v>
      </c>
      <c r="B1156" s="3" t="s">
        <v>932</v>
      </c>
      <c r="C1156" s="3" t="s">
        <v>567</v>
      </c>
      <c r="D1156" s="3" t="s">
        <v>12</v>
      </c>
      <c r="E1156" s="3" t="s">
        <v>1951</v>
      </c>
      <c r="F1156" s="3" t="s">
        <v>1403</v>
      </c>
      <c r="G1156" s="3"/>
      <c r="H1156" s="3"/>
      <c r="I1156" s="3"/>
      <c r="J1156" s="4" t="str">
        <f aca="false">IF(AND($A1156&lt;&gt;"",$A1156=Подбор!$C$4),MAX(J$1:J1155)+1,"")</f>
        <v/>
      </c>
    </row>
    <row r="1157" customFormat="false" ht="15" hidden="false" customHeight="false" outlineLevel="0" collapsed="false">
      <c r="A1157" s="3" t="s">
        <v>1251</v>
      </c>
      <c r="B1157" s="3" t="s">
        <v>472</v>
      </c>
      <c r="C1157" s="3" t="s">
        <v>11</v>
      </c>
      <c r="D1157" s="3" t="s">
        <v>12</v>
      </c>
      <c r="E1157" s="3" t="s">
        <v>15</v>
      </c>
      <c r="F1157" s="3"/>
      <c r="G1157" s="3"/>
      <c r="H1157" s="3"/>
      <c r="I1157" s="3"/>
      <c r="J1157" s="4" t="str">
        <f aca="false">IF(AND($A1157&lt;&gt;"",$A1157=Подбор!$C$4),MAX(J$1:J1156)+1,"")</f>
        <v/>
      </c>
    </row>
    <row r="1158" customFormat="false" ht="15" hidden="false" customHeight="false" outlineLevel="0" collapsed="false">
      <c r="A1158" s="3" t="s">
        <v>1252</v>
      </c>
      <c r="B1158" s="3" t="s">
        <v>68</v>
      </c>
      <c r="C1158" s="3" t="s">
        <v>11</v>
      </c>
      <c r="D1158" s="3" t="s">
        <v>12</v>
      </c>
      <c r="E1158" s="3" t="s">
        <v>1952</v>
      </c>
      <c r="F1158" s="3" t="s">
        <v>1403</v>
      </c>
      <c r="G1158" s="3" t="n">
        <v>25000</v>
      </c>
      <c r="H1158" s="3"/>
      <c r="I1158" s="3" t="s">
        <v>1415</v>
      </c>
      <c r="J1158" s="4" t="str">
        <f aca="false">IF(AND($A1158&lt;&gt;"",$A1158=Подбор!$C$4),MAX(J$1:J1157)+1,"")</f>
        <v/>
      </c>
    </row>
    <row r="1159" customFormat="false" ht="15" hidden="false" customHeight="false" outlineLevel="0" collapsed="false">
      <c r="A1159" s="3" t="s">
        <v>1254</v>
      </c>
      <c r="B1159" s="3" t="s">
        <v>68</v>
      </c>
      <c r="C1159" s="3" t="s">
        <v>11</v>
      </c>
      <c r="D1159" s="3" t="s">
        <v>12</v>
      </c>
      <c r="E1159" s="3" t="s">
        <v>1896</v>
      </c>
      <c r="F1159" s="3" t="s">
        <v>1403</v>
      </c>
      <c r="G1159" s="3" t="n">
        <v>7000</v>
      </c>
      <c r="H1159" s="3"/>
      <c r="I1159" s="3" t="s">
        <v>1415</v>
      </c>
      <c r="J1159" s="4" t="str">
        <f aca="false">IF(AND($A1159&lt;&gt;"",$A1159=Подбор!$C$4),MAX(J$1:J1158)+1,"")</f>
        <v/>
      </c>
    </row>
    <row r="1160" customFormat="false" ht="15" hidden="false" customHeight="false" outlineLevel="0" collapsed="false">
      <c r="A1160" s="3" t="s">
        <v>1255</v>
      </c>
      <c r="B1160" s="3" t="s">
        <v>68</v>
      </c>
      <c r="C1160" s="3" t="s">
        <v>11</v>
      </c>
      <c r="D1160" s="3" t="s">
        <v>12</v>
      </c>
      <c r="E1160" s="3" t="s">
        <v>1953</v>
      </c>
      <c r="F1160" s="3" t="s">
        <v>1403</v>
      </c>
      <c r="G1160" s="3"/>
      <c r="H1160" s="3"/>
      <c r="I1160" s="3"/>
      <c r="J1160" s="4" t="str">
        <f aca="false">IF(AND($A1160&lt;&gt;"",$A1160=Подбор!$C$4),MAX(J$1:J1159)+1,"")</f>
        <v/>
      </c>
    </row>
    <row r="1161" customFormat="false" ht="15" hidden="false" customHeight="false" outlineLevel="0" collapsed="false">
      <c r="A1161" s="3" t="s">
        <v>1257</v>
      </c>
      <c r="B1161" s="3" t="s">
        <v>68</v>
      </c>
      <c r="C1161" s="3" t="s">
        <v>11</v>
      </c>
      <c r="D1161" s="3" t="s">
        <v>12</v>
      </c>
      <c r="E1161" s="3" t="s">
        <v>1952</v>
      </c>
      <c r="F1161" s="3" t="s">
        <v>1403</v>
      </c>
      <c r="G1161" s="3" t="n">
        <v>25000</v>
      </c>
      <c r="H1161" s="3"/>
      <c r="I1161" s="3" t="s">
        <v>1415</v>
      </c>
      <c r="J1161" s="4" t="str">
        <f aca="false">IF(AND($A1161&lt;&gt;"",$A1161=Подбор!$C$4),MAX(J$1:J1160)+1,"")</f>
        <v/>
      </c>
    </row>
    <row r="1162" customFormat="false" ht="15" hidden="false" customHeight="false" outlineLevel="0" collapsed="false">
      <c r="A1162" s="3" t="s">
        <v>1258</v>
      </c>
      <c r="B1162" s="3" t="s">
        <v>68</v>
      </c>
      <c r="C1162" s="3" t="s">
        <v>11</v>
      </c>
      <c r="D1162" s="3" t="s">
        <v>12</v>
      </c>
      <c r="E1162" s="3" t="s">
        <v>1954</v>
      </c>
      <c r="F1162" s="3" t="s">
        <v>1423</v>
      </c>
      <c r="G1162" s="3" t="n">
        <v>20000</v>
      </c>
      <c r="H1162" s="3"/>
      <c r="I1162" s="3" t="s">
        <v>1415</v>
      </c>
      <c r="J1162" s="4" t="str">
        <f aca="false">IF(AND($A1162&lt;&gt;"",$A1162=Подбор!$C$4),MAX(J$1:J1161)+1,"")</f>
        <v/>
      </c>
    </row>
    <row r="1163" customFormat="false" ht="15" hidden="false" customHeight="false" outlineLevel="0" collapsed="false">
      <c r="A1163" s="3" t="s">
        <v>1260</v>
      </c>
      <c r="B1163" s="3" t="s">
        <v>68</v>
      </c>
      <c r="C1163" s="3" t="s">
        <v>11</v>
      </c>
      <c r="D1163" s="3" t="s">
        <v>12</v>
      </c>
      <c r="E1163" s="3" t="s">
        <v>1896</v>
      </c>
      <c r="F1163" s="3" t="s">
        <v>1403</v>
      </c>
      <c r="G1163" s="3" t="n">
        <v>7000</v>
      </c>
      <c r="H1163" s="3"/>
      <c r="I1163" s="3" t="s">
        <v>1415</v>
      </c>
      <c r="J1163" s="4" t="str">
        <f aca="false">IF(AND($A1163&lt;&gt;"",$A1163=Подбор!$C$4),MAX(J$1:J1162)+1,"")</f>
        <v/>
      </c>
    </row>
    <row r="1164" customFormat="false" ht="15" hidden="false" customHeight="false" outlineLevel="0" collapsed="false">
      <c r="A1164" s="3" t="s">
        <v>1261</v>
      </c>
      <c r="B1164" s="3" t="s">
        <v>68</v>
      </c>
      <c r="C1164" s="3" t="s">
        <v>11</v>
      </c>
      <c r="D1164" s="3" t="s">
        <v>12</v>
      </c>
      <c r="E1164" s="3" t="s">
        <v>1955</v>
      </c>
      <c r="F1164" s="3" t="s">
        <v>1403</v>
      </c>
      <c r="G1164" s="3"/>
      <c r="H1164" s="3"/>
      <c r="I1164" s="3"/>
      <c r="J1164" s="4" t="str">
        <f aca="false">IF(AND($A1164&lt;&gt;"",$A1164=Подбор!$C$4),MAX(J$1:J1163)+1,"")</f>
        <v/>
      </c>
    </row>
    <row r="1165" customFormat="false" ht="15" hidden="false" customHeight="false" outlineLevel="0" collapsed="false">
      <c r="A1165" s="3" t="s">
        <v>1263</v>
      </c>
      <c r="B1165" s="3" t="s">
        <v>472</v>
      </c>
      <c r="C1165" s="3" t="s">
        <v>11</v>
      </c>
      <c r="D1165" s="3" t="s">
        <v>12</v>
      </c>
      <c r="E1165" s="3" t="s">
        <v>15</v>
      </c>
      <c r="F1165" s="3"/>
      <c r="G1165" s="3"/>
      <c r="H1165" s="3"/>
      <c r="I1165" s="3"/>
      <c r="J1165" s="4" t="str">
        <f aca="false">IF(AND($A1165&lt;&gt;"",$A1165=Подбор!$C$4),MAX(J$1:J1164)+1,"")</f>
        <v/>
      </c>
    </row>
    <row r="1166" customFormat="false" ht="15" hidden="false" customHeight="false" outlineLevel="0" collapsed="false">
      <c r="A1166" s="3" t="s">
        <v>1264</v>
      </c>
      <c r="B1166" s="3" t="s">
        <v>68</v>
      </c>
      <c r="C1166" s="3" t="s">
        <v>11</v>
      </c>
      <c r="D1166" s="3" t="s">
        <v>12</v>
      </c>
      <c r="E1166" s="3" t="s">
        <v>1956</v>
      </c>
      <c r="F1166" s="3" t="s">
        <v>1403</v>
      </c>
      <c r="G1166" s="3" t="n">
        <v>25000</v>
      </c>
      <c r="H1166" s="3"/>
      <c r="I1166" s="3" t="s">
        <v>1415</v>
      </c>
      <c r="J1166" s="4" t="str">
        <f aca="false">IF(AND($A1166&lt;&gt;"",$A1166=Подбор!$C$4),MAX(J$1:J1165)+1,"")</f>
        <v/>
      </c>
    </row>
    <row r="1167" customFormat="false" ht="15" hidden="false" customHeight="false" outlineLevel="0" collapsed="false">
      <c r="A1167" s="3" t="s">
        <v>1264</v>
      </c>
      <c r="B1167" s="3" t="s">
        <v>68</v>
      </c>
      <c r="C1167" s="3" t="s">
        <v>11</v>
      </c>
      <c r="D1167" s="3" t="s">
        <v>12</v>
      </c>
      <c r="E1167" s="3" t="s">
        <v>1957</v>
      </c>
      <c r="F1167" s="3" t="s">
        <v>1421</v>
      </c>
      <c r="G1167" s="3" t="n">
        <v>25000</v>
      </c>
      <c r="H1167" s="3"/>
      <c r="I1167" s="3" t="s">
        <v>1415</v>
      </c>
      <c r="J1167" s="4" t="str">
        <f aca="false">IF(AND($A1167&lt;&gt;"",$A1167=Подбор!$C$4),MAX(J$1:J1166)+1,"")</f>
        <v/>
      </c>
    </row>
    <row r="1168" customFormat="false" ht="15" hidden="false" customHeight="false" outlineLevel="0" collapsed="false">
      <c r="A1168" s="3" t="s">
        <v>1266</v>
      </c>
      <c r="B1168" s="3" t="s">
        <v>84</v>
      </c>
      <c r="C1168" s="3" t="s">
        <v>11</v>
      </c>
      <c r="D1168" s="3" t="s">
        <v>12</v>
      </c>
      <c r="E1168" s="3" t="s">
        <v>15</v>
      </c>
      <c r="F1168" s="3"/>
      <c r="G1168" s="3"/>
      <c r="H1168" s="3"/>
      <c r="I1168" s="3"/>
      <c r="J1168" s="4" t="str">
        <f aca="false">IF(AND($A1168&lt;&gt;"",$A1168=Подбор!$C$4),MAX(J$1:J1167)+1,"")</f>
        <v/>
      </c>
    </row>
    <row r="1169" customFormat="false" ht="15" hidden="false" customHeight="false" outlineLevel="0" collapsed="false">
      <c r="A1169" s="3" t="s">
        <v>1268</v>
      </c>
      <c r="B1169" s="3" t="s">
        <v>68</v>
      </c>
      <c r="C1169" s="3" t="s">
        <v>11</v>
      </c>
      <c r="D1169" s="3" t="s">
        <v>12</v>
      </c>
      <c r="E1169" s="3" t="s">
        <v>1894</v>
      </c>
      <c r="F1169" s="3" t="s">
        <v>1403</v>
      </c>
      <c r="G1169" s="3" t="n">
        <v>3000</v>
      </c>
      <c r="H1169" s="3"/>
      <c r="I1169" s="3" t="s">
        <v>1415</v>
      </c>
      <c r="J1169" s="4" t="str">
        <f aca="false">IF(AND($A1169&lt;&gt;"",$A1169=Подбор!$C$4),MAX(J$1:J1168)+1,"")</f>
        <v/>
      </c>
    </row>
    <row r="1170" customFormat="false" ht="15" hidden="false" customHeight="false" outlineLevel="0" collapsed="false">
      <c r="A1170" s="3" t="s">
        <v>1269</v>
      </c>
      <c r="B1170" s="3" t="s">
        <v>68</v>
      </c>
      <c r="C1170" s="3" t="s">
        <v>11</v>
      </c>
      <c r="D1170" s="3" t="s">
        <v>12</v>
      </c>
      <c r="E1170" s="3" t="s">
        <v>1563</v>
      </c>
      <c r="F1170" s="3" t="s">
        <v>1403</v>
      </c>
      <c r="G1170" s="3"/>
      <c r="H1170" s="3"/>
      <c r="I1170" s="3"/>
      <c r="J1170" s="4" t="str">
        <f aca="false">IF(AND($A1170&lt;&gt;"",$A1170=Подбор!$C$4),MAX(J$1:J1169)+1,"")</f>
        <v/>
      </c>
    </row>
    <row r="1171" customFormat="false" ht="15" hidden="false" customHeight="false" outlineLevel="0" collapsed="false">
      <c r="A1171" s="3" t="s">
        <v>1270</v>
      </c>
      <c r="B1171" s="3" t="s">
        <v>68</v>
      </c>
      <c r="C1171" s="3" t="s">
        <v>11</v>
      </c>
      <c r="D1171" s="3" t="s">
        <v>12</v>
      </c>
      <c r="E1171" s="3" t="s">
        <v>1563</v>
      </c>
      <c r="F1171" s="3" t="s">
        <v>1403</v>
      </c>
      <c r="G1171" s="3"/>
      <c r="H1171" s="3"/>
      <c r="I1171" s="3"/>
      <c r="J1171" s="4" t="str">
        <f aca="false">IF(AND($A1171&lt;&gt;"",$A1171=Подбор!$C$4),MAX(J$1:J1170)+1,"")</f>
        <v/>
      </c>
    </row>
    <row r="1172" customFormat="false" ht="15" hidden="false" customHeight="false" outlineLevel="0" collapsed="false">
      <c r="A1172" s="3" t="s">
        <v>1271</v>
      </c>
      <c r="B1172" s="3" t="s">
        <v>68</v>
      </c>
      <c r="C1172" s="3" t="s">
        <v>11</v>
      </c>
      <c r="D1172" s="3" t="s">
        <v>12</v>
      </c>
      <c r="E1172" s="3" t="s">
        <v>1958</v>
      </c>
      <c r="F1172" s="3" t="s">
        <v>1403</v>
      </c>
      <c r="G1172" s="3"/>
      <c r="H1172" s="3"/>
      <c r="I1172" s="3"/>
      <c r="J1172" s="4" t="str">
        <f aca="false">IF(AND($A1172&lt;&gt;"",$A1172=Подбор!$C$4),MAX(J$1:J1171)+1,"")</f>
        <v/>
      </c>
    </row>
    <row r="1173" customFormat="false" ht="15" hidden="false" customHeight="false" outlineLevel="0" collapsed="false">
      <c r="A1173" s="3" t="s">
        <v>1273</v>
      </c>
      <c r="B1173" s="3" t="s">
        <v>932</v>
      </c>
      <c r="C1173" s="3" t="s">
        <v>567</v>
      </c>
      <c r="D1173" s="3" t="s">
        <v>12</v>
      </c>
      <c r="E1173" s="3" t="s">
        <v>15</v>
      </c>
      <c r="F1173" s="3"/>
      <c r="G1173" s="3"/>
      <c r="H1173" s="3"/>
      <c r="I1173" s="3"/>
      <c r="J1173" s="4" t="str">
        <f aca="false">IF(AND($A1173&lt;&gt;"",$A1173=Подбор!$C$4),MAX(J$1:J1172)+1,"")</f>
        <v/>
      </c>
    </row>
    <row r="1174" customFormat="false" ht="15" hidden="false" customHeight="false" outlineLevel="0" collapsed="false">
      <c r="A1174" s="3" t="s">
        <v>1274</v>
      </c>
      <c r="B1174" s="3" t="s">
        <v>68</v>
      </c>
      <c r="C1174" s="3" t="s">
        <v>11</v>
      </c>
      <c r="D1174" s="3" t="s">
        <v>12</v>
      </c>
      <c r="E1174" s="3" t="s">
        <v>1929</v>
      </c>
      <c r="F1174" s="3" t="s">
        <v>1403</v>
      </c>
      <c r="G1174" s="3" t="n">
        <v>12500</v>
      </c>
      <c r="H1174" s="3"/>
      <c r="I1174" s="3" t="s">
        <v>1415</v>
      </c>
      <c r="J1174" s="4" t="str">
        <f aca="false">IF(AND($A1174&lt;&gt;"",$A1174=Подбор!$C$4),MAX(J$1:J1173)+1,"")</f>
        <v/>
      </c>
    </row>
    <row r="1175" customFormat="false" ht="15" hidden="false" customHeight="false" outlineLevel="0" collapsed="false">
      <c r="A1175" s="3" t="s">
        <v>1275</v>
      </c>
      <c r="B1175" s="3" t="s">
        <v>68</v>
      </c>
      <c r="C1175" s="3" t="s">
        <v>11</v>
      </c>
      <c r="D1175" s="3" t="s">
        <v>12</v>
      </c>
      <c r="E1175" s="3" t="s">
        <v>1929</v>
      </c>
      <c r="F1175" s="3" t="s">
        <v>1403</v>
      </c>
      <c r="G1175" s="3" t="n">
        <v>12500</v>
      </c>
      <c r="H1175" s="3"/>
      <c r="I1175" s="3" t="s">
        <v>1415</v>
      </c>
      <c r="J1175" s="4" t="str">
        <f aca="false">IF(AND($A1175&lt;&gt;"",$A1175=Подбор!$C$4),MAX(J$1:J1174)+1,"")</f>
        <v/>
      </c>
    </row>
    <row r="1176" customFormat="false" ht="15" hidden="false" customHeight="false" outlineLevel="0" collapsed="false">
      <c r="A1176" s="3" t="s">
        <v>1276</v>
      </c>
      <c r="B1176" s="3" t="s">
        <v>57</v>
      </c>
      <c r="C1176" s="3" t="s">
        <v>11</v>
      </c>
      <c r="D1176" s="3" t="s">
        <v>12</v>
      </c>
      <c r="E1176" s="3" t="s">
        <v>1765</v>
      </c>
      <c r="F1176" s="3" t="s">
        <v>1403</v>
      </c>
      <c r="G1176" s="3" t="n">
        <v>7000</v>
      </c>
      <c r="H1176" s="3"/>
      <c r="I1176" s="3" t="s">
        <v>1415</v>
      </c>
      <c r="J1176" s="4" t="str">
        <f aca="false">IF(AND($A1176&lt;&gt;"",$A1176=Подбор!$C$4),MAX(J$1:J1175)+1,"")</f>
        <v/>
      </c>
    </row>
    <row r="1177" customFormat="false" ht="15" hidden="false" customHeight="false" outlineLevel="0" collapsed="false">
      <c r="A1177" s="3" t="s">
        <v>1277</v>
      </c>
      <c r="B1177" s="3" t="s">
        <v>57</v>
      </c>
      <c r="C1177" s="3" t="s">
        <v>11</v>
      </c>
      <c r="D1177" s="3" t="s">
        <v>12</v>
      </c>
      <c r="E1177" s="3" t="s">
        <v>1959</v>
      </c>
      <c r="F1177" s="3" t="s">
        <v>1403</v>
      </c>
      <c r="G1177" s="3" t="n">
        <v>1000</v>
      </c>
      <c r="H1177" s="3"/>
      <c r="I1177" s="3" t="s">
        <v>1415</v>
      </c>
      <c r="J1177" s="4" t="str">
        <f aca="false">IF(AND($A1177&lt;&gt;"",$A1177=Подбор!$C$4),MAX(J$1:J1176)+1,"")</f>
        <v/>
      </c>
    </row>
    <row r="1178" customFormat="false" ht="15" hidden="false" customHeight="false" outlineLevel="0" collapsed="false">
      <c r="A1178" s="3" t="s">
        <v>1279</v>
      </c>
      <c r="B1178" s="3" t="s">
        <v>57</v>
      </c>
      <c r="C1178" s="3" t="s">
        <v>11</v>
      </c>
      <c r="D1178" s="3" t="s">
        <v>12</v>
      </c>
      <c r="E1178" s="3" t="s">
        <v>1442</v>
      </c>
      <c r="F1178" s="3" t="s">
        <v>1403</v>
      </c>
      <c r="G1178" s="3" t="n">
        <v>1500</v>
      </c>
      <c r="H1178" s="3"/>
      <c r="I1178" s="3" t="s">
        <v>1415</v>
      </c>
      <c r="J1178" s="4" t="str">
        <f aca="false">IF(AND($A1178&lt;&gt;"",$A1178=Подбор!$C$4),MAX(J$1:J1177)+1,"")</f>
        <v/>
      </c>
    </row>
    <row r="1179" customFormat="false" ht="15" hidden="false" customHeight="false" outlineLevel="0" collapsed="false">
      <c r="A1179" s="3" t="s">
        <v>1280</v>
      </c>
      <c r="B1179" s="3" t="s">
        <v>57</v>
      </c>
      <c r="C1179" s="3" t="s">
        <v>11</v>
      </c>
      <c r="D1179" s="3" t="s">
        <v>12</v>
      </c>
      <c r="E1179" s="3" t="s">
        <v>1960</v>
      </c>
      <c r="F1179" s="3" t="s">
        <v>1403</v>
      </c>
      <c r="G1179" s="3" t="n">
        <v>2300</v>
      </c>
      <c r="H1179" s="3"/>
      <c r="I1179" s="3" t="s">
        <v>1415</v>
      </c>
      <c r="J1179" s="4" t="str">
        <f aca="false">IF(AND($A1179&lt;&gt;"",$A1179=Подбор!$C$4),MAX(J$1:J1178)+1,"")</f>
        <v/>
      </c>
    </row>
    <row r="1180" customFormat="false" ht="15" hidden="false" customHeight="false" outlineLevel="0" collapsed="false">
      <c r="A1180" s="3" t="s">
        <v>1282</v>
      </c>
      <c r="B1180" s="3" t="s">
        <v>57</v>
      </c>
      <c r="C1180" s="3" t="s">
        <v>11</v>
      </c>
      <c r="D1180" s="3" t="s">
        <v>12</v>
      </c>
      <c r="E1180" s="3" t="s">
        <v>1960</v>
      </c>
      <c r="F1180" s="3" t="s">
        <v>1403</v>
      </c>
      <c r="G1180" s="3" t="n">
        <v>2300</v>
      </c>
      <c r="H1180" s="3"/>
      <c r="I1180" s="3" t="s">
        <v>1415</v>
      </c>
      <c r="J1180" s="4" t="str">
        <f aca="false">IF(AND($A1180&lt;&gt;"",$A1180=Подбор!$C$4),MAX(J$1:J1179)+1,"")</f>
        <v/>
      </c>
    </row>
    <row r="1181" customFormat="false" ht="15" hidden="false" customHeight="false" outlineLevel="0" collapsed="false">
      <c r="A1181" s="3" t="s">
        <v>1283</v>
      </c>
      <c r="B1181" s="3" t="s">
        <v>57</v>
      </c>
      <c r="C1181" s="3" t="s">
        <v>11</v>
      </c>
      <c r="D1181" s="3" t="s">
        <v>12</v>
      </c>
      <c r="E1181" s="3" t="s">
        <v>1442</v>
      </c>
      <c r="F1181" s="3" t="s">
        <v>1403</v>
      </c>
      <c r="G1181" s="3" t="n">
        <v>1500</v>
      </c>
      <c r="H1181" s="3"/>
      <c r="I1181" s="3" t="s">
        <v>1415</v>
      </c>
      <c r="J1181" s="4" t="str">
        <f aca="false">IF(AND($A1181&lt;&gt;"",$A1181=Подбор!$C$4),MAX(J$1:J1180)+1,"")</f>
        <v/>
      </c>
    </row>
    <row r="1182" customFormat="false" ht="15" hidden="false" customHeight="false" outlineLevel="0" collapsed="false">
      <c r="A1182" s="3" t="s">
        <v>1284</v>
      </c>
      <c r="B1182" s="3" t="s">
        <v>57</v>
      </c>
      <c r="C1182" s="3" t="s">
        <v>11</v>
      </c>
      <c r="D1182" s="3" t="s">
        <v>12</v>
      </c>
      <c r="E1182" s="3" t="s">
        <v>1961</v>
      </c>
      <c r="F1182" s="3" t="s">
        <v>1403</v>
      </c>
      <c r="G1182" s="3"/>
      <c r="H1182" s="3"/>
      <c r="I1182" s="3"/>
      <c r="J1182" s="4" t="str">
        <f aca="false">IF(AND($A1182&lt;&gt;"",$A1182=Подбор!$C$4),MAX(J$1:J1181)+1,"")</f>
        <v/>
      </c>
    </row>
    <row r="1183" customFormat="false" ht="15" hidden="false" customHeight="false" outlineLevel="0" collapsed="false">
      <c r="A1183" s="3" t="s">
        <v>1286</v>
      </c>
      <c r="B1183" s="3" t="s">
        <v>57</v>
      </c>
      <c r="C1183" s="3" t="s">
        <v>11</v>
      </c>
      <c r="D1183" s="3" t="s">
        <v>12</v>
      </c>
      <c r="E1183" s="3" t="s">
        <v>1961</v>
      </c>
      <c r="F1183" s="3" t="s">
        <v>1403</v>
      </c>
      <c r="G1183" s="3"/>
      <c r="H1183" s="3"/>
      <c r="I1183" s="3"/>
      <c r="J1183" s="4" t="str">
        <f aca="false">IF(AND($A1183&lt;&gt;"",$A1183=Подбор!$C$4),MAX(J$1:J1182)+1,"")</f>
        <v/>
      </c>
    </row>
    <row r="1184" customFormat="false" ht="15" hidden="false" customHeight="false" outlineLevel="0" collapsed="false">
      <c r="A1184" s="3" t="s">
        <v>1287</v>
      </c>
      <c r="B1184" s="3" t="s">
        <v>57</v>
      </c>
      <c r="C1184" s="3" t="s">
        <v>11</v>
      </c>
      <c r="D1184" s="3" t="s">
        <v>12</v>
      </c>
      <c r="E1184" s="3" t="s">
        <v>1962</v>
      </c>
      <c r="F1184" s="3" t="s">
        <v>1403</v>
      </c>
      <c r="G1184" s="3" t="n">
        <v>3500</v>
      </c>
      <c r="H1184" s="3"/>
      <c r="I1184" s="3" t="s">
        <v>1415</v>
      </c>
      <c r="J1184" s="4" t="str">
        <f aca="false">IF(AND($A1184&lt;&gt;"",$A1184=Подбор!$C$4),MAX(J$1:J1183)+1,"")</f>
        <v/>
      </c>
    </row>
    <row r="1185" customFormat="false" ht="15" hidden="false" customHeight="false" outlineLevel="0" collapsed="false">
      <c r="A1185" s="3" t="s">
        <v>1289</v>
      </c>
      <c r="B1185" s="3" t="s">
        <v>57</v>
      </c>
      <c r="C1185" s="3" t="s">
        <v>11</v>
      </c>
      <c r="D1185" s="3" t="s">
        <v>12</v>
      </c>
      <c r="E1185" s="3" t="s">
        <v>1765</v>
      </c>
      <c r="F1185" s="3" t="s">
        <v>1403</v>
      </c>
      <c r="G1185" s="3" t="n">
        <v>7000</v>
      </c>
      <c r="H1185" s="3"/>
      <c r="I1185" s="3" t="s">
        <v>1415</v>
      </c>
      <c r="J1185" s="4" t="str">
        <f aca="false">IF(AND($A1185&lt;&gt;"",$A1185=Подбор!$C$4),MAX(J$1:J1184)+1,"")</f>
        <v/>
      </c>
    </row>
    <row r="1186" customFormat="false" ht="15" hidden="false" customHeight="false" outlineLevel="0" collapsed="false">
      <c r="A1186" s="3" t="s">
        <v>1290</v>
      </c>
      <c r="B1186" s="3" t="s">
        <v>57</v>
      </c>
      <c r="C1186" s="3" t="s">
        <v>11</v>
      </c>
      <c r="D1186" s="3" t="s">
        <v>12</v>
      </c>
      <c r="E1186" s="3" t="s">
        <v>1961</v>
      </c>
      <c r="F1186" s="3" t="s">
        <v>1403</v>
      </c>
      <c r="G1186" s="3"/>
      <c r="H1186" s="3"/>
      <c r="I1186" s="3"/>
      <c r="J1186" s="4" t="str">
        <f aca="false">IF(AND($A1186&lt;&gt;"",$A1186=Подбор!$C$4),MAX(J$1:J1185)+1,"")</f>
        <v/>
      </c>
    </row>
    <row r="1187" customFormat="false" ht="15" hidden="false" customHeight="false" outlineLevel="0" collapsed="false">
      <c r="A1187" s="3" t="s">
        <v>1291</v>
      </c>
      <c r="B1187" s="3" t="s">
        <v>57</v>
      </c>
      <c r="C1187" s="3" t="s">
        <v>11</v>
      </c>
      <c r="D1187" s="3" t="s">
        <v>12</v>
      </c>
      <c r="E1187" s="3" t="s">
        <v>1962</v>
      </c>
      <c r="F1187" s="3" t="s">
        <v>1403</v>
      </c>
      <c r="G1187" s="3" t="n">
        <v>3500</v>
      </c>
      <c r="H1187" s="3"/>
      <c r="I1187" s="3" t="s">
        <v>1415</v>
      </c>
      <c r="J1187" s="4" t="str">
        <f aca="false">IF(AND($A1187&lt;&gt;"",$A1187=Подбор!$C$4),MAX(J$1:J1186)+1,"")</f>
        <v/>
      </c>
    </row>
    <row r="1188" customFormat="false" ht="15" hidden="false" customHeight="false" outlineLevel="0" collapsed="false">
      <c r="A1188" s="3" t="s">
        <v>1292</v>
      </c>
      <c r="B1188" s="3" t="s">
        <v>57</v>
      </c>
      <c r="C1188" s="3" t="s">
        <v>11</v>
      </c>
      <c r="D1188" s="3" t="s">
        <v>12</v>
      </c>
      <c r="E1188" s="3" t="s">
        <v>1962</v>
      </c>
      <c r="F1188" s="3" t="s">
        <v>1403</v>
      </c>
      <c r="G1188" s="3" t="n">
        <v>3500</v>
      </c>
      <c r="H1188" s="3"/>
      <c r="I1188" s="3" t="s">
        <v>1415</v>
      </c>
      <c r="J1188" s="4" t="str">
        <f aca="false">IF(AND($A1188&lt;&gt;"",$A1188=Подбор!$C$4),MAX(J$1:J1187)+1,"")</f>
        <v/>
      </c>
    </row>
    <row r="1189" customFormat="false" ht="15" hidden="false" customHeight="false" outlineLevel="0" collapsed="false">
      <c r="A1189" s="3" t="s">
        <v>1293</v>
      </c>
      <c r="B1189" s="3" t="s">
        <v>57</v>
      </c>
      <c r="C1189" s="3" t="s">
        <v>11</v>
      </c>
      <c r="D1189" s="3" t="s">
        <v>12</v>
      </c>
      <c r="E1189" s="3" t="s">
        <v>1962</v>
      </c>
      <c r="F1189" s="3" t="s">
        <v>1403</v>
      </c>
      <c r="G1189" s="3" t="n">
        <v>3500</v>
      </c>
      <c r="H1189" s="3"/>
      <c r="I1189" s="3" t="s">
        <v>1415</v>
      </c>
      <c r="J1189" s="4" t="str">
        <f aca="false">IF(AND($A1189&lt;&gt;"",$A1189=Подбор!$C$4),MAX(J$1:J1188)+1,"")</f>
        <v/>
      </c>
    </row>
    <row r="1190" customFormat="false" ht="15" hidden="false" customHeight="false" outlineLevel="0" collapsed="false">
      <c r="A1190" s="3" t="s">
        <v>1294</v>
      </c>
      <c r="B1190" s="3" t="s">
        <v>57</v>
      </c>
      <c r="C1190" s="3" t="s">
        <v>11</v>
      </c>
      <c r="D1190" s="3" t="s">
        <v>12</v>
      </c>
      <c r="E1190" s="3" t="s">
        <v>1811</v>
      </c>
      <c r="F1190" s="3" t="s">
        <v>1403</v>
      </c>
      <c r="G1190" s="3" t="n">
        <v>1500</v>
      </c>
      <c r="H1190" s="3"/>
      <c r="I1190" s="3" t="s">
        <v>1415</v>
      </c>
      <c r="J1190" s="4" t="str">
        <f aca="false">IF(AND($A1190&lt;&gt;"",$A1190=Подбор!$C$4),MAX(J$1:J1189)+1,"")</f>
        <v/>
      </c>
    </row>
    <row r="1191" customFormat="false" ht="15" hidden="false" customHeight="false" outlineLevel="0" collapsed="false">
      <c r="A1191" s="3" t="s">
        <v>1295</v>
      </c>
      <c r="B1191" s="3" t="s">
        <v>57</v>
      </c>
      <c r="C1191" s="3" t="s">
        <v>11</v>
      </c>
      <c r="D1191" s="3" t="s">
        <v>12</v>
      </c>
      <c r="E1191" s="3" t="s">
        <v>1908</v>
      </c>
      <c r="F1191" s="3" t="s">
        <v>1403</v>
      </c>
      <c r="G1191" s="3" t="n">
        <v>1600</v>
      </c>
      <c r="H1191" s="3"/>
      <c r="I1191" s="3" t="s">
        <v>1415</v>
      </c>
      <c r="J1191" s="4" t="str">
        <f aca="false">IF(AND($A1191&lt;&gt;"",$A1191=Подбор!$C$4),MAX(J$1:J1190)+1,"")</f>
        <v/>
      </c>
    </row>
    <row r="1192" customFormat="false" ht="15" hidden="false" customHeight="false" outlineLevel="0" collapsed="false">
      <c r="A1192" s="3" t="s">
        <v>1295</v>
      </c>
      <c r="B1192" s="3" t="s">
        <v>57</v>
      </c>
      <c r="C1192" s="3" t="s">
        <v>11</v>
      </c>
      <c r="D1192" s="3" t="s">
        <v>12</v>
      </c>
      <c r="E1192" s="3" t="s">
        <v>1909</v>
      </c>
      <c r="F1192" s="3" t="s">
        <v>1421</v>
      </c>
      <c r="G1192" s="3" t="n">
        <v>1600</v>
      </c>
      <c r="H1192" s="3"/>
      <c r="I1192" s="3" t="s">
        <v>1415</v>
      </c>
      <c r="J1192" s="4" t="str">
        <f aca="false">IF(AND($A1192&lt;&gt;"",$A1192=Подбор!$C$4),MAX(J$1:J1191)+1,"")</f>
        <v/>
      </c>
    </row>
    <row r="1193" customFormat="false" ht="15" hidden="false" customHeight="false" outlineLevel="0" collapsed="false">
      <c r="A1193" s="3" t="s">
        <v>1296</v>
      </c>
      <c r="B1193" s="3" t="s">
        <v>57</v>
      </c>
      <c r="C1193" s="3" t="s">
        <v>11</v>
      </c>
      <c r="D1193" s="3" t="s">
        <v>12</v>
      </c>
      <c r="E1193" s="3" t="s">
        <v>1681</v>
      </c>
      <c r="F1193" s="3" t="s">
        <v>1403</v>
      </c>
      <c r="G1193" s="3" t="n">
        <v>1500</v>
      </c>
      <c r="H1193" s="3"/>
      <c r="I1193" s="3" t="s">
        <v>1415</v>
      </c>
      <c r="J1193" s="4" t="str">
        <f aca="false">IF(AND($A1193&lt;&gt;"",$A1193=Подбор!$C$4),MAX(J$1:J1192)+1,"")</f>
        <v/>
      </c>
    </row>
    <row r="1194" customFormat="false" ht="15" hidden="false" customHeight="false" outlineLevel="0" collapsed="false">
      <c r="A1194" s="3" t="s">
        <v>1297</v>
      </c>
      <c r="B1194" s="3" t="s">
        <v>57</v>
      </c>
      <c r="C1194" s="3" t="s">
        <v>11</v>
      </c>
      <c r="D1194" s="3" t="s">
        <v>12</v>
      </c>
      <c r="E1194" s="3" t="s">
        <v>1963</v>
      </c>
      <c r="F1194" s="3" t="s">
        <v>1403</v>
      </c>
      <c r="G1194" s="3" t="n">
        <v>1400</v>
      </c>
      <c r="H1194" s="3"/>
      <c r="I1194" s="3" t="s">
        <v>1415</v>
      </c>
      <c r="J1194" s="4" t="str">
        <f aca="false">IF(AND($A1194&lt;&gt;"",$A1194=Подбор!$C$4),MAX(J$1:J1193)+1,"")</f>
        <v/>
      </c>
    </row>
    <row r="1195" customFormat="false" ht="15" hidden="false" customHeight="false" outlineLevel="0" collapsed="false">
      <c r="A1195" s="3" t="s">
        <v>1297</v>
      </c>
      <c r="B1195" s="3" t="s">
        <v>57</v>
      </c>
      <c r="C1195" s="3" t="s">
        <v>11</v>
      </c>
      <c r="D1195" s="3" t="s">
        <v>12</v>
      </c>
      <c r="E1195" s="3" t="s">
        <v>1964</v>
      </c>
      <c r="F1195" s="3" t="s">
        <v>1421</v>
      </c>
      <c r="G1195" s="3" t="n">
        <v>1400</v>
      </c>
      <c r="H1195" s="3"/>
      <c r="I1195" s="3" t="s">
        <v>1415</v>
      </c>
      <c r="J1195" s="4" t="str">
        <f aca="false">IF(AND($A1195&lt;&gt;"",$A1195=Подбор!$C$4),MAX(J$1:J1194)+1,"")</f>
        <v/>
      </c>
    </row>
    <row r="1196" customFormat="false" ht="15" hidden="false" customHeight="false" outlineLevel="0" collapsed="false">
      <c r="A1196" s="3" t="s">
        <v>1299</v>
      </c>
      <c r="B1196" s="3" t="s">
        <v>57</v>
      </c>
      <c r="C1196" s="3" t="s">
        <v>11</v>
      </c>
      <c r="D1196" s="3" t="s">
        <v>12</v>
      </c>
      <c r="E1196" s="3" t="s">
        <v>1960</v>
      </c>
      <c r="F1196" s="3" t="s">
        <v>1403</v>
      </c>
      <c r="G1196" s="3" t="n">
        <v>2300</v>
      </c>
      <c r="H1196" s="3"/>
      <c r="I1196" s="3" t="s">
        <v>1415</v>
      </c>
      <c r="J1196" s="4" t="str">
        <f aca="false">IF(AND($A1196&lt;&gt;"",$A1196=Подбор!$C$4),MAX(J$1:J1195)+1,"")</f>
        <v/>
      </c>
    </row>
    <row r="1197" customFormat="false" ht="15" hidden="false" customHeight="false" outlineLevel="0" collapsed="false">
      <c r="A1197" s="3" t="s">
        <v>1300</v>
      </c>
      <c r="B1197" s="3" t="s">
        <v>57</v>
      </c>
      <c r="C1197" s="3" t="s">
        <v>11</v>
      </c>
      <c r="D1197" s="3" t="s">
        <v>12</v>
      </c>
      <c r="E1197" s="3" t="s">
        <v>1908</v>
      </c>
      <c r="F1197" s="3" t="s">
        <v>1403</v>
      </c>
      <c r="G1197" s="3" t="n">
        <v>1600</v>
      </c>
      <c r="H1197" s="3"/>
      <c r="I1197" s="3" t="s">
        <v>1415</v>
      </c>
      <c r="J1197" s="4" t="str">
        <f aca="false">IF(AND($A1197&lt;&gt;"",$A1197=Подбор!$C$4),MAX(J$1:J1196)+1,"")</f>
        <v/>
      </c>
    </row>
    <row r="1198" customFormat="false" ht="15" hidden="false" customHeight="false" outlineLevel="0" collapsed="false">
      <c r="A1198" s="3" t="s">
        <v>1301</v>
      </c>
      <c r="B1198" s="3" t="s">
        <v>57</v>
      </c>
      <c r="C1198" s="3" t="s">
        <v>11</v>
      </c>
      <c r="D1198" s="3" t="s">
        <v>12</v>
      </c>
      <c r="E1198" s="3" t="s">
        <v>1534</v>
      </c>
      <c r="F1198" s="3" t="s">
        <v>1403</v>
      </c>
      <c r="G1198" s="3" t="n">
        <v>2000</v>
      </c>
      <c r="H1198" s="3"/>
      <c r="I1198" s="3" t="s">
        <v>1415</v>
      </c>
      <c r="J1198" s="4" t="str">
        <f aca="false">IF(AND($A1198&lt;&gt;"",$A1198=Подбор!$C$4),MAX(J$1:J1197)+1,"")</f>
        <v/>
      </c>
    </row>
    <row r="1199" customFormat="false" ht="15" hidden="false" customHeight="false" outlineLevel="0" collapsed="false">
      <c r="A1199" s="3" t="s">
        <v>1302</v>
      </c>
      <c r="B1199" s="3" t="s">
        <v>57</v>
      </c>
      <c r="C1199" s="3" t="s">
        <v>11</v>
      </c>
      <c r="D1199" s="3" t="s">
        <v>12</v>
      </c>
      <c r="E1199" s="3" t="s">
        <v>1965</v>
      </c>
      <c r="F1199" s="3" t="s">
        <v>1403</v>
      </c>
      <c r="G1199" s="3" t="n">
        <v>3500</v>
      </c>
      <c r="H1199" s="3"/>
      <c r="I1199" s="3" t="s">
        <v>1415</v>
      </c>
      <c r="J1199" s="4" t="str">
        <f aca="false">IF(AND($A1199&lt;&gt;"",$A1199=Подбор!$C$4),MAX(J$1:J1198)+1,"")</f>
        <v/>
      </c>
    </row>
    <row r="1200" customFormat="false" ht="15" hidden="false" customHeight="false" outlineLevel="0" collapsed="false">
      <c r="A1200" s="3" t="s">
        <v>1304</v>
      </c>
      <c r="B1200" s="3" t="s">
        <v>57</v>
      </c>
      <c r="C1200" s="3" t="s">
        <v>11</v>
      </c>
      <c r="D1200" s="3" t="s">
        <v>12</v>
      </c>
      <c r="E1200" s="3" t="s">
        <v>1960</v>
      </c>
      <c r="F1200" s="3" t="s">
        <v>1403</v>
      </c>
      <c r="G1200" s="3" t="n">
        <v>2300</v>
      </c>
      <c r="H1200" s="3"/>
      <c r="I1200" s="3" t="s">
        <v>1415</v>
      </c>
      <c r="J1200" s="4" t="str">
        <f aca="false">IF(AND($A1200&lt;&gt;"",$A1200=Подбор!$C$4),MAX(J$1:J1199)+1,"")</f>
        <v/>
      </c>
    </row>
    <row r="1201" customFormat="false" ht="15" hidden="false" customHeight="false" outlineLevel="0" collapsed="false">
      <c r="A1201" s="3" t="s">
        <v>1305</v>
      </c>
      <c r="B1201" s="3" t="s">
        <v>57</v>
      </c>
      <c r="C1201" s="3" t="s">
        <v>11</v>
      </c>
      <c r="D1201" s="3" t="s">
        <v>12</v>
      </c>
      <c r="E1201" s="3" t="s">
        <v>1963</v>
      </c>
      <c r="F1201" s="3" t="s">
        <v>1403</v>
      </c>
      <c r="G1201" s="3" t="n">
        <v>1400</v>
      </c>
      <c r="H1201" s="3"/>
      <c r="I1201" s="3" t="s">
        <v>1415</v>
      </c>
      <c r="J1201" s="4" t="str">
        <f aca="false">IF(AND($A1201&lt;&gt;"",$A1201=Подбор!$C$4),MAX(J$1:J1200)+1,"")</f>
        <v/>
      </c>
    </row>
    <row r="1202" customFormat="false" ht="15" hidden="false" customHeight="false" outlineLevel="0" collapsed="false">
      <c r="A1202" s="3" t="s">
        <v>1306</v>
      </c>
      <c r="B1202" s="3" t="s">
        <v>57</v>
      </c>
      <c r="C1202" s="3" t="s">
        <v>11</v>
      </c>
      <c r="D1202" s="3" t="s">
        <v>12</v>
      </c>
      <c r="E1202" s="3" t="s">
        <v>1966</v>
      </c>
      <c r="F1202" s="3" t="s">
        <v>1403</v>
      </c>
      <c r="G1202" s="3" t="n">
        <v>1300</v>
      </c>
      <c r="H1202" s="3"/>
      <c r="I1202" s="3" t="s">
        <v>1415</v>
      </c>
      <c r="J1202" s="4" t="str">
        <f aca="false">IF(AND($A1202&lt;&gt;"",$A1202=Подбор!$C$4),MAX(J$1:J1201)+1,"")</f>
        <v/>
      </c>
    </row>
    <row r="1203" customFormat="false" ht="15" hidden="false" customHeight="false" outlineLevel="0" collapsed="false">
      <c r="A1203" s="3" t="s">
        <v>1308</v>
      </c>
      <c r="B1203" s="3" t="s">
        <v>57</v>
      </c>
      <c r="C1203" s="3" t="s">
        <v>11</v>
      </c>
      <c r="D1203" s="3" t="s">
        <v>12</v>
      </c>
      <c r="E1203" s="3" t="s">
        <v>1908</v>
      </c>
      <c r="F1203" s="3" t="s">
        <v>1403</v>
      </c>
      <c r="G1203" s="3" t="n">
        <v>1600</v>
      </c>
      <c r="H1203" s="3"/>
      <c r="I1203" s="3" t="s">
        <v>1415</v>
      </c>
      <c r="J1203" s="4" t="str">
        <f aca="false">IF(AND($A1203&lt;&gt;"",$A1203=Подбор!$C$4),MAX(J$1:J1202)+1,"")</f>
        <v/>
      </c>
    </row>
    <row r="1204" customFormat="false" ht="15" hidden="false" customHeight="false" outlineLevel="0" collapsed="false">
      <c r="A1204" s="3" t="s">
        <v>1309</v>
      </c>
      <c r="B1204" s="3" t="s">
        <v>57</v>
      </c>
      <c r="C1204" s="3" t="s">
        <v>11</v>
      </c>
      <c r="D1204" s="3" t="s">
        <v>12</v>
      </c>
      <c r="E1204" s="3" t="s">
        <v>1554</v>
      </c>
      <c r="F1204" s="3" t="s">
        <v>1403</v>
      </c>
      <c r="G1204" s="3" t="n">
        <v>2700</v>
      </c>
      <c r="H1204" s="3"/>
      <c r="I1204" s="3" t="s">
        <v>1415</v>
      </c>
      <c r="J1204" s="4" t="str">
        <f aca="false">IF(AND($A1204&lt;&gt;"",$A1204=Подбор!$C$4),MAX(J$1:J1203)+1,"")</f>
        <v/>
      </c>
    </row>
    <row r="1205" customFormat="false" ht="15" hidden="false" customHeight="false" outlineLevel="0" collapsed="false">
      <c r="A1205" s="3" t="s">
        <v>1310</v>
      </c>
      <c r="B1205" s="3" t="s">
        <v>57</v>
      </c>
      <c r="C1205" s="3" t="s">
        <v>11</v>
      </c>
      <c r="D1205" s="3" t="s">
        <v>12</v>
      </c>
      <c r="E1205" s="3" t="s">
        <v>1772</v>
      </c>
      <c r="F1205" s="3" t="s">
        <v>1403</v>
      </c>
      <c r="G1205" s="3" t="n">
        <v>2100</v>
      </c>
      <c r="H1205" s="3"/>
      <c r="I1205" s="3" t="s">
        <v>1415</v>
      </c>
      <c r="J1205" s="4" t="str">
        <f aca="false">IF(AND($A1205&lt;&gt;"",$A1205=Подбор!$C$4),MAX(J$1:J1204)+1,"")</f>
        <v/>
      </c>
    </row>
    <row r="1206" customFormat="false" ht="15" hidden="false" customHeight="false" outlineLevel="0" collapsed="false">
      <c r="A1206" s="3" t="s">
        <v>1311</v>
      </c>
      <c r="B1206" s="3" t="s">
        <v>57</v>
      </c>
      <c r="C1206" s="3" t="s">
        <v>11</v>
      </c>
      <c r="D1206" s="3" t="s">
        <v>12</v>
      </c>
      <c r="E1206" s="3" t="s">
        <v>1967</v>
      </c>
      <c r="F1206" s="3" t="s">
        <v>1403</v>
      </c>
      <c r="G1206" s="3"/>
      <c r="H1206" s="3"/>
      <c r="I1206" s="3"/>
      <c r="J1206" s="4" t="str">
        <f aca="false">IF(AND($A1206&lt;&gt;"",$A1206=Подбор!$C$4),MAX(J$1:J1205)+1,"")</f>
        <v/>
      </c>
    </row>
    <row r="1207" customFormat="false" ht="15" hidden="false" customHeight="false" outlineLevel="0" collapsed="false">
      <c r="A1207" s="3" t="s">
        <v>1313</v>
      </c>
      <c r="B1207" s="3" t="s">
        <v>57</v>
      </c>
      <c r="C1207" s="3" t="s">
        <v>11</v>
      </c>
      <c r="D1207" s="3" t="s">
        <v>12</v>
      </c>
      <c r="E1207" s="3" t="s">
        <v>1949</v>
      </c>
      <c r="F1207" s="3" t="s">
        <v>1403</v>
      </c>
      <c r="G1207" s="3" t="n">
        <v>7500</v>
      </c>
      <c r="H1207" s="3"/>
      <c r="I1207" s="3" t="s">
        <v>1415</v>
      </c>
      <c r="J1207" s="4" t="str">
        <f aca="false">IF(AND($A1207&lt;&gt;"",$A1207=Подбор!$C$4),MAX(J$1:J1206)+1,"")</f>
        <v/>
      </c>
    </row>
    <row r="1208" customFormat="false" ht="15" hidden="false" customHeight="false" outlineLevel="0" collapsed="false">
      <c r="A1208" s="3" t="s">
        <v>1314</v>
      </c>
      <c r="B1208" s="3" t="s">
        <v>57</v>
      </c>
      <c r="C1208" s="3" t="s">
        <v>11</v>
      </c>
      <c r="D1208" s="3" t="s">
        <v>12</v>
      </c>
      <c r="E1208" s="3" t="s">
        <v>1963</v>
      </c>
      <c r="F1208" s="3" t="s">
        <v>1403</v>
      </c>
      <c r="G1208" s="3" t="n">
        <v>1400</v>
      </c>
      <c r="H1208" s="3"/>
      <c r="I1208" s="3" t="s">
        <v>1415</v>
      </c>
      <c r="J1208" s="4" t="str">
        <f aca="false">IF(AND($A1208&lt;&gt;"",$A1208=Подбор!$C$4),MAX(J$1:J1207)+1,"")</f>
        <v/>
      </c>
    </row>
    <row r="1209" customFormat="false" ht="15" hidden="false" customHeight="false" outlineLevel="0" collapsed="false">
      <c r="A1209" s="3" t="s">
        <v>1315</v>
      </c>
      <c r="B1209" s="3" t="s">
        <v>57</v>
      </c>
      <c r="C1209" s="3" t="s">
        <v>11</v>
      </c>
      <c r="D1209" s="3" t="s">
        <v>12</v>
      </c>
      <c r="E1209" s="3" t="s">
        <v>1765</v>
      </c>
      <c r="F1209" s="3" t="s">
        <v>1403</v>
      </c>
      <c r="G1209" s="3" t="n">
        <v>7000</v>
      </c>
      <c r="H1209" s="3"/>
      <c r="I1209" s="3" t="s">
        <v>1415</v>
      </c>
      <c r="J1209" s="4" t="str">
        <f aca="false">IF(AND($A1209&lt;&gt;"",$A1209=Подбор!$C$4),MAX(J$1:J1208)+1,"")</f>
        <v/>
      </c>
    </row>
    <row r="1210" customFormat="false" ht="15" hidden="false" customHeight="false" outlineLevel="0" collapsed="false">
      <c r="A1210" s="3" t="s">
        <v>1316</v>
      </c>
      <c r="B1210" s="3" t="s">
        <v>57</v>
      </c>
      <c r="C1210" s="3" t="s">
        <v>11</v>
      </c>
      <c r="D1210" s="3" t="s">
        <v>12</v>
      </c>
      <c r="E1210" s="3" t="s">
        <v>1462</v>
      </c>
      <c r="F1210" s="3" t="s">
        <v>1403</v>
      </c>
      <c r="G1210" s="3" t="n">
        <v>1600</v>
      </c>
      <c r="H1210" s="3"/>
      <c r="I1210" s="3" t="s">
        <v>1415</v>
      </c>
      <c r="J1210" s="4" t="str">
        <f aca="false">IF(AND($A1210&lt;&gt;"",$A1210=Подбор!$C$4),MAX(J$1:J1209)+1,"")</f>
        <v/>
      </c>
    </row>
    <row r="1211" customFormat="false" ht="15" hidden="false" customHeight="false" outlineLevel="0" collapsed="false">
      <c r="A1211" s="3" t="s">
        <v>1317</v>
      </c>
      <c r="B1211" s="3" t="s">
        <v>57</v>
      </c>
      <c r="C1211" s="3" t="s">
        <v>11</v>
      </c>
      <c r="D1211" s="3" t="s">
        <v>12</v>
      </c>
      <c r="E1211" s="3" t="s">
        <v>1963</v>
      </c>
      <c r="F1211" s="3" t="s">
        <v>1403</v>
      </c>
      <c r="G1211" s="3" t="n">
        <v>1400</v>
      </c>
      <c r="H1211" s="3"/>
      <c r="I1211" s="3" t="s">
        <v>1415</v>
      </c>
      <c r="J1211" s="4" t="str">
        <f aca="false">IF(AND($A1211&lt;&gt;"",$A1211=Подбор!$C$4),MAX(J$1:J1210)+1,"")</f>
        <v/>
      </c>
    </row>
    <row r="1212" customFormat="false" ht="15" hidden="false" customHeight="false" outlineLevel="0" collapsed="false">
      <c r="A1212" s="3" t="s">
        <v>1318</v>
      </c>
      <c r="B1212" s="3" t="s">
        <v>68</v>
      </c>
      <c r="C1212" s="3" t="s">
        <v>11</v>
      </c>
      <c r="D1212" s="3" t="s">
        <v>12</v>
      </c>
      <c r="E1212" s="3" t="s">
        <v>1968</v>
      </c>
      <c r="F1212" s="3" t="s">
        <v>1403</v>
      </c>
      <c r="G1212" s="3"/>
      <c r="H1212" s="3"/>
      <c r="I1212" s="3"/>
      <c r="J1212" s="4" t="str">
        <f aca="false">IF(AND($A1212&lt;&gt;"",$A1212=Подбор!$C$4),MAX(J$1:J1211)+1,"")</f>
        <v/>
      </c>
    </row>
    <row r="1213" customFormat="false" ht="15" hidden="false" customHeight="false" outlineLevel="0" collapsed="false">
      <c r="A1213" s="3" t="s">
        <v>1318</v>
      </c>
      <c r="B1213" s="3" t="s">
        <v>68</v>
      </c>
      <c r="C1213" s="3" t="s">
        <v>11</v>
      </c>
      <c r="D1213" s="3" t="s">
        <v>21</v>
      </c>
      <c r="E1213" s="3" t="s">
        <v>1969</v>
      </c>
      <c r="F1213" s="3" t="s">
        <v>1403</v>
      </c>
      <c r="G1213" s="3" t="n">
        <v>6000</v>
      </c>
      <c r="H1213" s="3"/>
      <c r="I1213" s="3" t="s">
        <v>1415</v>
      </c>
      <c r="J1213" s="4" t="str">
        <f aca="false">IF(AND($A1213&lt;&gt;"",$A1213=Подбор!$C$4),MAX(J$1:J1212)+1,"")</f>
        <v/>
      </c>
    </row>
    <row r="1214" customFormat="false" ht="15" hidden="false" customHeight="false" outlineLevel="0" collapsed="false">
      <c r="A1214" s="3" t="s">
        <v>1318</v>
      </c>
      <c r="B1214" s="3" t="s">
        <v>68</v>
      </c>
      <c r="C1214" s="3" t="s">
        <v>11</v>
      </c>
      <c r="D1214" s="3" t="s">
        <v>23</v>
      </c>
      <c r="E1214" s="3" t="s">
        <v>1970</v>
      </c>
      <c r="F1214" s="3" t="s">
        <v>1403</v>
      </c>
      <c r="G1214" s="3" t="n">
        <v>6000</v>
      </c>
      <c r="H1214" s="3"/>
      <c r="I1214" s="3" t="s">
        <v>1415</v>
      </c>
      <c r="J1214" s="4" t="str">
        <f aca="false">IF(AND($A1214&lt;&gt;"",$A1214=Подбор!$C$4),MAX(J$1:J1213)+1,"")</f>
        <v/>
      </c>
    </row>
    <row r="1215" customFormat="false" ht="15" hidden="false" customHeight="false" outlineLevel="0" collapsed="false">
      <c r="A1215" s="3" t="s">
        <v>1318</v>
      </c>
      <c r="B1215" s="3" t="s">
        <v>68</v>
      </c>
      <c r="C1215" s="3" t="s">
        <v>11</v>
      </c>
      <c r="D1215" s="3" t="s">
        <v>25</v>
      </c>
      <c r="E1215" s="3" t="s">
        <v>1971</v>
      </c>
      <c r="F1215" s="3" t="s">
        <v>1403</v>
      </c>
      <c r="G1215" s="3" t="n">
        <v>6000</v>
      </c>
      <c r="H1215" s="3"/>
      <c r="I1215" s="3" t="s">
        <v>1415</v>
      </c>
      <c r="J1215" s="4" t="str">
        <f aca="false">IF(AND($A1215&lt;&gt;"",$A1215=Подбор!$C$4),MAX(J$1:J1214)+1,"")</f>
        <v/>
      </c>
    </row>
    <row r="1216" customFormat="false" ht="15" hidden="false" customHeight="false" outlineLevel="0" collapsed="false">
      <c r="A1216" s="3" t="s">
        <v>1320</v>
      </c>
      <c r="B1216" s="3" t="s">
        <v>68</v>
      </c>
      <c r="C1216" s="3" t="s">
        <v>11</v>
      </c>
      <c r="D1216" s="3" t="s">
        <v>12</v>
      </c>
      <c r="E1216" s="3" t="s">
        <v>1968</v>
      </c>
      <c r="F1216" s="3" t="s">
        <v>1403</v>
      </c>
      <c r="G1216" s="3"/>
      <c r="H1216" s="3"/>
      <c r="I1216" s="3"/>
      <c r="J1216" s="4" t="str">
        <f aca="false">IF(AND($A1216&lt;&gt;"",$A1216=Подбор!$C$4),MAX(J$1:J1215)+1,"")</f>
        <v/>
      </c>
    </row>
    <row r="1217" customFormat="false" ht="15" hidden="false" customHeight="false" outlineLevel="0" collapsed="false">
      <c r="A1217" s="3" t="s">
        <v>1320</v>
      </c>
      <c r="B1217" s="3" t="s">
        <v>68</v>
      </c>
      <c r="C1217" s="3" t="s">
        <v>11</v>
      </c>
      <c r="D1217" s="3" t="s">
        <v>21</v>
      </c>
      <c r="E1217" s="3" t="s">
        <v>1969</v>
      </c>
      <c r="F1217" s="3" t="s">
        <v>1403</v>
      </c>
      <c r="G1217" s="3" t="n">
        <v>6000</v>
      </c>
      <c r="H1217" s="3"/>
      <c r="I1217" s="3" t="s">
        <v>1415</v>
      </c>
      <c r="J1217" s="4" t="str">
        <f aca="false">IF(AND($A1217&lt;&gt;"",$A1217=Подбор!$C$4),MAX(J$1:J1216)+1,"")</f>
        <v/>
      </c>
    </row>
    <row r="1218" customFormat="false" ht="15" hidden="false" customHeight="false" outlineLevel="0" collapsed="false">
      <c r="A1218" s="3" t="s">
        <v>1320</v>
      </c>
      <c r="B1218" s="3" t="s">
        <v>68</v>
      </c>
      <c r="C1218" s="3" t="s">
        <v>11</v>
      </c>
      <c r="D1218" s="3" t="s">
        <v>23</v>
      </c>
      <c r="E1218" s="3" t="s">
        <v>1970</v>
      </c>
      <c r="F1218" s="3" t="s">
        <v>1403</v>
      </c>
      <c r="G1218" s="3" t="n">
        <v>6000</v>
      </c>
      <c r="H1218" s="3"/>
      <c r="I1218" s="3" t="s">
        <v>1415</v>
      </c>
      <c r="J1218" s="4" t="str">
        <f aca="false">IF(AND($A1218&lt;&gt;"",$A1218=Подбор!$C$4),MAX(J$1:J1217)+1,"")</f>
        <v/>
      </c>
    </row>
    <row r="1219" customFormat="false" ht="15" hidden="false" customHeight="false" outlineLevel="0" collapsed="false">
      <c r="A1219" s="3" t="s">
        <v>1320</v>
      </c>
      <c r="B1219" s="3" t="s">
        <v>68</v>
      </c>
      <c r="C1219" s="3" t="s">
        <v>11</v>
      </c>
      <c r="D1219" s="3" t="s">
        <v>25</v>
      </c>
      <c r="E1219" s="3" t="s">
        <v>1971</v>
      </c>
      <c r="F1219" s="3" t="s">
        <v>1403</v>
      </c>
      <c r="G1219" s="3" t="n">
        <v>6000</v>
      </c>
      <c r="H1219" s="3"/>
      <c r="I1219" s="3" t="s">
        <v>1415</v>
      </c>
      <c r="J1219" s="4" t="str">
        <f aca="false">IF(AND($A1219&lt;&gt;"",$A1219=Подбор!$C$4),MAX(J$1:J1218)+1,"")</f>
        <v/>
      </c>
    </row>
    <row r="1220" customFormat="false" ht="15" hidden="false" customHeight="false" outlineLevel="0" collapsed="false">
      <c r="A1220" s="3" t="s">
        <v>1321</v>
      </c>
      <c r="B1220" s="3" t="s">
        <v>68</v>
      </c>
      <c r="C1220" s="3" t="s">
        <v>11</v>
      </c>
      <c r="D1220" s="3" t="s">
        <v>12</v>
      </c>
      <c r="E1220" s="3" t="s">
        <v>1972</v>
      </c>
      <c r="F1220" s="3" t="s">
        <v>1403</v>
      </c>
      <c r="G1220" s="3" t="n">
        <v>25000</v>
      </c>
      <c r="H1220" s="3"/>
      <c r="I1220" s="3" t="s">
        <v>1415</v>
      </c>
      <c r="J1220" s="4" t="str">
        <f aca="false">IF(AND($A1220&lt;&gt;"",$A1220=Подбор!$C$4),MAX(J$1:J1219)+1,"")</f>
        <v/>
      </c>
    </row>
    <row r="1221" customFormat="false" ht="15" hidden="false" customHeight="false" outlineLevel="0" collapsed="false">
      <c r="A1221" s="3" t="s">
        <v>1321</v>
      </c>
      <c r="B1221" s="3" t="s">
        <v>68</v>
      </c>
      <c r="C1221" s="3" t="s">
        <v>11</v>
      </c>
      <c r="D1221" s="3" t="s">
        <v>21</v>
      </c>
      <c r="E1221" s="3" t="s">
        <v>1973</v>
      </c>
      <c r="F1221" s="3" t="s">
        <v>1403</v>
      </c>
      <c r="G1221" s="3" t="n">
        <v>12000</v>
      </c>
      <c r="H1221" s="3"/>
      <c r="I1221" s="3" t="s">
        <v>1415</v>
      </c>
      <c r="J1221" s="4" t="str">
        <f aca="false">IF(AND($A1221&lt;&gt;"",$A1221=Подбор!$C$4),MAX(J$1:J1220)+1,"")</f>
        <v/>
      </c>
    </row>
    <row r="1222" customFormat="false" ht="15" hidden="false" customHeight="false" outlineLevel="0" collapsed="false">
      <c r="A1222" s="3" t="s">
        <v>1321</v>
      </c>
      <c r="B1222" s="3" t="s">
        <v>68</v>
      </c>
      <c r="C1222" s="3" t="s">
        <v>11</v>
      </c>
      <c r="D1222" s="3" t="s">
        <v>23</v>
      </c>
      <c r="E1222" s="3" t="s">
        <v>1974</v>
      </c>
      <c r="F1222" s="3" t="s">
        <v>1403</v>
      </c>
      <c r="G1222" s="3" t="n">
        <v>12000</v>
      </c>
      <c r="H1222" s="3"/>
      <c r="I1222" s="3" t="s">
        <v>1415</v>
      </c>
      <c r="J1222" s="4" t="str">
        <f aca="false">IF(AND($A1222&lt;&gt;"",$A1222=Подбор!$C$4),MAX(J$1:J1221)+1,"")</f>
        <v/>
      </c>
    </row>
    <row r="1223" customFormat="false" ht="15" hidden="false" customHeight="false" outlineLevel="0" collapsed="false">
      <c r="A1223" s="3" t="s">
        <v>1321</v>
      </c>
      <c r="B1223" s="3" t="s">
        <v>68</v>
      </c>
      <c r="C1223" s="3" t="s">
        <v>11</v>
      </c>
      <c r="D1223" s="3" t="s">
        <v>25</v>
      </c>
      <c r="E1223" s="3" t="s">
        <v>1975</v>
      </c>
      <c r="F1223" s="3" t="s">
        <v>1403</v>
      </c>
      <c r="G1223" s="3" t="n">
        <v>12000</v>
      </c>
      <c r="H1223" s="3"/>
      <c r="I1223" s="3" t="s">
        <v>1415</v>
      </c>
      <c r="J1223" s="4" t="str">
        <f aca="false">IF(AND($A1223&lt;&gt;"",$A1223=Подбор!$C$4),MAX(J$1:J1222)+1,"")</f>
        <v/>
      </c>
    </row>
    <row r="1224" customFormat="false" ht="15" hidden="false" customHeight="false" outlineLevel="0" collapsed="false">
      <c r="A1224" s="3" t="s">
        <v>1321</v>
      </c>
      <c r="B1224" s="3" t="s">
        <v>68</v>
      </c>
      <c r="C1224" s="3" t="s">
        <v>11</v>
      </c>
      <c r="D1224" s="3" t="s">
        <v>12</v>
      </c>
      <c r="E1224" s="3" t="s">
        <v>1976</v>
      </c>
      <c r="F1224" s="3" t="s">
        <v>1708</v>
      </c>
      <c r="G1224" s="3"/>
      <c r="H1224" s="3"/>
      <c r="I1224" s="3"/>
      <c r="J1224" s="4" t="str">
        <f aca="false">IF(AND($A1224&lt;&gt;"",$A1224=Подбор!$C$4),MAX(J$1:J1223)+1,"")</f>
        <v/>
      </c>
    </row>
    <row r="1225" customFormat="false" ht="15" hidden="false" customHeight="false" outlineLevel="0" collapsed="false">
      <c r="A1225" s="3" t="s">
        <v>1321</v>
      </c>
      <c r="B1225" s="3" t="s">
        <v>68</v>
      </c>
      <c r="C1225" s="3" t="s">
        <v>11</v>
      </c>
      <c r="D1225" s="3" t="s">
        <v>21</v>
      </c>
      <c r="E1225" s="3" t="s">
        <v>1977</v>
      </c>
      <c r="F1225" s="3" t="s">
        <v>1708</v>
      </c>
      <c r="G1225" s="3"/>
      <c r="H1225" s="3"/>
      <c r="I1225" s="3"/>
      <c r="J1225" s="4" t="str">
        <f aca="false">IF(AND($A1225&lt;&gt;"",$A1225=Подбор!$C$4),MAX(J$1:J1224)+1,"")</f>
        <v/>
      </c>
    </row>
    <row r="1226" customFormat="false" ht="15" hidden="false" customHeight="false" outlineLevel="0" collapsed="false">
      <c r="A1226" s="3" t="s">
        <v>1321</v>
      </c>
      <c r="B1226" s="3" t="s">
        <v>68</v>
      </c>
      <c r="C1226" s="3" t="s">
        <v>11</v>
      </c>
      <c r="D1226" s="3" t="s">
        <v>23</v>
      </c>
      <c r="E1226" s="3" t="s">
        <v>1978</v>
      </c>
      <c r="F1226" s="3" t="s">
        <v>1708</v>
      </c>
      <c r="G1226" s="3"/>
      <c r="H1226" s="3"/>
      <c r="I1226" s="3"/>
      <c r="J1226" s="4" t="str">
        <f aca="false">IF(AND($A1226&lt;&gt;"",$A1226=Подбор!$C$4),MAX(J$1:J1225)+1,"")</f>
        <v/>
      </c>
    </row>
    <row r="1227" customFormat="false" ht="15" hidden="false" customHeight="false" outlineLevel="0" collapsed="false">
      <c r="A1227" s="3" t="s">
        <v>1321</v>
      </c>
      <c r="B1227" s="3" t="s">
        <v>68</v>
      </c>
      <c r="C1227" s="3" t="s">
        <v>11</v>
      </c>
      <c r="D1227" s="3" t="s">
        <v>25</v>
      </c>
      <c r="E1227" s="3" t="s">
        <v>1979</v>
      </c>
      <c r="F1227" s="3" t="s">
        <v>1708</v>
      </c>
      <c r="G1227" s="3"/>
      <c r="H1227" s="3"/>
      <c r="I1227" s="3"/>
      <c r="J1227" s="4" t="str">
        <f aca="false">IF(AND($A1227&lt;&gt;"",$A1227=Подбор!$C$4),MAX(J$1:J1226)+1,"")</f>
        <v/>
      </c>
    </row>
    <row r="1228" customFormat="false" ht="15" hidden="false" customHeight="false" outlineLevel="0" collapsed="false">
      <c r="A1228" s="3" t="s">
        <v>1326</v>
      </c>
      <c r="B1228" s="3" t="s">
        <v>68</v>
      </c>
      <c r="C1228" s="3" t="s">
        <v>11</v>
      </c>
      <c r="D1228" s="3" t="s">
        <v>12</v>
      </c>
      <c r="E1228" s="3" t="s">
        <v>1932</v>
      </c>
      <c r="F1228" s="3" t="s">
        <v>1403</v>
      </c>
      <c r="G1228" s="3" t="n">
        <v>25000</v>
      </c>
      <c r="H1228" s="3"/>
      <c r="I1228" s="3" t="s">
        <v>1415</v>
      </c>
      <c r="J1228" s="4" t="str">
        <f aca="false">IF(AND($A1228&lt;&gt;"",$A1228=Подбор!$C$4),MAX(J$1:J1227)+1,"")</f>
        <v/>
      </c>
    </row>
    <row r="1229" customFormat="false" ht="15" hidden="false" customHeight="false" outlineLevel="0" collapsed="false">
      <c r="A1229" s="3" t="s">
        <v>1326</v>
      </c>
      <c r="B1229" s="3" t="s">
        <v>68</v>
      </c>
      <c r="C1229" s="3" t="s">
        <v>11</v>
      </c>
      <c r="D1229" s="3" t="s">
        <v>21</v>
      </c>
      <c r="E1229" s="3" t="s">
        <v>1933</v>
      </c>
      <c r="F1229" s="3" t="s">
        <v>1403</v>
      </c>
      <c r="G1229" s="3" t="n">
        <v>15000</v>
      </c>
      <c r="H1229" s="3"/>
      <c r="I1229" s="3" t="s">
        <v>1415</v>
      </c>
      <c r="J1229" s="4" t="str">
        <f aca="false">IF(AND($A1229&lt;&gt;"",$A1229=Подбор!$C$4),MAX(J$1:J1228)+1,"")</f>
        <v/>
      </c>
    </row>
    <row r="1230" customFormat="false" ht="15" hidden="false" customHeight="false" outlineLevel="0" collapsed="false">
      <c r="A1230" s="3" t="s">
        <v>1326</v>
      </c>
      <c r="B1230" s="3" t="s">
        <v>68</v>
      </c>
      <c r="C1230" s="3" t="s">
        <v>11</v>
      </c>
      <c r="D1230" s="3" t="s">
        <v>23</v>
      </c>
      <c r="E1230" s="3" t="s">
        <v>1934</v>
      </c>
      <c r="F1230" s="3" t="s">
        <v>1403</v>
      </c>
      <c r="G1230" s="3" t="n">
        <v>15000</v>
      </c>
      <c r="H1230" s="3"/>
      <c r="I1230" s="3" t="s">
        <v>1415</v>
      </c>
      <c r="J1230" s="4" t="str">
        <f aca="false">IF(AND($A1230&lt;&gt;"",$A1230=Подбор!$C$4),MAX(J$1:J1229)+1,"")</f>
        <v/>
      </c>
    </row>
    <row r="1231" customFormat="false" ht="15" hidden="false" customHeight="false" outlineLevel="0" collapsed="false">
      <c r="A1231" s="3" t="s">
        <v>1326</v>
      </c>
      <c r="B1231" s="3" t="s">
        <v>68</v>
      </c>
      <c r="C1231" s="3" t="s">
        <v>11</v>
      </c>
      <c r="D1231" s="3" t="s">
        <v>25</v>
      </c>
      <c r="E1231" s="3" t="s">
        <v>1935</v>
      </c>
      <c r="F1231" s="3" t="s">
        <v>1403</v>
      </c>
      <c r="G1231" s="3" t="n">
        <v>15000</v>
      </c>
      <c r="H1231" s="3"/>
      <c r="I1231" s="3" t="s">
        <v>1415</v>
      </c>
      <c r="J1231" s="4" t="str">
        <f aca="false">IF(AND($A1231&lt;&gt;"",$A1231=Подбор!$C$4),MAX(J$1:J1230)+1,"")</f>
        <v/>
      </c>
    </row>
    <row r="1232" customFormat="false" ht="15" hidden="false" customHeight="false" outlineLevel="0" collapsed="false">
      <c r="A1232" s="3" t="s">
        <v>1327</v>
      </c>
      <c r="B1232" s="3" t="s">
        <v>472</v>
      </c>
      <c r="C1232" s="3" t="s">
        <v>11</v>
      </c>
      <c r="D1232" s="3" t="s">
        <v>12</v>
      </c>
      <c r="E1232" s="3" t="s">
        <v>1980</v>
      </c>
      <c r="F1232" s="3" t="s">
        <v>1403</v>
      </c>
      <c r="G1232" s="3"/>
      <c r="H1232" s="3"/>
      <c r="I1232" s="3"/>
      <c r="J1232" s="4" t="str">
        <f aca="false">IF(AND($A1232&lt;&gt;"",$A1232=Подбор!$C$4),MAX(J$1:J1231)+1,"")</f>
        <v/>
      </c>
    </row>
    <row r="1233" customFormat="false" ht="15" hidden="false" customHeight="false" outlineLevel="0" collapsed="false">
      <c r="A1233" s="3" t="s">
        <v>1328</v>
      </c>
      <c r="B1233" s="3" t="s">
        <v>932</v>
      </c>
      <c r="C1233" s="3" t="s">
        <v>567</v>
      </c>
      <c r="D1233" s="3" t="s">
        <v>12</v>
      </c>
      <c r="E1233" s="3" t="s">
        <v>1981</v>
      </c>
      <c r="F1233" s="3" t="s">
        <v>1417</v>
      </c>
      <c r="G1233" s="3"/>
      <c r="H1233" s="3"/>
      <c r="I1233" s="3"/>
      <c r="J1233" s="4" t="str">
        <f aca="false">IF(AND($A1233&lt;&gt;"",$A1233=Подбор!$C$4),MAX(J$1:J1232)+1,"")</f>
        <v/>
      </c>
    </row>
    <row r="1234" customFormat="false" ht="15" hidden="false" customHeight="false" outlineLevel="0" collapsed="false">
      <c r="A1234" s="3" t="s">
        <v>1330</v>
      </c>
      <c r="B1234" s="3" t="s">
        <v>84</v>
      </c>
      <c r="C1234" s="3" t="s">
        <v>11</v>
      </c>
      <c r="D1234" s="3" t="s">
        <v>12</v>
      </c>
      <c r="E1234" s="3" t="s">
        <v>1578</v>
      </c>
      <c r="F1234" s="3" t="s">
        <v>1403</v>
      </c>
      <c r="G1234" s="3" t="n">
        <v>2000</v>
      </c>
      <c r="H1234" s="3"/>
      <c r="I1234" s="3" t="s">
        <v>1415</v>
      </c>
      <c r="J1234" s="4" t="str">
        <f aca="false">IF(AND($A1234&lt;&gt;"",$A1234=Подбор!$C$4),MAX(J$1:J1233)+1,"")</f>
        <v/>
      </c>
    </row>
    <row r="1235" customFormat="false" ht="15" hidden="false" customHeight="false" outlineLevel="0" collapsed="false">
      <c r="A1235" s="3" t="s">
        <v>1331</v>
      </c>
      <c r="B1235" s="3" t="s">
        <v>84</v>
      </c>
      <c r="C1235" s="3" t="s">
        <v>11</v>
      </c>
      <c r="D1235" s="3" t="s">
        <v>12</v>
      </c>
      <c r="E1235" s="3" t="s">
        <v>1982</v>
      </c>
      <c r="F1235" s="3" t="s">
        <v>1421</v>
      </c>
      <c r="G1235" s="3" t="n">
        <v>30000</v>
      </c>
      <c r="H1235" s="3"/>
      <c r="I1235" s="3" t="s">
        <v>1415</v>
      </c>
      <c r="J1235" s="4" t="str">
        <f aca="false">IF(AND($A1235&lt;&gt;"",$A1235=Подбор!$C$4),MAX(J$1:J1234)+1,"")</f>
        <v/>
      </c>
    </row>
    <row r="1236" customFormat="false" ht="15" hidden="false" customHeight="false" outlineLevel="0" collapsed="false">
      <c r="A1236" s="3" t="s">
        <v>1333</v>
      </c>
      <c r="B1236" s="3" t="s">
        <v>84</v>
      </c>
      <c r="C1236" s="3" t="s">
        <v>11</v>
      </c>
      <c r="D1236" s="3" t="s">
        <v>12</v>
      </c>
      <c r="E1236" s="3" t="s">
        <v>1936</v>
      </c>
      <c r="F1236" s="3" t="s">
        <v>1403</v>
      </c>
      <c r="G1236" s="3" t="n">
        <v>2400</v>
      </c>
      <c r="H1236" s="3"/>
      <c r="I1236" s="3" t="s">
        <v>1415</v>
      </c>
      <c r="J1236" s="4" t="str">
        <f aca="false">IF(AND($A1236&lt;&gt;"",$A1236=Подбор!$C$4),MAX(J$1:J1235)+1,"")</f>
        <v/>
      </c>
    </row>
    <row r="1237" customFormat="false" ht="15" hidden="false" customHeight="false" outlineLevel="0" collapsed="false">
      <c r="A1237" s="3" t="s">
        <v>1334</v>
      </c>
      <c r="B1237" s="3" t="s">
        <v>84</v>
      </c>
      <c r="C1237" s="3" t="s">
        <v>11</v>
      </c>
      <c r="D1237" s="3" t="s">
        <v>12</v>
      </c>
      <c r="E1237" s="3" t="s">
        <v>15</v>
      </c>
      <c r="F1237" s="3"/>
      <c r="G1237" s="3"/>
      <c r="H1237" s="3"/>
      <c r="I1237" s="3"/>
      <c r="J1237" s="4" t="str">
        <f aca="false">IF(AND($A1237&lt;&gt;"",$A1237=Подбор!$C$4),MAX(J$1:J1236)+1,"")</f>
        <v/>
      </c>
    </row>
    <row r="1238" customFormat="false" ht="15" hidden="false" customHeight="false" outlineLevel="0" collapsed="false">
      <c r="A1238" s="3" t="s">
        <v>1335</v>
      </c>
      <c r="B1238" s="3" t="s">
        <v>40</v>
      </c>
      <c r="C1238" s="3" t="s">
        <v>11</v>
      </c>
      <c r="D1238" s="3" t="s">
        <v>12</v>
      </c>
      <c r="E1238" s="3" t="s">
        <v>1730</v>
      </c>
      <c r="F1238" s="3" t="s">
        <v>1421</v>
      </c>
      <c r="G1238" s="3" t="n">
        <v>17500</v>
      </c>
      <c r="H1238" s="3"/>
      <c r="I1238" s="3" t="s">
        <v>1415</v>
      </c>
      <c r="J1238" s="4" t="str">
        <f aca="false">IF(AND($A1238&lt;&gt;"",$A1238=Подбор!$C$4),MAX(J$1:J1237)+1,"")</f>
        <v/>
      </c>
    </row>
    <row r="1239" customFormat="false" ht="15" hidden="false" customHeight="false" outlineLevel="0" collapsed="false">
      <c r="A1239" s="3" t="s">
        <v>1337</v>
      </c>
      <c r="B1239" s="3" t="s">
        <v>932</v>
      </c>
      <c r="C1239" s="3" t="s">
        <v>567</v>
      </c>
      <c r="D1239" s="3" t="s">
        <v>12</v>
      </c>
      <c r="E1239" s="3" t="s">
        <v>15</v>
      </c>
      <c r="F1239" s="3"/>
      <c r="G1239" s="3"/>
      <c r="H1239" s="3"/>
      <c r="I1239" s="3"/>
      <c r="J1239" s="4" t="str">
        <f aca="false">IF(AND($A1239&lt;&gt;"",$A1239=Подбор!$C$4),MAX(J$1:J1238)+1,"")</f>
        <v/>
      </c>
    </row>
    <row r="1240" customFormat="false" ht="15" hidden="false" customHeight="false" outlineLevel="0" collapsed="false">
      <c r="A1240" s="3" t="s">
        <v>1339</v>
      </c>
      <c r="B1240" s="3" t="s">
        <v>68</v>
      </c>
      <c r="C1240" s="3" t="s">
        <v>11</v>
      </c>
      <c r="D1240" s="3" t="s">
        <v>12</v>
      </c>
      <c r="E1240" s="3" t="s">
        <v>1983</v>
      </c>
      <c r="F1240" s="3" t="s">
        <v>1403</v>
      </c>
      <c r="G1240" s="3" t="n">
        <v>15000</v>
      </c>
      <c r="H1240" s="3"/>
      <c r="I1240" s="3" t="s">
        <v>1415</v>
      </c>
      <c r="J1240" s="4" t="str">
        <f aca="false">IF(AND($A1240&lt;&gt;"",$A1240=Подбор!$C$4),MAX(J$1:J1239)+1,"")</f>
        <v/>
      </c>
    </row>
    <row r="1241" customFormat="false" ht="15" hidden="false" customHeight="false" outlineLevel="0" collapsed="false">
      <c r="A1241" s="3" t="s">
        <v>1341</v>
      </c>
      <c r="B1241" s="3" t="s">
        <v>68</v>
      </c>
      <c r="C1241" s="3" t="s">
        <v>11</v>
      </c>
      <c r="D1241" s="3" t="s">
        <v>12</v>
      </c>
      <c r="E1241" s="3" t="s">
        <v>1887</v>
      </c>
      <c r="F1241" s="3" t="s">
        <v>1403</v>
      </c>
      <c r="G1241" s="3" t="n">
        <v>15000</v>
      </c>
      <c r="H1241" s="3"/>
      <c r="I1241" s="3" t="s">
        <v>1415</v>
      </c>
      <c r="J1241" s="4" t="str">
        <f aca="false">IF(AND($A1241&lt;&gt;"",$A1241=Подбор!$C$4),MAX(J$1:J1240)+1,"")</f>
        <v/>
      </c>
    </row>
    <row r="1242" customFormat="false" ht="15" hidden="false" customHeight="false" outlineLevel="0" collapsed="false">
      <c r="A1242" s="3" t="s">
        <v>1342</v>
      </c>
      <c r="B1242" s="3" t="s">
        <v>68</v>
      </c>
      <c r="C1242" s="3" t="s">
        <v>11</v>
      </c>
      <c r="D1242" s="3" t="s">
        <v>12</v>
      </c>
      <c r="E1242" s="3" t="s">
        <v>1984</v>
      </c>
      <c r="F1242" s="3" t="s">
        <v>1403</v>
      </c>
      <c r="G1242" s="3" t="n">
        <v>20000</v>
      </c>
      <c r="H1242" s="3"/>
      <c r="I1242" s="3" t="s">
        <v>1415</v>
      </c>
      <c r="J1242" s="4" t="str">
        <f aca="false">IF(AND($A1242&lt;&gt;"",$A1242=Подбор!$C$4),MAX(J$1:J1241)+1,"")</f>
        <v/>
      </c>
    </row>
    <row r="1243" customFormat="false" ht="15" hidden="false" customHeight="false" outlineLevel="0" collapsed="false">
      <c r="A1243" s="3" t="s">
        <v>1344</v>
      </c>
      <c r="B1243" s="3" t="s">
        <v>68</v>
      </c>
      <c r="C1243" s="3" t="s">
        <v>11</v>
      </c>
      <c r="D1243" s="3" t="s">
        <v>12</v>
      </c>
      <c r="E1243" s="3" t="s">
        <v>1985</v>
      </c>
      <c r="F1243" s="3" t="s">
        <v>1403</v>
      </c>
      <c r="G1243" s="3" t="n">
        <v>6000</v>
      </c>
      <c r="H1243" s="3"/>
      <c r="I1243" s="3" t="s">
        <v>1415</v>
      </c>
      <c r="J1243" s="4" t="str">
        <f aca="false">IF(AND($A1243&lt;&gt;"",$A1243=Подбор!$C$4),MAX(J$1:J1242)+1,"")</f>
        <v/>
      </c>
    </row>
    <row r="1244" customFormat="false" ht="15" hidden="false" customHeight="false" outlineLevel="0" collapsed="false">
      <c r="A1244" s="3" t="s">
        <v>1346</v>
      </c>
      <c r="B1244" s="3" t="s">
        <v>68</v>
      </c>
      <c r="C1244" s="3" t="s">
        <v>11</v>
      </c>
      <c r="D1244" s="3" t="s">
        <v>12</v>
      </c>
      <c r="E1244" s="3" t="s">
        <v>1986</v>
      </c>
      <c r="F1244" s="3" t="s">
        <v>1403</v>
      </c>
      <c r="G1244" s="3" t="n">
        <v>15000</v>
      </c>
      <c r="H1244" s="3"/>
      <c r="I1244" s="3" t="s">
        <v>1415</v>
      </c>
      <c r="J1244" s="4" t="str">
        <f aca="false">IF(AND($A1244&lt;&gt;"",$A1244=Подбор!$C$4),MAX(J$1:J1243)+1,"")</f>
        <v/>
      </c>
    </row>
    <row r="1245" customFormat="false" ht="15" hidden="false" customHeight="false" outlineLevel="0" collapsed="false">
      <c r="A1245" s="3" t="s">
        <v>1348</v>
      </c>
      <c r="B1245" s="3" t="s">
        <v>84</v>
      </c>
      <c r="C1245" s="3" t="s">
        <v>11</v>
      </c>
      <c r="D1245" s="3" t="s">
        <v>12</v>
      </c>
      <c r="E1245" s="3" t="s">
        <v>15</v>
      </c>
      <c r="F1245" s="3"/>
      <c r="G1245" s="3"/>
      <c r="H1245" s="3"/>
      <c r="I1245" s="3"/>
      <c r="J1245" s="4" t="str">
        <f aca="false">IF(AND($A1245&lt;&gt;"",$A1245=Подбор!$C$4),MAX(J$1:J1244)+1,"")</f>
        <v/>
      </c>
    </row>
    <row r="1246" customFormat="false" ht="15" hidden="false" customHeight="false" outlineLevel="0" collapsed="false">
      <c r="A1246" s="3" t="s">
        <v>1349</v>
      </c>
      <c r="B1246" s="3" t="s">
        <v>110</v>
      </c>
      <c r="C1246" s="3" t="s">
        <v>11</v>
      </c>
      <c r="D1246" s="3" t="s">
        <v>12</v>
      </c>
      <c r="E1246" s="3" t="s">
        <v>1987</v>
      </c>
      <c r="F1246" s="3" t="s">
        <v>1403</v>
      </c>
      <c r="G1246" s="3"/>
      <c r="H1246" s="3"/>
      <c r="I1246" s="3"/>
      <c r="J1246" s="4" t="str">
        <f aca="false">IF(AND($A1246&lt;&gt;"",$A1246=Подбор!$C$4),MAX(J$1:J1245)+1,"")</f>
        <v/>
      </c>
    </row>
    <row r="1247" customFormat="false" ht="15" hidden="false" customHeight="false" outlineLevel="0" collapsed="false">
      <c r="A1247" s="3" t="s">
        <v>1351</v>
      </c>
      <c r="B1247" s="3" t="s">
        <v>110</v>
      </c>
      <c r="C1247" s="3" t="s">
        <v>11</v>
      </c>
      <c r="D1247" s="3" t="s">
        <v>12</v>
      </c>
      <c r="E1247" s="3" t="s">
        <v>1913</v>
      </c>
      <c r="F1247" s="3" t="s">
        <v>1403</v>
      </c>
      <c r="G1247" s="3"/>
      <c r="H1247" s="3"/>
      <c r="I1247" s="3"/>
      <c r="J1247" s="4" t="str">
        <f aca="false">IF(AND($A1247&lt;&gt;"",$A1247=Подбор!$C$4),MAX(J$1:J1246)+1,"")</f>
        <v/>
      </c>
    </row>
    <row r="1248" customFormat="false" ht="15" hidden="false" customHeight="false" outlineLevel="0" collapsed="false">
      <c r="A1248" s="3" t="s">
        <v>1352</v>
      </c>
      <c r="B1248" s="3" t="s">
        <v>110</v>
      </c>
      <c r="C1248" s="3" t="s">
        <v>11</v>
      </c>
      <c r="D1248" s="3" t="s">
        <v>12</v>
      </c>
      <c r="E1248" s="3" t="s">
        <v>1988</v>
      </c>
      <c r="F1248" s="3" t="s">
        <v>1403</v>
      </c>
      <c r="G1248" s="3" t="n">
        <v>6000</v>
      </c>
      <c r="H1248" s="3"/>
      <c r="I1248" s="3" t="s">
        <v>1415</v>
      </c>
      <c r="J1248" s="4" t="str">
        <f aca="false">IF(AND($A1248&lt;&gt;"",$A1248=Подбор!$C$4),MAX(J$1:J1247)+1,"")</f>
        <v/>
      </c>
    </row>
    <row r="1249" customFormat="false" ht="15" hidden="false" customHeight="false" outlineLevel="0" collapsed="false">
      <c r="A1249" s="3" t="s">
        <v>1354</v>
      </c>
      <c r="B1249" s="3" t="s">
        <v>110</v>
      </c>
      <c r="C1249" s="3" t="s">
        <v>11</v>
      </c>
      <c r="D1249" s="3" t="s">
        <v>12</v>
      </c>
      <c r="E1249" s="3" t="s">
        <v>1989</v>
      </c>
      <c r="F1249" s="3" t="s">
        <v>1403</v>
      </c>
      <c r="G1249" s="3" t="n">
        <v>25000</v>
      </c>
      <c r="H1249" s="3"/>
      <c r="I1249" s="3" t="s">
        <v>1415</v>
      </c>
      <c r="J1249" s="4" t="str">
        <f aca="false">IF(AND($A1249&lt;&gt;"",$A1249=Подбор!$C$4),MAX(J$1:J1248)+1,"")</f>
        <v/>
      </c>
    </row>
    <row r="1250" customFormat="false" ht="15" hidden="false" customHeight="false" outlineLevel="0" collapsed="false">
      <c r="A1250" s="3" t="s">
        <v>1356</v>
      </c>
      <c r="B1250" s="3" t="s">
        <v>110</v>
      </c>
      <c r="C1250" s="3" t="s">
        <v>11</v>
      </c>
      <c r="D1250" s="3" t="s">
        <v>12</v>
      </c>
      <c r="E1250" s="3" t="s">
        <v>1990</v>
      </c>
      <c r="F1250" s="3" t="s">
        <v>1991</v>
      </c>
      <c r="G1250" s="3"/>
      <c r="H1250" s="3"/>
      <c r="I1250" s="3"/>
      <c r="J1250" s="4" t="str">
        <f aca="false">IF(AND($A1250&lt;&gt;"",$A1250=Подбор!$C$4),MAX(J$1:J1249)+1,"")</f>
        <v/>
      </c>
    </row>
    <row r="1251" customFormat="false" ht="15" hidden="false" customHeight="false" outlineLevel="0" collapsed="false">
      <c r="A1251" s="3" t="s">
        <v>1358</v>
      </c>
      <c r="B1251" s="3" t="s">
        <v>110</v>
      </c>
      <c r="C1251" s="3" t="s">
        <v>11</v>
      </c>
      <c r="D1251" s="3" t="s">
        <v>12</v>
      </c>
      <c r="E1251" s="3" t="s">
        <v>1990</v>
      </c>
      <c r="F1251" s="3" t="s">
        <v>1991</v>
      </c>
      <c r="G1251" s="3"/>
      <c r="H1251" s="3"/>
      <c r="I1251" s="3"/>
      <c r="J1251" s="4" t="str">
        <f aca="false">IF(AND($A1251&lt;&gt;"",$A1251=Подбор!$C$4),MAX(J$1:J1250)+1,"")</f>
        <v/>
      </c>
    </row>
    <row r="1252" customFormat="false" ht="15" hidden="false" customHeight="false" outlineLevel="0" collapsed="false">
      <c r="A1252" s="3" t="s">
        <v>1359</v>
      </c>
      <c r="B1252" s="3" t="s">
        <v>110</v>
      </c>
      <c r="C1252" s="3" t="s">
        <v>11</v>
      </c>
      <c r="D1252" s="3" t="s">
        <v>12</v>
      </c>
      <c r="E1252" s="3" t="s">
        <v>1992</v>
      </c>
      <c r="F1252" s="3" t="s">
        <v>1403</v>
      </c>
      <c r="G1252" s="3" t="n">
        <v>2500</v>
      </c>
      <c r="H1252" s="3"/>
      <c r="I1252" s="3" t="s">
        <v>1415</v>
      </c>
      <c r="J1252" s="4" t="str">
        <f aca="false">IF(AND($A1252&lt;&gt;"",$A1252=Подбор!$C$4),MAX(J$1:J1251)+1,"")</f>
        <v/>
      </c>
    </row>
    <row r="1253" customFormat="false" ht="15" hidden="false" customHeight="false" outlineLevel="0" collapsed="false">
      <c r="A1253" s="3" t="s">
        <v>1361</v>
      </c>
      <c r="B1253" s="3" t="s">
        <v>110</v>
      </c>
      <c r="C1253" s="3" t="s">
        <v>11</v>
      </c>
      <c r="D1253" s="3" t="s">
        <v>12</v>
      </c>
      <c r="E1253" s="3" t="s">
        <v>1992</v>
      </c>
      <c r="F1253" s="3" t="s">
        <v>1403</v>
      </c>
      <c r="G1253" s="3" t="n">
        <v>2500</v>
      </c>
      <c r="H1253" s="3"/>
      <c r="I1253" s="3" t="s">
        <v>1415</v>
      </c>
      <c r="J1253" s="4" t="str">
        <f aca="false">IF(AND($A1253&lt;&gt;"",$A1253=Подбор!$C$4),MAX(J$1:J1252)+1,"")</f>
        <v/>
      </c>
    </row>
    <row r="1254" customFormat="false" ht="15" hidden="false" customHeight="false" outlineLevel="0" collapsed="false">
      <c r="A1254" s="3" t="s">
        <v>1362</v>
      </c>
      <c r="B1254" s="3" t="s">
        <v>110</v>
      </c>
      <c r="C1254" s="3" t="s">
        <v>11</v>
      </c>
      <c r="D1254" s="3" t="s">
        <v>12</v>
      </c>
      <c r="E1254" s="3" t="s">
        <v>1479</v>
      </c>
      <c r="F1254" s="3" t="s">
        <v>1403</v>
      </c>
      <c r="G1254" s="3"/>
      <c r="H1254" s="3"/>
      <c r="I1254" s="3"/>
      <c r="J1254" s="4" t="str">
        <f aca="false">IF(AND($A1254&lt;&gt;"",$A1254=Подбор!$C$4),MAX(J$1:J1253)+1,"")</f>
        <v/>
      </c>
    </row>
    <row r="1255" customFormat="false" ht="15" hidden="false" customHeight="false" outlineLevel="0" collapsed="false">
      <c r="A1255" s="3" t="s">
        <v>1363</v>
      </c>
      <c r="B1255" s="3" t="s">
        <v>110</v>
      </c>
      <c r="C1255" s="3" t="s">
        <v>11</v>
      </c>
      <c r="D1255" s="3" t="s">
        <v>12</v>
      </c>
      <c r="E1255" s="3" t="s">
        <v>1479</v>
      </c>
      <c r="F1255" s="3" t="s">
        <v>1403</v>
      </c>
      <c r="G1255" s="3"/>
      <c r="H1255" s="3"/>
      <c r="I1255" s="3"/>
      <c r="J1255" s="4" t="str">
        <f aca="false">IF(AND($A1255&lt;&gt;"",$A1255=Подбор!$C$4),MAX(J$1:J1254)+1,"")</f>
        <v/>
      </c>
    </row>
    <row r="1256" customFormat="false" ht="15" hidden="false" customHeight="false" outlineLevel="0" collapsed="false">
      <c r="A1256" s="3" t="s">
        <v>1364</v>
      </c>
      <c r="B1256" s="3" t="s">
        <v>110</v>
      </c>
      <c r="C1256" s="3" t="s">
        <v>11</v>
      </c>
      <c r="D1256" s="3" t="s">
        <v>12</v>
      </c>
      <c r="E1256" s="3" t="s">
        <v>1551</v>
      </c>
      <c r="F1256" s="3" t="s">
        <v>1403</v>
      </c>
      <c r="G1256" s="3"/>
      <c r="H1256" s="3"/>
      <c r="I1256" s="3"/>
      <c r="J1256" s="4" t="str">
        <f aca="false">IF(AND($A1256&lt;&gt;"",$A1256=Подбор!$C$4),MAX(J$1:J1255)+1,"")</f>
        <v/>
      </c>
    </row>
    <row r="1257" customFormat="false" ht="15" hidden="false" customHeight="false" outlineLevel="0" collapsed="false">
      <c r="A1257" s="3" t="s">
        <v>1365</v>
      </c>
      <c r="B1257" s="3" t="s">
        <v>84</v>
      </c>
      <c r="C1257" s="3" t="s">
        <v>11</v>
      </c>
      <c r="D1257" s="3" t="s">
        <v>12</v>
      </c>
      <c r="E1257" s="3" t="s">
        <v>1923</v>
      </c>
      <c r="F1257" s="3" t="s">
        <v>1403</v>
      </c>
      <c r="G1257" s="3"/>
      <c r="H1257" s="3"/>
      <c r="I1257" s="3"/>
      <c r="J1257" s="4" t="str">
        <f aca="false">IF(AND($A1257&lt;&gt;"",$A1257=Подбор!$C$4),MAX(J$1:J1256)+1,"")</f>
        <v/>
      </c>
    </row>
    <row r="1258" customFormat="false" ht="15" hidden="false" customHeight="false" outlineLevel="0" collapsed="false">
      <c r="A1258" s="3" t="s">
        <v>1366</v>
      </c>
      <c r="B1258" s="3" t="s">
        <v>57</v>
      </c>
      <c r="C1258" s="3" t="s">
        <v>567</v>
      </c>
      <c r="D1258" s="3" t="s">
        <v>12</v>
      </c>
      <c r="E1258" s="3" t="s">
        <v>1948</v>
      </c>
      <c r="F1258" s="3" t="s">
        <v>1403</v>
      </c>
      <c r="G1258" s="3" t="n">
        <v>190</v>
      </c>
      <c r="H1258" s="3"/>
      <c r="I1258" s="3" t="s">
        <v>1415</v>
      </c>
      <c r="J1258" s="4" t="str">
        <f aca="false">IF(AND($A1258&lt;&gt;"",$A1258=Подбор!$C$4),MAX(J$1:J1257)+1,"")</f>
        <v/>
      </c>
    </row>
    <row r="1259" customFormat="false" ht="15" hidden="false" customHeight="false" outlineLevel="0" collapsed="false">
      <c r="A1259" s="3" t="s">
        <v>1367</v>
      </c>
      <c r="B1259" s="3" t="s">
        <v>57</v>
      </c>
      <c r="C1259" s="3" t="s">
        <v>567</v>
      </c>
      <c r="D1259" s="3" t="s">
        <v>12</v>
      </c>
      <c r="E1259" s="3" t="s">
        <v>1993</v>
      </c>
      <c r="F1259" s="3" t="s">
        <v>1403</v>
      </c>
      <c r="G1259" s="3"/>
      <c r="H1259" s="3"/>
      <c r="I1259" s="3"/>
      <c r="J1259" s="4" t="str">
        <f aca="false">IF(AND($A1259&lt;&gt;"",$A1259=Подбор!$C$4),MAX(J$1:J1258)+1,"")</f>
        <v/>
      </c>
    </row>
    <row r="1260" customFormat="false" ht="15" hidden="false" customHeight="false" outlineLevel="0" collapsed="false">
      <c r="A1260" s="3" t="s">
        <v>1369</v>
      </c>
      <c r="B1260" s="3" t="s">
        <v>10</v>
      </c>
      <c r="C1260" s="3" t="s">
        <v>11</v>
      </c>
      <c r="D1260" s="3" t="s">
        <v>12</v>
      </c>
      <c r="E1260" s="3" t="s">
        <v>1994</v>
      </c>
      <c r="F1260" s="3" t="s">
        <v>1403</v>
      </c>
      <c r="G1260" s="3"/>
      <c r="H1260" s="3"/>
      <c r="I1260" s="3"/>
      <c r="J1260" s="4" t="str">
        <f aca="false">IF(AND($A1260&lt;&gt;"",$A1260=Подбор!$C$4),MAX(J$1:J1259)+1,"")</f>
        <v/>
      </c>
    </row>
    <row r="1261" customFormat="false" ht="15" hidden="false" customHeight="false" outlineLevel="0" collapsed="false">
      <c r="A1261" s="3" t="s">
        <v>1371</v>
      </c>
      <c r="B1261" s="3" t="s">
        <v>932</v>
      </c>
      <c r="C1261" s="3" t="s">
        <v>567</v>
      </c>
      <c r="D1261" s="3" t="s">
        <v>12</v>
      </c>
      <c r="E1261" s="3" t="s">
        <v>15</v>
      </c>
      <c r="F1261" s="3"/>
      <c r="G1261" s="3"/>
      <c r="H1261" s="3"/>
      <c r="I1261" s="3"/>
      <c r="J1261" s="4" t="str">
        <f aca="false">IF(AND($A1261&lt;&gt;"",$A1261=Подбор!$C$4),MAX(J$1:J1260)+1,"")</f>
        <v/>
      </c>
    </row>
    <row r="1262" customFormat="false" ht="15" hidden="false" customHeight="false" outlineLevel="0" collapsed="false">
      <c r="A1262" s="3" t="s">
        <v>1372</v>
      </c>
      <c r="B1262" s="3" t="s">
        <v>34</v>
      </c>
      <c r="C1262" s="3" t="s">
        <v>11</v>
      </c>
      <c r="D1262" s="3" t="s">
        <v>12</v>
      </c>
      <c r="E1262" s="3" t="s">
        <v>1749</v>
      </c>
      <c r="F1262" s="3" t="s">
        <v>1403</v>
      </c>
      <c r="G1262" s="3" t="n">
        <v>6000</v>
      </c>
      <c r="H1262" s="3"/>
      <c r="I1262" s="3" t="s">
        <v>1415</v>
      </c>
      <c r="J1262" s="4" t="str">
        <f aca="false">IF(AND($A1262&lt;&gt;"",$A1262=Подбор!$C$4),MAX(J$1:J1261)+1,"")</f>
        <v/>
      </c>
    </row>
    <row r="1263" customFormat="false" ht="15" hidden="false" customHeight="false" outlineLevel="0" collapsed="false">
      <c r="A1263" s="3" t="s">
        <v>1373</v>
      </c>
      <c r="B1263" s="3" t="s">
        <v>34</v>
      </c>
      <c r="C1263" s="3" t="s">
        <v>11</v>
      </c>
      <c r="D1263" s="3" t="s">
        <v>12</v>
      </c>
      <c r="E1263" s="3" t="s">
        <v>1746</v>
      </c>
      <c r="F1263" s="3" t="s">
        <v>1403</v>
      </c>
      <c r="G1263" s="3" t="n">
        <v>1600</v>
      </c>
      <c r="H1263" s="3"/>
      <c r="I1263" s="3" t="s">
        <v>1415</v>
      </c>
      <c r="J1263" s="4" t="str">
        <f aca="false">IF(AND($A1263&lt;&gt;"",$A1263=Подбор!$C$4),MAX(J$1:J1262)+1,"")</f>
        <v/>
      </c>
    </row>
    <row r="1264" customFormat="false" ht="15" hidden="false" customHeight="false" outlineLevel="0" collapsed="false">
      <c r="A1264" s="3" t="s">
        <v>1374</v>
      </c>
      <c r="B1264" s="3" t="s">
        <v>110</v>
      </c>
      <c r="C1264" s="3" t="s">
        <v>11</v>
      </c>
      <c r="D1264" s="3" t="s">
        <v>12</v>
      </c>
      <c r="E1264" s="3" t="s">
        <v>1543</v>
      </c>
      <c r="F1264" s="3" t="s">
        <v>1403</v>
      </c>
      <c r="G1264" s="3"/>
      <c r="H1264" s="3"/>
      <c r="I1264" s="3"/>
      <c r="J1264" s="4" t="str">
        <f aca="false">IF(AND($A1264&lt;&gt;"",$A1264=Подбор!$C$4),MAX(J$1:J1263)+1,"")</f>
        <v/>
      </c>
    </row>
    <row r="1265" customFormat="false" ht="15" hidden="false" customHeight="false" outlineLevel="0" collapsed="false">
      <c r="A1265" s="3" t="s">
        <v>1375</v>
      </c>
      <c r="B1265" s="3" t="s">
        <v>10</v>
      </c>
      <c r="C1265" s="3" t="s">
        <v>11</v>
      </c>
      <c r="D1265" s="3" t="s">
        <v>12</v>
      </c>
      <c r="E1265" s="3" t="s">
        <v>1635</v>
      </c>
      <c r="F1265" s="3" t="s">
        <v>1403</v>
      </c>
      <c r="G1265" s="3"/>
      <c r="H1265" s="3"/>
      <c r="I1265" s="3"/>
      <c r="J1265" s="4" t="str">
        <f aca="false">IF(AND($A1265&lt;&gt;"",$A1265=Подбор!$C$4),MAX(J$1:J1264)+1,"")</f>
        <v/>
      </c>
    </row>
    <row r="1266" customFormat="false" ht="15" hidden="false" customHeight="false" outlineLevel="0" collapsed="false">
      <c r="A1266" s="3" t="s">
        <v>1376</v>
      </c>
      <c r="B1266" s="3" t="s">
        <v>34</v>
      </c>
      <c r="C1266" s="3" t="s">
        <v>11</v>
      </c>
      <c r="D1266" s="3" t="s">
        <v>12</v>
      </c>
      <c r="E1266" s="3" t="s">
        <v>1995</v>
      </c>
      <c r="F1266" s="3" t="s">
        <v>1403</v>
      </c>
      <c r="G1266" s="3" t="n">
        <v>1600</v>
      </c>
      <c r="H1266" s="3"/>
      <c r="I1266" s="3" t="s">
        <v>1415</v>
      </c>
      <c r="J1266" s="4" t="str">
        <f aca="false">IF(AND($A1266&lt;&gt;"",$A1266=Подбор!$C$4),MAX(J$1:J1265)+1,"")</f>
        <v/>
      </c>
    </row>
    <row r="1267" customFormat="false" ht="15" hidden="false" customHeight="false" outlineLevel="0" collapsed="false">
      <c r="A1267" s="3" t="s">
        <v>1378</v>
      </c>
      <c r="B1267" s="3" t="s">
        <v>84</v>
      </c>
      <c r="C1267" s="3" t="s">
        <v>567</v>
      </c>
      <c r="D1267" s="3" t="s">
        <v>12</v>
      </c>
      <c r="E1267" s="3" t="s">
        <v>1996</v>
      </c>
      <c r="F1267" s="3" t="s">
        <v>1403</v>
      </c>
      <c r="G1267" s="3" t="n">
        <v>180</v>
      </c>
      <c r="H1267" s="3"/>
      <c r="I1267" s="3" t="s">
        <v>1415</v>
      </c>
      <c r="J1267" s="4" t="str">
        <f aca="false">IF(AND($A1267&lt;&gt;"",$A1267=Подбор!$C$4),MAX(J$1:J1266)+1,"")</f>
        <v/>
      </c>
    </row>
    <row r="1268" customFormat="false" ht="15" hidden="false" customHeight="false" outlineLevel="0" collapsed="false">
      <c r="A1268" s="3" t="s">
        <v>1380</v>
      </c>
      <c r="B1268" s="3" t="s">
        <v>84</v>
      </c>
      <c r="C1268" s="3" t="s">
        <v>567</v>
      </c>
      <c r="D1268" s="3" t="s">
        <v>12</v>
      </c>
      <c r="E1268" s="3" t="s">
        <v>1868</v>
      </c>
      <c r="F1268" s="3" t="s">
        <v>1417</v>
      </c>
      <c r="G1268" s="3" t="n">
        <v>6000</v>
      </c>
      <c r="H1268" s="3"/>
      <c r="I1268" s="3" t="s">
        <v>1415</v>
      </c>
      <c r="J1268" s="4" t="str">
        <f aca="false">IF(AND($A1268&lt;&gt;"",$A1268=Подбор!$C$4),MAX(J$1:J1267)+1,"")</f>
        <v/>
      </c>
    </row>
    <row r="1269" customFormat="false" ht="15" hidden="false" customHeight="false" outlineLevel="0" collapsed="false">
      <c r="A1269" s="3" t="s">
        <v>1381</v>
      </c>
      <c r="B1269" s="3" t="s">
        <v>57</v>
      </c>
      <c r="C1269" s="3" t="s">
        <v>567</v>
      </c>
      <c r="D1269" s="3" t="s">
        <v>12</v>
      </c>
      <c r="E1269" s="3" t="s">
        <v>1997</v>
      </c>
      <c r="F1269" s="3" t="s">
        <v>1403</v>
      </c>
      <c r="G1269" s="3" t="n">
        <v>1200</v>
      </c>
      <c r="H1269" s="3"/>
      <c r="I1269" s="3" t="s">
        <v>1415</v>
      </c>
      <c r="J1269" s="4" t="str">
        <f aca="false">IF(AND($A1269&lt;&gt;"",$A1269=Подбор!$C$4),MAX(J$1:J1268)+1,"")</f>
        <v/>
      </c>
    </row>
    <row r="1270" customFormat="false" ht="15" hidden="false" customHeight="false" outlineLevel="0" collapsed="false">
      <c r="A1270" s="3" t="s">
        <v>1383</v>
      </c>
      <c r="B1270" s="3" t="s">
        <v>472</v>
      </c>
      <c r="C1270" s="3" t="s">
        <v>11</v>
      </c>
      <c r="D1270" s="3" t="s">
        <v>12</v>
      </c>
      <c r="E1270" s="3" t="s">
        <v>15</v>
      </c>
      <c r="F1270" s="3"/>
      <c r="G1270" s="3"/>
      <c r="H1270" s="3"/>
      <c r="I1270" s="3"/>
      <c r="J1270" s="4" t="str">
        <f aca="false">IF(AND($A1270&lt;&gt;"",$A1270=Подбор!$C$4),MAX(J$1:J1269)+1,"")</f>
        <v/>
      </c>
    </row>
    <row r="1271" customFormat="false" ht="15" hidden="false" customHeight="false" outlineLevel="0" collapsed="false">
      <c r="A1271" s="3" t="s">
        <v>1384</v>
      </c>
      <c r="B1271" s="3" t="s">
        <v>110</v>
      </c>
      <c r="C1271" s="3" t="s">
        <v>11</v>
      </c>
      <c r="D1271" s="3" t="s">
        <v>12</v>
      </c>
      <c r="E1271" s="3" t="s">
        <v>1998</v>
      </c>
      <c r="F1271" s="3" t="s">
        <v>1403</v>
      </c>
      <c r="G1271" s="3"/>
      <c r="H1271" s="3"/>
      <c r="I1271" s="3"/>
      <c r="J1271" s="4" t="str">
        <f aca="false">IF(AND($A1271&lt;&gt;"",$A1271=Подбор!$C$4),MAX(J$1:J1270)+1,"")</f>
        <v/>
      </c>
    </row>
    <row r="1272" customFormat="false" ht="15" hidden="false" customHeight="false" outlineLevel="0" collapsed="false">
      <c r="A1272" s="3" t="s">
        <v>1386</v>
      </c>
      <c r="B1272" s="3" t="s">
        <v>1180</v>
      </c>
      <c r="C1272" s="3" t="s">
        <v>15</v>
      </c>
      <c r="D1272" s="3" t="s">
        <v>15</v>
      </c>
      <c r="E1272" s="3" t="s">
        <v>15</v>
      </c>
      <c r="F1272" s="3"/>
      <c r="G1272" s="3"/>
      <c r="H1272" s="3"/>
      <c r="I1272" s="3"/>
      <c r="J1272" s="4" t="str">
        <f aca="false">IF(AND($A1272&lt;&gt;"",$A1272=Подбор!$C$4),MAX(J$1:J1271)+1,"")</f>
        <v/>
      </c>
    </row>
    <row r="1273" customFormat="false" ht="15" hidden="false" customHeight="false" outlineLevel="0" collapsed="false">
      <c r="A1273" s="3" t="s">
        <v>1387</v>
      </c>
      <c r="B1273" s="3" t="s">
        <v>552</v>
      </c>
      <c r="C1273" s="3" t="s">
        <v>15</v>
      </c>
      <c r="D1273" s="3" t="s">
        <v>15</v>
      </c>
      <c r="E1273" s="3" t="s">
        <v>15</v>
      </c>
      <c r="F1273" s="3"/>
      <c r="G1273" s="3"/>
      <c r="H1273" s="3"/>
      <c r="I1273" s="3"/>
      <c r="J1273" s="4" t="str">
        <f aca="false">IF(AND($A1273&lt;&gt;"",$A1273=Подбор!$C$4),MAX(J$1:J1272)+1,"")</f>
        <v/>
      </c>
    </row>
    <row r="1274" customFormat="false" ht="15" hidden="false" customHeight="false" outlineLevel="0" collapsed="false">
      <c r="A1274" s="3" t="s">
        <v>1388</v>
      </c>
      <c r="B1274" s="3" t="s">
        <v>110</v>
      </c>
      <c r="C1274" s="3" t="s">
        <v>11</v>
      </c>
      <c r="D1274" s="3" t="s">
        <v>12</v>
      </c>
      <c r="E1274" s="3" t="s">
        <v>1999</v>
      </c>
      <c r="F1274" s="3" t="s">
        <v>1403</v>
      </c>
      <c r="G1274" s="3"/>
      <c r="H1274" s="3"/>
      <c r="I1274" s="3"/>
      <c r="J1274" s="4" t="str">
        <f aca="false">IF(AND($A1274&lt;&gt;"",$A1274=Подбор!$C$4),MAX(J$1:J1273)+1,"")</f>
        <v/>
      </c>
    </row>
    <row r="1275" customFormat="false" ht="15" hidden="false" customHeight="false" outlineLevel="0" collapsed="false">
      <c r="A1275" s="3" t="s">
        <v>1390</v>
      </c>
      <c r="B1275" s="3" t="s">
        <v>57</v>
      </c>
      <c r="C1275" s="3" t="s">
        <v>11</v>
      </c>
      <c r="D1275" s="3" t="s">
        <v>12</v>
      </c>
      <c r="E1275" s="3" t="s">
        <v>1763</v>
      </c>
      <c r="F1275" s="3" t="s">
        <v>1403</v>
      </c>
      <c r="G1275" s="3"/>
      <c r="H1275" s="3"/>
      <c r="I1275" s="3"/>
      <c r="J1275" s="4" t="str">
        <f aca="false">IF(AND($A1275&lt;&gt;"",$A1275=Подбор!$C$4),MAX(J$1:J1274)+1,"")</f>
        <v/>
      </c>
    </row>
    <row r="1276" customFormat="false" ht="15" hidden="false" customHeight="false" outlineLevel="0" collapsed="false">
      <c r="A1276" s="3" t="s">
        <v>1391</v>
      </c>
      <c r="B1276" s="3" t="s">
        <v>84</v>
      </c>
      <c r="C1276" s="3" t="s">
        <v>11</v>
      </c>
      <c r="D1276" s="3" t="s">
        <v>12</v>
      </c>
      <c r="E1276" s="3" t="s">
        <v>15</v>
      </c>
      <c r="F1276" s="3"/>
      <c r="G1276" s="3"/>
      <c r="H1276" s="3"/>
      <c r="I1276" s="3"/>
      <c r="J1276" s="4" t="str">
        <f aca="false">IF(AND($A1276&lt;&gt;"",$A1276=Подбор!$C$4),MAX(J$1:J1275)+1,"")</f>
        <v/>
      </c>
    </row>
    <row r="1277" customFormat="false" ht="15" hidden="false" customHeight="false" outlineLevel="0" collapsed="false">
      <c r="A1277" s="3" t="s">
        <v>33</v>
      </c>
      <c r="B1277" s="3" t="s">
        <v>34</v>
      </c>
      <c r="C1277" s="3" t="s">
        <v>30</v>
      </c>
      <c r="D1277" s="3" t="s">
        <v>15</v>
      </c>
      <c r="E1277" s="3"/>
      <c r="F1277" s="3"/>
      <c r="G1277" s="3"/>
      <c r="H1277" s="3"/>
      <c r="I1277" s="3" t="s">
        <v>2000</v>
      </c>
      <c r="J1277" s="4" t="str">
        <f aca="false">IF(AND($A1277&lt;&gt;"",$A1277=Подбор!$C$4),MAX(J$1:J1276)+1,"")</f>
        <v/>
      </c>
    </row>
    <row r="1278" customFormat="false" ht="15" hidden="false" customHeight="false" outlineLevel="0" collapsed="false">
      <c r="A1278" s="3" t="s">
        <v>237</v>
      </c>
      <c r="B1278" s="3" t="s">
        <v>84</v>
      </c>
      <c r="C1278" s="3" t="s">
        <v>14</v>
      </c>
      <c r="D1278" s="3" t="s">
        <v>15</v>
      </c>
      <c r="E1278" s="3"/>
      <c r="F1278" s="3"/>
      <c r="G1278" s="3"/>
      <c r="H1278" s="3"/>
      <c r="I1278" s="3" t="s">
        <v>2000</v>
      </c>
      <c r="J1278" s="4" t="str">
        <f aca="false">IF(AND($A1278&lt;&gt;"",$A1278=Подбор!$C$4),MAX(J$1:J1277)+1,"")</f>
        <v/>
      </c>
    </row>
    <row r="1279" customFormat="false" ht="15" hidden="false" customHeight="false" outlineLevel="0" collapsed="false">
      <c r="A1279" s="3" t="s">
        <v>339</v>
      </c>
      <c r="B1279" s="3" t="s">
        <v>10</v>
      </c>
      <c r="C1279" s="3" t="s">
        <v>17</v>
      </c>
      <c r="D1279" s="3" t="s">
        <v>15</v>
      </c>
      <c r="E1279" s="3"/>
      <c r="F1279" s="3"/>
      <c r="G1279" s="3"/>
      <c r="H1279" s="3"/>
      <c r="I1279" s="3" t="s">
        <v>2000</v>
      </c>
      <c r="J1279" s="4" t="str">
        <f aca="false">IF(AND($A1279&lt;&gt;"",$A1279=Подбор!$C$4),MAX(J$1:J1278)+1,"")</f>
        <v/>
      </c>
    </row>
    <row r="1280" customFormat="false" ht="15" hidden="false" customHeight="false" outlineLevel="0" collapsed="false">
      <c r="A1280" s="3" t="s">
        <v>347</v>
      </c>
      <c r="B1280" s="3" t="s">
        <v>10</v>
      </c>
      <c r="C1280" s="3" t="s">
        <v>17</v>
      </c>
      <c r="D1280" s="3" t="s">
        <v>15</v>
      </c>
      <c r="E1280" s="3"/>
      <c r="F1280" s="3"/>
      <c r="G1280" s="3"/>
      <c r="H1280" s="3"/>
      <c r="I1280" s="3" t="s">
        <v>2000</v>
      </c>
      <c r="J1280" s="4" t="str">
        <f aca="false">IF(AND($A1280&lt;&gt;"",$A1280=Подбор!$C$4),MAX(J$1:J1279)+1,"")</f>
        <v/>
      </c>
    </row>
    <row r="1281" customFormat="false" ht="15" hidden="false" customHeight="false" outlineLevel="0" collapsed="false">
      <c r="A1281" s="3" t="s">
        <v>595</v>
      </c>
      <c r="B1281" s="3" t="s">
        <v>57</v>
      </c>
      <c r="C1281" s="3" t="s">
        <v>567</v>
      </c>
      <c r="D1281" s="3" t="s">
        <v>12</v>
      </c>
      <c r="E1281" s="3" t="s">
        <v>2001</v>
      </c>
      <c r="F1281" s="3" t="s">
        <v>1403</v>
      </c>
      <c r="G1281" s="3" t="n">
        <v>2200</v>
      </c>
      <c r="H1281" s="3"/>
      <c r="I1281" s="3"/>
      <c r="J1281" s="4" t="str">
        <f aca="false">IF(AND($A1281&lt;&gt;"",$A1281=Подбор!$C$4),MAX(J$1:J1280)+1,"")</f>
        <v/>
      </c>
    </row>
    <row r="1282" customFormat="false" ht="15" hidden="false" customHeight="false" outlineLevel="0" collapsed="false">
      <c r="A1282" s="3" t="s">
        <v>597</v>
      </c>
      <c r="B1282" s="3" t="s">
        <v>57</v>
      </c>
      <c r="C1282" s="3" t="s">
        <v>567</v>
      </c>
      <c r="D1282" s="3" t="s">
        <v>12</v>
      </c>
      <c r="E1282" s="3" t="s">
        <v>2001</v>
      </c>
      <c r="F1282" s="3" t="s">
        <v>1403</v>
      </c>
      <c r="G1282" s="3" t="n">
        <v>2200</v>
      </c>
      <c r="H1282" s="3"/>
      <c r="I1282" s="3"/>
      <c r="J1282" s="4" t="str">
        <f aca="false">IF(AND($A1282&lt;&gt;"",$A1282=Подбор!$C$4),MAX(J$1:J1281)+1,"")</f>
        <v/>
      </c>
    </row>
    <row r="1283" customFormat="false" ht="15" hidden="false" customHeight="false" outlineLevel="0" collapsed="false">
      <c r="A1283" s="3" t="s">
        <v>598</v>
      </c>
      <c r="B1283" s="3" t="s">
        <v>57</v>
      </c>
      <c r="C1283" s="3" t="s">
        <v>567</v>
      </c>
      <c r="D1283" s="3" t="s">
        <v>12</v>
      </c>
      <c r="E1283" s="3" t="s">
        <v>2001</v>
      </c>
      <c r="F1283" s="3" t="s">
        <v>1403</v>
      </c>
      <c r="G1283" s="3" t="n">
        <v>2200</v>
      </c>
      <c r="H1283" s="3"/>
      <c r="I1283" s="3"/>
      <c r="J1283" s="4" t="str">
        <f aca="false">IF(AND($A1283&lt;&gt;"",$A1283=Подбор!$C$4),MAX(J$1:J1282)+1,"")</f>
        <v/>
      </c>
    </row>
    <row r="1284" customFormat="false" ht="15" hidden="false" customHeight="false" outlineLevel="0" collapsed="false">
      <c r="A1284" s="3" t="s">
        <v>600</v>
      </c>
      <c r="B1284" s="3" t="s">
        <v>57</v>
      </c>
      <c r="C1284" s="3" t="s">
        <v>567</v>
      </c>
      <c r="D1284" s="3" t="s">
        <v>12</v>
      </c>
      <c r="E1284" s="3" t="s">
        <v>1900</v>
      </c>
      <c r="F1284" s="3" t="s">
        <v>1403</v>
      </c>
      <c r="G1284" s="3" t="n">
        <v>1200</v>
      </c>
      <c r="H1284" s="3"/>
      <c r="I1284" s="3" t="s">
        <v>1415</v>
      </c>
      <c r="J1284" s="4" t="str">
        <f aca="false">IF(AND($A1284&lt;&gt;"",$A1284=Подбор!$C$4),MAX(J$1:J1283)+1,"")</f>
        <v/>
      </c>
    </row>
    <row r="1285" customFormat="false" ht="15" hidden="false" customHeight="false" outlineLevel="0" collapsed="false">
      <c r="A1285" s="3" t="s">
        <v>604</v>
      </c>
      <c r="B1285" s="3" t="s">
        <v>57</v>
      </c>
      <c r="C1285" s="3" t="s">
        <v>567</v>
      </c>
      <c r="D1285" s="3" t="s">
        <v>12</v>
      </c>
      <c r="E1285" s="3" t="s">
        <v>2002</v>
      </c>
      <c r="F1285" s="3" t="s">
        <v>1403</v>
      </c>
      <c r="G1285" s="3" t="n">
        <v>2300</v>
      </c>
      <c r="H1285" s="3"/>
      <c r="I1285" s="3"/>
      <c r="J1285" s="4" t="str">
        <f aca="false">IF(AND($A1285&lt;&gt;"",$A1285=Подбор!$C$4),MAX(J$1:J1284)+1,"")</f>
        <v/>
      </c>
    </row>
    <row r="1286" customFormat="false" ht="15" hidden="false" customHeight="false" outlineLevel="0" collapsed="false">
      <c r="A1286" s="3" t="s">
        <v>606</v>
      </c>
      <c r="B1286" s="3" t="s">
        <v>57</v>
      </c>
      <c r="C1286" s="3" t="s">
        <v>567</v>
      </c>
      <c r="D1286" s="3" t="s">
        <v>12</v>
      </c>
      <c r="E1286" s="3" t="s">
        <v>1900</v>
      </c>
      <c r="F1286" s="3" t="s">
        <v>1403</v>
      </c>
      <c r="G1286" s="3" t="n">
        <v>1200</v>
      </c>
      <c r="H1286" s="3"/>
      <c r="I1286" s="3" t="s">
        <v>1415</v>
      </c>
      <c r="J1286" s="4" t="str">
        <f aca="false">IF(AND($A1286&lt;&gt;"",$A1286=Подбор!$C$4),MAX(J$1:J1285)+1,"")</f>
        <v/>
      </c>
    </row>
    <row r="1287" customFormat="false" ht="15" hidden="false" customHeight="false" outlineLevel="0" collapsed="false">
      <c r="A1287" s="3" t="s">
        <v>607</v>
      </c>
      <c r="B1287" s="3" t="s">
        <v>57</v>
      </c>
      <c r="C1287" s="3" t="s">
        <v>567</v>
      </c>
      <c r="D1287" s="3" t="s">
        <v>12</v>
      </c>
      <c r="E1287" s="3" t="s">
        <v>1745</v>
      </c>
      <c r="F1287" s="3" t="s">
        <v>1403</v>
      </c>
      <c r="G1287" s="3" t="n">
        <v>9200</v>
      </c>
      <c r="H1287" s="3"/>
      <c r="I1287" s="3" t="s">
        <v>1415</v>
      </c>
      <c r="J1287" s="4" t="str">
        <f aca="false">IF(AND($A1287&lt;&gt;"",$A1287=Подбор!$C$4),MAX(J$1:J1286)+1,"")</f>
        <v/>
      </c>
    </row>
    <row r="1288" customFormat="false" ht="15" hidden="false" customHeight="false" outlineLevel="0" collapsed="false">
      <c r="A1288" s="3" t="s">
        <v>608</v>
      </c>
      <c r="B1288" s="3" t="s">
        <v>57</v>
      </c>
      <c r="C1288" s="3" t="s">
        <v>567</v>
      </c>
      <c r="D1288" s="3" t="s">
        <v>12</v>
      </c>
      <c r="E1288" s="3" t="s">
        <v>2002</v>
      </c>
      <c r="F1288" s="3" t="s">
        <v>1403</v>
      </c>
      <c r="G1288" s="3" t="n">
        <v>2300</v>
      </c>
      <c r="H1288" s="3"/>
      <c r="I1288" s="3"/>
      <c r="J1288" s="4" t="str">
        <f aca="false">IF(AND($A1288&lt;&gt;"",$A1288=Подбор!$C$4),MAX(J$1:J1287)+1,"")</f>
        <v/>
      </c>
    </row>
    <row r="1289" customFormat="false" ht="15" hidden="false" customHeight="false" outlineLevel="0" collapsed="false">
      <c r="A1289" s="3" t="s">
        <v>609</v>
      </c>
      <c r="B1289" s="3" t="s">
        <v>57</v>
      </c>
      <c r="C1289" s="3" t="s">
        <v>567</v>
      </c>
      <c r="D1289" s="3" t="s">
        <v>12</v>
      </c>
      <c r="E1289" s="3" t="s">
        <v>2002</v>
      </c>
      <c r="F1289" s="3" t="s">
        <v>1403</v>
      </c>
      <c r="G1289" s="3" t="n">
        <v>2300</v>
      </c>
      <c r="H1289" s="3"/>
      <c r="I1289" s="3"/>
      <c r="J1289" s="4" t="str">
        <f aca="false">IF(AND($A1289&lt;&gt;"",$A1289=Подбор!$C$4),MAX(J$1:J1288)+1,"")</f>
        <v/>
      </c>
    </row>
    <row r="1290" customFormat="false" ht="15" hidden="false" customHeight="false" outlineLevel="0" collapsed="false">
      <c r="A1290" s="3" t="s">
        <v>610</v>
      </c>
      <c r="B1290" s="3" t="s">
        <v>57</v>
      </c>
      <c r="C1290" s="3" t="s">
        <v>567</v>
      </c>
      <c r="D1290" s="3" t="s">
        <v>12</v>
      </c>
      <c r="E1290" s="3" t="s">
        <v>1745</v>
      </c>
      <c r="F1290" s="3" t="s">
        <v>1403</v>
      </c>
      <c r="G1290" s="3" t="n">
        <v>9200</v>
      </c>
      <c r="H1290" s="3"/>
      <c r="I1290" s="3" t="s">
        <v>1415</v>
      </c>
      <c r="J1290" s="4" t="str">
        <f aca="false">IF(AND($A1290&lt;&gt;"",$A1290=Подбор!$C$4),MAX(J$1:J1289)+1,"")</f>
        <v/>
      </c>
    </row>
    <row r="1291" customFormat="false" ht="15" hidden="false" customHeight="false" outlineLevel="0" collapsed="false">
      <c r="A1291" s="3" t="s">
        <v>611</v>
      </c>
      <c r="B1291" s="3" t="s">
        <v>57</v>
      </c>
      <c r="C1291" s="3" t="s">
        <v>567</v>
      </c>
      <c r="D1291" s="3" t="s">
        <v>12</v>
      </c>
      <c r="E1291" s="3"/>
      <c r="F1291" s="3"/>
      <c r="G1291" s="3"/>
      <c r="H1291" s="3"/>
      <c r="I1291" s="3" t="s">
        <v>2000</v>
      </c>
      <c r="J1291" s="4" t="str">
        <f aca="false">IF(AND($A1291&lt;&gt;"",$A1291=Подбор!$C$4),MAX(J$1:J1290)+1,"")</f>
        <v/>
      </c>
    </row>
    <row r="1292" customFormat="false" ht="15" hidden="false" customHeight="false" outlineLevel="0" collapsed="false">
      <c r="A1292" s="3" t="s">
        <v>613</v>
      </c>
      <c r="B1292" s="3" t="s">
        <v>57</v>
      </c>
      <c r="C1292" s="3" t="s">
        <v>567</v>
      </c>
      <c r="D1292" s="3" t="s">
        <v>12</v>
      </c>
      <c r="E1292" s="3"/>
      <c r="F1292" s="3"/>
      <c r="G1292" s="3"/>
      <c r="H1292" s="3"/>
      <c r="I1292" s="3" t="s">
        <v>2000</v>
      </c>
      <c r="J1292" s="4" t="str">
        <f aca="false">IF(AND($A1292&lt;&gt;"",$A1292=Подбор!$C$4),MAX(J$1:J1291)+1,"")</f>
        <v/>
      </c>
    </row>
    <row r="1293" customFormat="false" ht="15" hidden="false" customHeight="false" outlineLevel="0" collapsed="false">
      <c r="A1293" s="3" t="s">
        <v>614</v>
      </c>
      <c r="B1293" s="3" t="s">
        <v>57</v>
      </c>
      <c r="C1293" s="3" t="s">
        <v>567</v>
      </c>
      <c r="D1293" s="3" t="s">
        <v>12</v>
      </c>
      <c r="E1293" s="3" t="s">
        <v>1745</v>
      </c>
      <c r="F1293" s="3" t="s">
        <v>1403</v>
      </c>
      <c r="G1293" s="3" t="n">
        <v>9200</v>
      </c>
      <c r="H1293" s="3"/>
      <c r="I1293" s="3" t="s">
        <v>1415</v>
      </c>
      <c r="J1293" s="4" t="str">
        <f aca="false">IF(AND($A1293&lt;&gt;"",$A1293=Подбор!$C$4),MAX(J$1:J1292)+1,"")</f>
        <v/>
      </c>
    </row>
    <row r="1294" customFormat="false" ht="15" hidden="false" customHeight="false" outlineLevel="0" collapsed="false">
      <c r="A1294" s="3" t="s">
        <v>615</v>
      </c>
      <c r="B1294" s="3" t="s">
        <v>57</v>
      </c>
      <c r="C1294" s="3" t="s">
        <v>567</v>
      </c>
      <c r="D1294" s="3" t="s">
        <v>12</v>
      </c>
      <c r="E1294" s="3" t="s">
        <v>2002</v>
      </c>
      <c r="F1294" s="3" t="s">
        <v>1403</v>
      </c>
      <c r="G1294" s="3" t="n">
        <v>2300</v>
      </c>
      <c r="H1294" s="3"/>
      <c r="I1294" s="3"/>
      <c r="J1294" s="4" t="str">
        <f aca="false">IF(AND($A1294&lt;&gt;"",$A1294=Подбор!$C$4),MAX(J$1:J1293)+1,"")</f>
        <v/>
      </c>
    </row>
    <row r="1295" customFormat="false" ht="15" hidden="false" customHeight="false" outlineLevel="0" collapsed="false">
      <c r="A1295" s="3" t="s">
        <v>616</v>
      </c>
      <c r="B1295" s="3" t="s">
        <v>57</v>
      </c>
      <c r="C1295" s="3" t="s">
        <v>11</v>
      </c>
      <c r="D1295" s="3" t="s">
        <v>12</v>
      </c>
      <c r="E1295" s="3" t="s">
        <v>1789</v>
      </c>
      <c r="F1295" s="3" t="s">
        <v>1403</v>
      </c>
      <c r="G1295" s="3" t="n">
        <v>6000</v>
      </c>
      <c r="H1295" s="3"/>
      <c r="I1295" s="3" t="s">
        <v>2003</v>
      </c>
      <c r="J1295" s="4" t="str">
        <f aca="false">IF(AND($A1295&lt;&gt;"",$A1295=Подбор!$C$4),MAX(J$1:J1294)+1,"")</f>
        <v/>
      </c>
    </row>
    <row r="1296" customFormat="false" ht="15" hidden="false" customHeight="false" outlineLevel="0" collapsed="false">
      <c r="A1296" s="3" t="s">
        <v>618</v>
      </c>
      <c r="B1296" s="3" t="s">
        <v>57</v>
      </c>
      <c r="C1296" s="3" t="s">
        <v>567</v>
      </c>
      <c r="D1296" s="3" t="s">
        <v>12</v>
      </c>
      <c r="E1296" s="3"/>
      <c r="F1296" s="3"/>
      <c r="G1296" s="3"/>
      <c r="H1296" s="3"/>
      <c r="I1296" s="3" t="s">
        <v>2000</v>
      </c>
      <c r="J1296" s="4" t="str">
        <f aca="false">IF(AND($A1296&lt;&gt;"",$A1296=Подбор!$C$4),MAX(J$1:J1295)+1,"")</f>
        <v/>
      </c>
    </row>
    <row r="1297" customFormat="false" ht="15" hidden="false" customHeight="false" outlineLevel="0" collapsed="false">
      <c r="A1297" s="3" t="s">
        <v>620</v>
      </c>
      <c r="B1297" s="3" t="s">
        <v>57</v>
      </c>
      <c r="C1297" s="3" t="s">
        <v>567</v>
      </c>
      <c r="D1297" s="3" t="s">
        <v>12</v>
      </c>
      <c r="E1297" s="3" t="s">
        <v>1947</v>
      </c>
      <c r="F1297" s="3" t="s">
        <v>1403</v>
      </c>
      <c r="G1297" s="3" t="n">
        <v>1000</v>
      </c>
      <c r="H1297" s="3"/>
      <c r="I1297" s="3" t="s">
        <v>1415</v>
      </c>
      <c r="J1297" s="4" t="str">
        <f aca="false">IF(AND($A1297&lt;&gt;"",$A1297=Подбор!$C$4),MAX(J$1:J1296)+1,"")</f>
        <v/>
      </c>
    </row>
    <row r="1298" customFormat="false" ht="15" hidden="false" customHeight="false" outlineLevel="0" collapsed="false">
      <c r="A1298" s="3" t="s">
        <v>622</v>
      </c>
      <c r="B1298" s="3" t="s">
        <v>57</v>
      </c>
      <c r="C1298" s="3" t="s">
        <v>567</v>
      </c>
      <c r="D1298" s="3" t="s">
        <v>12</v>
      </c>
      <c r="E1298" s="3" t="s">
        <v>2004</v>
      </c>
      <c r="F1298" s="3" t="s">
        <v>1403</v>
      </c>
      <c r="G1298" s="3" t="n">
        <v>3000</v>
      </c>
      <c r="H1298" s="3"/>
      <c r="I1298" s="3" t="s">
        <v>1415</v>
      </c>
      <c r="J1298" s="4" t="str">
        <f aca="false">IF(AND($A1298&lt;&gt;"",$A1298=Подбор!$C$4),MAX(J$1:J1297)+1,"")</f>
        <v/>
      </c>
    </row>
    <row r="1299" customFormat="false" ht="15" hidden="false" customHeight="false" outlineLevel="0" collapsed="false">
      <c r="A1299" s="3" t="s">
        <v>624</v>
      </c>
      <c r="B1299" s="3" t="s">
        <v>57</v>
      </c>
      <c r="C1299" s="3" t="s">
        <v>567</v>
      </c>
      <c r="D1299" s="3" t="s">
        <v>12</v>
      </c>
      <c r="E1299" s="3" t="s">
        <v>2004</v>
      </c>
      <c r="F1299" s="3" t="s">
        <v>1403</v>
      </c>
      <c r="G1299" s="3" t="n">
        <v>3000</v>
      </c>
      <c r="H1299" s="3"/>
      <c r="I1299" s="3" t="s">
        <v>1415</v>
      </c>
      <c r="J1299" s="4" t="str">
        <f aca="false">IF(AND($A1299&lt;&gt;"",$A1299=Подбор!$C$4),MAX(J$1:J1298)+1,"")</f>
        <v/>
      </c>
    </row>
    <row r="1300" customFormat="false" ht="15" hidden="false" customHeight="false" outlineLevel="0" collapsed="false">
      <c r="A1300" s="3" t="s">
        <v>625</v>
      </c>
      <c r="B1300" s="3" t="s">
        <v>57</v>
      </c>
      <c r="C1300" s="3" t="s">
        <v>567</v>
      </c>
      <c r="D1300" s="3" t="s">
        <v>12</v>
      </c>
      <c r="E1300" s="3"/>
      <c r="F1300" s="3"/>
      <c r="G1300" s="3"/>
      <c r="H1300" s="3"/>
      <c r="I1300" s="3" t="s">
        <v>2000</v>
      </c>
      <c r="J1300" s="4" t="str">
        <f aca="false">IF(AND($A1300&lt;&gt;"",$A1300=Подбор!$C$4),MAX(J$1:J1299)+1,"")</f>
        <v/>
      </c>
    </row>
    <row r="1301" customFormat="false" ht="15" hidden="false" customHeight="false" outlineLevel="0" collapsed="false">
      <c r="A1301" s="3" t="s">
        <v>627</v>
      </c>
      <c r="B1301" s="3" t="s">
        <v>57</v>
      </c>
      <c r="C1301" s="3" t="s">
        <v>11</v>
      </c>
      <c r="D1301" s="3" t="s">
        <v>12</v>
      </c>
      <c r="E1301" s="3" t="s">
        <v>2005</v>
      </c>
      <c r="F1301" s="3" t="s">
        <v>1403</v>
      </c>
      <c r="G1301" s="3" t="n">
        <v>13000</v>
      </c>
      <c r="H1301" s="3"/>
      <c r="I1301" s="3"/>
      <c r="J1301" s="4" t="str">
        <f aca="false">IF(AND($A1301&lt;&gt;"",$A1301=Подбор!$C$4),MAX(J$1:J1300)+1,"")</f>
        <v/>
      </c>
    </row>
    <row r="1302" customFormat="false" ht="15" hidden="false" customHeight="false" outlineLevel="0" collapsed="false">
      <c r="A1302" s="3" t="s">
        <v>631</v>
      </c>
      <c r="B1302" s="3" t="s">
        <v>57</v>
      </c>
      <c r="C1302" s="3" t="s">
        <v>11</v>
      </c>
      <c r="D1302" s="3" t="s">
        <v>12</v>
      </c>
      <c r="E1302" s="3"/>
      <c r="F1302" s="3"/>
      <c r="G1302" s="3"/>
      <c r="H1302" s="3"/>
      <c r="I1302" s="3" t="s">
        <v>2000</v>
      </c>
      <c r="J1302" s="4" t="str">
        <f aca="false">IF(AND($A1302&lt;&gt;"",$A1302=Подбор!$C$4),MAX(J$1:J1301)+1,"")</f>
        <v/>
      </c>
    </row>
    <row r="1303" customFormat="false" ht="15" hidden="false" customHeight="false" outlineLevel="0" collapsed="false">
      <c r="A1303" s="3" t="s">
        <v>884</v>
      </c>
      <c r="B1303" s="3" t="s">
        <v>885</v>
      </c>
      <c r="C1303" s="3" t="s">
        <v>15</v>
      </c>
      <c r="D1303" s="3" t="s">
        <v>15</v>
      </c>
      <c r="E1303" s="3" t="s">
        <v>15</v>
      </c>
      <c r="F1303" s="3"/>
      <c r="G1303" s="3"/>
      <c r="H1303" s="3"/>
      <c r="I1303" s="3"/>
      <c r="J1303" s="4" t="str">
        <f aca="false">IF(AND($A1303&lt;&gt;"",$A1303=Подбор!$C$4),MAX(J$1:J1302)+1,"")</f>
        <v/>
      </c>
    </row>
    <row r="1304" customFormat="false" ht="15" hidden="false" customHeight="false" outlineLevel="0" collapsed="false">
      <c r="A1304" s="3" t="s">
        <v>931</v>
      </c>
      <c r="B1304" s="3" t="s">
        <v>932</v>
      </c>
      <c r="C1304" s="3" t="s">
        <v>15</v>
      </c>
      <c r="D1304" s="3" t="s">
        <v>15</v>
      </c>
      <c r="E1304" s="3" t="s">
        <v>15</v>
      </c>
      <c r="F1304" s="3"/>
      <c r="G1304" s="3"/>
      <c r="H1304" s="3"/>
      <c r="I1304" s="3"/>
      <c r="J1304" s="4" t="str">
        <f aca="false">IF(AND($A1304&lt;&gt;"",$A1304=Подбор!$C$4),MAX(J$1:J1303)+1,"")</f>
        <v/>
      </c>
    </row>
    <row r="1305" customFormat="false" ht="15" hidden="false" customHeight="false" outlineLevel="0" collapsed="false">
      <c r="A1305" s="3" t="s">
        <v>1087</v>
      </c>
      <c r="B1305" s="3" t="s">
        <v>885</v>
      </c>
      <c r="C1305" s="3" t="s">
        <v>15</v>
      </c>
      <c r="D1305" s="3" t="s">
        <v>15</v>
      </c>
      <c r="E1305" s="3" t="s">
        <v>15</v>
      </c>
      <c r="F1305" s="3"/>
      <c r="G1305" s="3"/>
      <c r="H1305" s="3"/>
      <c r="I1305" s="3"/>
      <c r="J1305" s="4" t="str">
        <f aca="false">IF(AND($A1305&lt;&gt;"",$A1305=Подбор!$C$4),MAX(J$1:J1304)+1,"")</f>
        <v/>
      </c>
    </row>
    <row r="1306" customFormat="false" ht="15" hidden="false" customHeight="false" outlineLevel="0" collapsed="false">
      <c r="A1306" s="3" t="s">
        <v>1179</v>
      </c>
      <c r="B1306" s="3" t="s">
        <v>1180</v>
      </c>
      <c r="C1306" s="3" t="s">
        <v>15</v>
      </c>
      <c r="D1306" s="3" t="s">
        <v>15</v>
      </c>
      <c r="E1306" s="3" t="s">
        <v>15</v>
      </c>
      <c r="F1306" s="3"/>
      <c r="G1306" s="3"/>
      <c r="H1306" s="3"/>
      <c r="I1306" s="3"/>
      <c r="J1306" s="4" t="str">
        <f aca="false">IF(AND($A1306&lt;&gt;"",$A1306=Подбор!$C$4),MAX(J$1:J1305)+1,"")</f>
        <v/>
      </c>
    </row>
    <row r="1307" customFormat="false" ht="15" hidden="false" customHeight="false" outlineLevel="0" collapsed="false">
      <c r="A1307" s="3" t="s">
        <v>1209</v>
      </c>
      <c r="B1307" s="3" t="s">
        <v>34</v>
      </c>
      <c r="C1307" s="3" t="s">
        <v>15</v>
      </c>
      <c r="D1307" s="3" t="s">
        <v>15</v>
      </c>
      <c r="E1307" s="3" t="s">
        <v>15</v>
      </c>
      <c r="F1307" s="3"/>
      <c r="G1307" s="3"/>
      <c r="H1307" s="3"/>
      <c r="I1307" s="3"/>
      <c r="J1307" s="4" t="str">
        <f aca="false">IF(AND($A1307&lt;&gt;"",$A1307=Подбор!$C$4),MAX(J$1:J1306)+1,"")</f>
        <v/>
      </c>
    </row>
    <row r="1308" customFormat="false" ht="15" hidden="false" customHeight="false" outlineLevel="0" collapsed="false">
      <c r="J1308" s="4" t="str">
        <f aca="false">IF(AND($A1308&lt;&gt;"",$A1308=Подбор!$C$4),MAX(J$1:J1307)+1,"")</f>
        <v/>
      </c>
    </row>
    <row r="1309" customFormat="false" ht="15" hidden="false" customHeight="false" outlineLevel="0" collapsed="false">
      <c r="J1309" s="4" t="str">
        <f aca="false">IF(AND($A1309&lt;&gt;"",$A1309=Подбор!$C$4),MAX(J$1:J1308)+1,"")</f>
        <v/>
      </c>
    </row>
    <row r="1310" customFormat="false" ht="15" hidden="false" customHeight="false" outlineLevel="0" collapsed="false">
      <c r="J1310" s="4" t="str">
        <f aca="false">IF(AND($A1310&lt;&gt;"",$A1310=Подбор!$C$4),MAX(J$1:J1309)+1,"")</f>
        <v/>
      </c>
    </row>
    <row r="1311" customFormat="false" ht="15" hidden="false" customHeight="false" outlineLevel="0" collapsed="false">
      <c r="J1311" s="4" t="str">
        <f aca="false">IF(AND($A1311&lt;&gt;"",$A1311=Подбор!$C$4),MAX(J$1:J1310)+1,"")</f>
        <v/>
      </c>
    </row>
    <row r="1312" customFormat="false" ht="15" hidden="false" customHeight="false" outlineLevel="0" collapsed="false">
      <c r="J1312" s="4" t="str">
        <f aca="false">IF(AND($A1312&lt;&gt;"",$A1312=Подбор!$C$4),MAX(J$1:J1311)+1,"")</f>
        <v/>
      </c>
    </row>
    <row r="1313" customFormat="false" ht="15" hidden="false" customHeight="false" outlineLevel="0" collapsed="false">
      <c r="J1313" s="4" t="str">
        <f aca="false">IF(AND($A1313&lt;&gt;"",$A1313=Подбор!$C$4),MAX(J$1:J1312)+1,"")</f>
        <v/>
      </c>
    </row>
    <row r="1314" customFormat="false" ht="15" hidden="false" customHeight="false" outlineLevel="0" collapsed="false">
      <c r="J1314" s="4" t="str">
        <f aca="false">IF(AND($A1314&lt;&gt;"",$A1314=Подбор!$C$4),MAX(J$1:J1313)+1,"")</f>
        <v/>
      </c>
    </row>
    <row r="1315" customFormat="false" ht="15" hidden="false" customHeight="false" outlineLevel="0" collapsed="false">
      <c r="J1315" s="4" t="str">
        <f aca="false">IF(AND($A1315&lt;&gt;"",$A1315=Подбор!$C$4),MAX(J$1:J1314)+1,"")</f>
        <v/>
      </c>
    </row>
    <row r="1316" customFormat="false" ht="15" hidden="false" customHeight="false" outlineLevel="0" collapsed="false">
      <c r="J1316" s="4" t="str">
        <f aca="false">IF(AND($A1316&lt;&gt;"",$A1316=Подбор!$C$4),MAX(J$1:J1315)+1,"")</f>
        <v/>
      </c>
    </row>
    <row r="1317" customFormat="false" ht="15" hidden="false" customHeight="false" outlineLevel="0" collapsed="false">
      <c r="J1317" s="4" t="str">
        <f aca="false">IF(AND($A1317&lt;&gt;"",$A1317=Подбор!$C$4),MAX(J$1:J1316)+1,"")</f>
        <v/>
      </c>
    </row>
    <row r="1318" customFormat="false" ht="15" hidden="false" customHeight="false" outlineLevel="0" collapsed="false">
      <c r="J1318" s="4" t="str">
        <f aca="false">IF(AND($A1318&lt;&gt;"",$A1318=Подбор!$C$4),MAX(J$1:J1317)+1,"")</f>
        <v/>
      </c>
    </row>
    <row r="1319" customFormat="false" ht="15" hidden="false" customHeight="false" outlineLevel="0" collapsed="false">
      <c r="J1319" s="4" t="str">
        <f aca="false">IF(AND($A1319&lt;&gt;"",$A1319=Подбор!$C$4),MAX(J$1:J1318)+1,"")</f>
        <v/>
      </c>
    </row>
    <row r="1320" customFormat="false" ht="15" hidden="false" customHeight="false" outlineLevel="0" collapsed="false">
      <c r="J1320" s="4" t="str">
        <f aca="false">IF(AND($A1320&lt;&gt;"",$A1320=Подбор!$C$4),MAX(J$1:J1319)+1,"")</f>
        <v/>
      </c>
    </row>
    <row r="1321" customFormat="false" ht="15" hidden="false" customHeight="false" outlineLevel="0" collapsed="false">
      <c r="J1321" s="4" t="str">
        <f aca="false">IF(AND($A1321&lt;&gt;"",$A1321=Подбор!$C$4),MAX(J$1:J1320)+1,"")</f>
        <v/>
      </c>
    </row>
    <row r="1322" customFormat="false" ht="15" hidden="false" customHeight="false" outlineLevel="0" collapsed="false">
      <c r="J1322" s="4" t="str">
        <f aca="false">IF(AND($A1322&lt;&gt;"",$A1322=Подбор!$C$4),MAX(J$1:J1321)+1,"")</f>
        <v/>
      </c>
    </row>
    <row r="1323" customFormat="false" ht="15" hidden="false" customHeight="false" outlineLevel="0" collapsed="false">
      <c r="J1323" s="4" t="str">
        <f aca="false">IF(AND($A1323&lt;&gt;"",$A1323=Подбор!$C$4),MAX(J$1:J1322)+1,"")</f>
        <v/>
      </c>
    </row>
    <row r="1324" customFormat="false" ht="15" hidden="false" customHeight="false" outlineLevel="0" collapsed="false">
      <c r="J1324" s="4" t="str">
        <f aca="false">IF(AND($A1324&lt;&gt;"",$A1324=Подбор!$C$4),MAX(J$1:J1323)+1,"")</f>
        <v/>
      </c>
    </row>
    <row r="1325" customFormat="false" ht="15" hidden="false" customHeight="false" outlineLevel="0" collapsed="false">
      <c r="J1325" s="4" t="str">
        <f aca="false">IF(AND($A1325&lt;&gt;"",$A1325=Подбор!$C$4),MAX(J$1:J1324)+1,"")</f>
        <v/>
      </c>
    </row>
    <row r="1326" customFormat="false" ht="15" hidden="false" customHeight="false" outlineLevel="0" collapsed="false">
      <c r="J1326" s="4" t="str">
        <f aca="false">IF(AND($A1326&lt;&gt;"",$A1326=Подбор!$C$4),MAX(J$1:J1325)+1,"")</f>
        <v/>
      </c>
    </row>
    <row r="1327" customFormat="false" ht="15" hidden="false" customHeight="false" outlineLevel="0" collapsed="false">
      <c r="J1327" s="4" t="str">
        <f aca="false">IF(AND($A1327&lt;&gt;"",$A1327=Подбор!$C$4),MAX(J$1:J1326)+1,"")</f>
        <v/>
      </c>
    </row>
    <row r="1328" customFormat="false" ht="15" hidden="false" customHeight="false" outlineLevel="0" collapsed="false">
      <c r="J1328" s="4" t="str">
        <f aca="false">IF(AND($A1328&lt;&gt;"",$A1328=Подбор!$C$4),MAX(J$1:J1327)+1,"")</f>
        <v/>
      </c>
    </row>
    <row r="1329" customFormat="false" ht="15" hidden="false" customHeight="false" outlineLevel="0" collapsed="false">
      <c r="J1329" s="4" t="str">
        <f aca="false">IF(AND($A1329&lt;&gt;"",$A1329=Подбор!$C$4),MAX(J$1:J1328)+1,"")</f>
        <v/>
      </c>
    </row>
    <row r="1330" customFormat="false" ht="15" hidden="false" customHeight="false" outlineLevel="0" collapsed="false">
      <c r="J1330" s="4" t="str">
        <f aca="false">IF(AND($A1330&lt;&gt;"",$A1330=Подбор!$C$4),MAX(J$1:J1329)+1,"")</f>
        <v/>
      </c>
    </row>
    <row r="1331" customFormat="false" ht="15" hidden="false" customHeight="false" outlineLevel="0" collapsed="false">
      <c r="J1331" s="4" t="str">
        <f aca="false">IF(AND($A1331&lt;&gt;"",$A1331=Подбор!$C$4),MAX(J$1:J1330)+1,"")</f>
        <v/>
      </c>
    </row>
    <row r="1332" customFormat="false" ht="15" hidden="false" customHeight="false" outlineLevel="0" collapsed="false">
      <c r="J1332" s="4" t="str">
        <f aca="false">IF(AND($A1332&lt;&gt;"",$A1332=Подбор!$C$4),MAX(J$1:J1331)+1,"")</f>
        <v/>
      </c>
    </row>
    <row r="1333" customFormat="false" ht="15" hidden="false" customHeight="false" outlineLevel="0" collapsed="false">
      <c r="J1333" s="4" t="str">
        <f aca="false">IF(AND($A1333&lt;&gt;"",$A1333=Подбор!$C$4),MAX(J$1:J1332)+1,"")</f>
        <v/>
      </c>
    </row>
    <row r="1334" customFormat="false" ht="15" hidden="false" customHeight="false" outlineLevel="0" collapsed="false">
      <c r="J1334" s="4" t="str">
        <f aca="false">IF(AND($A1334&lt;&gt;"",$A1334=Подбор!$C$4),MAX(J$1:J1333)+1,"")</f>
        <v/>
      </c>
    </row>
    <row r="1335" customFormat="false" ht="15" hidden="false" customHeight="false" outlineLevel="0" collapsed="false">
      <c r="J1335" s="4" t="str">
        <f aca="false">IF(AND($A1335&lt;&gt;"",$A1335=Подбор!$C$4),MAX(J$1:J1334)+1,"")</f>
        <v/>
      </c>
    </row>
    <row r="1336" customFormat="false" ht="15" hidden="false" customHeight="false" outlineLevel="0" collapsed="false">
      <c r="J1336" s="4" t="str">
        <f aca="false">IF(AND($A1336&lt;&gt;"",$A1336=Подбор!$C$4),MAX(J$1:J1335)+1,"")</f>
        <v/>
      </c>
    </row>
    <row r="1337" customFormat="false" ht="15" hidden="false" customHeight="false" outlineLevel="0" collapsed="false">
      <c r="J1337" s="4" t="str">
        <f aca="false">IF(AND($A1337&lt;&gt;"",$A1337=Подбор!$C$4),MAX(J$1:J1336)+1,"")</f>
        <v/>
      </c>
    </row>
    <row r="1338" customFormat="false" ht="15" hidden="false" customHeight="false" outlineLevel="0" collapsed="false">
      <c r="J1338" s="4" t="str">
        <f aca="false">IF(AND($A1338&lt;&gt;"",$A1338=Подбор!$C$4),MAX(J$1:J1337)+1,"")</f>
        <v/>
      </c>
    </row>
    <row r="1339" customFormat="false" ht="15" hidden="false" customHeight="false" outlineLevel="0" collapsed="false">
      <c r="J1339" s="4" t="str">
        <f aca="false">IF(AND($A1339&lt;&gt;"",$A1339=Подбор!$C$4),MAX(J$1:J1338)+1,"")</f>
        <v/>
      </c>
    </row>
    <row r="1340" customFormat="false" ht="15" hidden="false" customHeight="false" outlineLevel="0" collapsed="false">
      <c r="J1340" s="4" t="str">
        <f aca="false">IF(AND($A1340&lt;&gt;"",$A1340=Подбор!$C$4),MAX(J$1:J1339)+1,"")</f>
        <v/>
      </c>
    </row>
    <row r="1341" customFormat="false" ht="15" hidden="false" customHeight="false" outlineLevel="0" collapsed="false">
      <c r="J1341" s="4" t="str">
        <f aca="false">IF(AND($A1341&lt;&gt;"",$A1341=Подбор!$C$4),MAX(J$1:J1340)+1,"")</f>
        <v/>
      </c>
    </row>
    <row r="1342" customFormat="false" ht="15" hidden="false" customHeight="false" outlineLevel="0" collapsed="false">
      <c r="J1342" s="4" t="str">
        <f aca="false">IF(AND($A1342&lt;&gt;"",$A1342=Подбор!$C$4),MAX(J$1:J1341)+1,"")</f>
        <v/>
      </c>
    </row>
    <row r="1343" customFormat="false" ht="15" hidden="false" customHeight="false" outlineLevel="0" collapsed="false">
      <c r="J1343" s="4" t="str">
        <f aca="false">IF(AND($A1343&lt;&gt;"",$A1343=Подбор!$C$4),MAX(J$1:J1342)+1,"")</f>
        <v/>
      </c>
    </row>
    <row r="1344" customFormat="false" ht="15" hidden="false" customHeight="false" outlineLevel="0" collapsed="false">
      <c r="J1344" s="4" t="str">
        <f aca="false">IF(AND($A1344&lt;&gt;"",$A1344=Подбор!$C$4),MAX(J$1:J1343)+1,"")</f>
        <v/>
      </c>
    </row>
    <row r="1345" customFormat="false" ht="15" hidden="false" customHeight="false" outlineLevel="0" collapsed="false">
      <c r="J1345" s="4" t="str">
        <f aca="false">IF(AND($A1345&lt;&gt;"",$A1345=Подбор!$C$4),MAX(J$1:J1344)+1,"")</f>
        <v/>
      </c>
    </row>
    <row r="1346" customFormat="false" ht="15" hidden="false" customHeight="false" outlineLevel="0" collapsed="false">
      <c r="J1346" s="4" t="str">
        <f aca="false">IF(AND($A1346&lt;&gt;"",$A1346=Подбор!$C$4),MAX(J$1:J1345)+1,"")</f>
        <v/>
      </c>
    </row>
    <row r="1347" customFormat="false" ht="15" hidden="false" customHeight="false" outlineLevel="0" collapsed="false">
      <c r="J1347" s="4" t="str">
        <f aca="false">IF(AND($A1347&lt;&gt;"",$A1347=Подбор!$C$4),MAX(J$1:J1346)+1,"")</f>
        <v/>
      </c>
    </row>
    <row r="1348" customFormat="false" ht="15" hidden="false" customHeight="false" outlineLevel="0" collapsed="false">
      <c r="J1348" s="4" t="str">
        <f aca="false">IF(AND($A1348&lt;&gt;"",$A1348=Подбор!$C$4),MAX(J$1:J1347)+1,"")</f>
        <v/>
      </c>
    </row>
    <row r="1349" customFormat="false" ht="15" hidden="false" customHeight="false" outlineLevel="0" collapsed="false">
      <c r="J1349" s="4" t="str">
        <f aca="false">IF(AND($A1349&lt;&gt;"",$A1349=Подбор!$C$4),MAX(J$1:J1348)+1,"")</f>
        <v/>
      </c>
    </row>
    <row r="1350" customFormat="false" ht="15" hidden="false" customHeight="false" outlineLevel="0" collapsed="false">
      <c r="J1350" s="4" t="str">
        <f aca="false">IF(AND($A1350&lt;&gt;"",$A1350=Подбор!$C$4),MAX(J$1:J1349)+1,"")</f>
        <v/>
      </c>
    </row>
    <row r="1351" customFormat="false" ht="15" hidden="false" customHeight="false" outlineLevel="0" collapsed="false">
      <c r="J1351" s="4" t="str">
        <f aca="false">IF(AND($A1351&lt;&gt;"",$A1351=Подбор!$C$4),MAX(J$1:J1350)+1,"")</f>
        <v/>
      </c>
    </row>
    <row r="1352" customFormat="false" ht="15" hidden="false" customHeight="false" outlineLevel="0" collapsed="false">
      <c r="J1352" s="4" t="str">
        <f aca="false">IF(AND($A1352&lt;&gt;"",$A1352=Подбор!$C$4),MAX(J$1:J1351)+1,"")</f>
        <v/>
      </c>
    </row>
    <row r="1353" customFormat="false" ht="15" hidden="false" customHeight="false" outlineLevel="0" collapsed="false">
      <c r="J1353" s="4" t="str">
        <f aca="false">IF(AND($A1353&lt;&gt;"",$A1353=Подбор!$C$4),MAX(J$1:J1352)+1,"")</f>
        <v/>
      </c>
    </row>
    <row r="1354" customFormat="false" ht="15" hidden="false" customHeight="false" outlineLevel="0" collapsed="false">
      <c r="J1354" s="4" t="str">
        <f aca="false">IF(AND($A1354&lt;&gt;"",$A1354=Подбор!$C$4),MAX(J$1:J1353)+1,"")</f>
        <v/>
      </c>
    </row>
    <row r="1355" customFormat="false" ht="15" hidden="false" customHeight="false" outlineLevel="0" collapsed="false">
      <c r="J1355" s="4" t="str">
        <f aca="false">IF(AND($A1355&lt;&gt;"",$A1355=Подбор!$C$4),MAX(J$1:J1354)+1,"")</f>
        <v/>
      </c>
    </row>
    <row r="1356" customFormat="false" ht="15" hidden="false" customHeight="false" outlineLevel="0" collapsed="false">
      <c r="J1356" s="4" t="str">
        <f aca="false">IF(AND($A1356&lt;&gt;"",$A1356=Подбор!$C$4),MAX(J$1:J1355)+1,"")</f>
        <v/>
      </c>
    </row>
    <row r="1357" customFormat="false" ht="15" hidden="false" customHeight="false" outlineLevel="0" collapsed="false">
      <c r="J1357" s="4" t="str">
        <f aca="false">IF(AND($A1357&lt;&gt;"",$A1357=Подбор!$C$4),MAX(J$1:J1356)+1,"")</f>
        <v/>
      </c>
    </row>
    <row r="1358" customFormat="false" ht="15" hidden="false" customHeight="false" outlineLevel="0" collapsed="false">
      <c r="J1358" s="4" t="str">
        <f aca="false">IF(AND($A1358&lt;&gt;"",$A1358=Подбор!$C$4),MAX(J$1:J1357)+1,"")</f>
        <v/>
      </c>
    </row>
    <row r="1359" customFormat="false" ht="15" hidden="false" customHeight="false" outlineLevel="0" collapsed="false">
      <c r="J1359" s="4" t="str">
        <f aca="false">IF(AND($A1359&lt;&gt;"",$A1359=Подбор!$C$4),MAX(J$1:J1358)+1,"")</f>
        <v/>
      </c>
    </row>
    <row r="1360" customFormat="false" ht="15" hidden="false" customHeight="false" outlineLevel="0" collapsed="false">
      <c r="J1360" s="4" t="str">
        <f aca="false">IF(AND($A1360&lt;&gt;"",$A1360=Подбор!$C$4),MAX(J$1:J1359)+1,"")</f>
        <v/>
      </c>
    </row>
    <row r="1361" customFormat="false" ht="15" hidden="false" customHeight="false" outlineLevel="0" collapsed="false">
      <c r="J1361" s="4" t="str">
        <f aca="false">IF(AND($A1361&lt;&gt;"",$A1361=Подбор!$C$4),MAX(J$1:J1360)+1,"")</f>
        <v/>
      </c>
    </row>
    <row r="1362" customFormat="false" ht="15" hidden="false" customHeight="false" outlineLevel="0" collapsed="false">
      <c r="J1362" s="4" t="str">
        <f aca="false">IF(AND($A1362&lt;&gt;"",$A1362=Подбор!$C$4),MAX(J$1:J1361)+1,"")</f>
        <v/>
      </c>
    </row>
    <row r="1363" customFormat="false" ht="15" hidden="false" customHeight="false" outlineLevel="0" collapsed="false">
      <c r="J1363" s="4" t="str">
        <f aca="false">IF(AND($A1363&lt;&gt;"",$A1363=Подбор!$C$4),MAX(J$1:J1362)+1,"")</f>
        <v/>
      </c>
    </row>
    <row r="1364" customFormat="false" ht="15" hidden="false" customHeight="false" outlineLevel="0" collapsed="false">
      <c r="J1364" s="4" t="str">
        <f aca="false">IF(AND($A1364&lt;&gt;"",$A1364=Подбор!$C$4),MAX(J$1:J1363)+1,"")</f>
        <v/>
      </c>
    </row>
    <row r="1365" customFormat="false" ht="15" hidden="false" customHeight="false" outlineLevel="0" collapsed="false">
      <c r="J1365" s="4" t="str">
        <f aca="false">IF(AND($A1365&lt;&gt;"",$A1365=Подбор!$C$4),MAX(J$1:J1364)+1,"")</f>
        <v/>
      </c>
    </row>
    <row r="1366" customFormat="false" ht="15" hidden="false" customHeight="false" outlineLevel="0" collapsed="false">
      <c r="J1366" s="4" t="str">
        <f aca="false">IF(AND($A1366&lt;&gt;"",$A1366=Подбор!$C$4),MAX(J$1:J1365)+1,"")</f>
        <v/>
      </c>
    </row>
    <row r="1367" customFormat="false" ht="15" hidden="false" customHeight="false" outlineLevel="0" collapsed="false">
      <c r="J1367" s="4" t="str">
        <f aca="false">IF(AND($A1367&lt;&gt;"",$A1367=Подбор!$C$4),MAX(J$1:J1366)+1,"")</f>
        <v/>
      </c>
    </row>
    <row r="1368" customFormat="false" ht="15" hidden="false" customHeight="false" outlineLevel="0" collapsed="false">
      <c r="J1368" s="4" t="str">
        <f aca="false">IF(AND($A1368&lt;&gt;"",$A1368=Подбор!$C$4),MAX(J$1:J1367)+1,"")</f>
        <v/>
      </c>
    </row>
    <row r="1369" customFormat="false" ht="15" hidden="false" customHeight="false" outlineLevel="0" collapsed="false">
      <c r="J1369" s="4" t="str">
        <f aca="false">IF(AND($A1369&lt;&gt;"",$A1369=Подбор!$C$4),MAX(J$1:J1368)+1,"")</f>
        <v/>
      </c>
    </row>
    <row r="1370" customFormat="false" ht="15" hidden="false" customHeight="false" outlineLevel="0" collapsed="false">
      <c r="J1370" s="4" t="str">
        <f aca="false">IF(AND($A1370&lt;&gt;"",$A1370=Подбор!$C$4),MAX(J$1:J1369)+1,"")</f>
        <v/>
      </c>
    </row>
    <row r="1371" customFormat="false" ht="15" hidden="false" customHeight="false" outlineLevel="0" collapsed="false">
      <c r="J1371" s="4" t="str">
        <f aca="false">IF(AND($A1371&lt;&gt;"",$A1371=Подбор!$C$4),MAX(J$1:J1370)+1,"")</f>
        <v/>
      </c>
    </row>
    <row r="1372" customFormat="false" ht="15" hidden="false" customHeight="false" outlineLevel="0" collapsed="false">
      <c r="J1372" s="4" t="str">
        <f aca="false">IF(AND($A1372&lt;&gt;"",$A1372=Подбор!$C$4),MAX(J$1:J1371)+1,"")</f>
        <v/>
      </c>
    </row>
    <row r="1373" customFormat="false" ht="15" hidden="false" customHeight="false" outlineLevel="0" collapsed="false">
      <c r="J1373" s="4" t="str">
        <f aca="false">IF(AND($A1373&lt;&gt;"",$A1373=Подбор!$C$4),MAX(J$1:J1372)+1,"")</f>
        <v/>
      </c>
    </row>
    <row r="1374" customFormat="false" ht="15" hidden="false" customHeight="false" outlineLevel="0" collapsed="false">
      <c r="J1374" s="4" t="str">
        <f aca="false">IF(AND($A1374&lt;&gt;"",$A1374=Подбор!$C$4),MAX(J$1:J1373)+1,"")</f>
        <v/>
      </c>
    </row>
    <row r="1375" customFormat="false" ht="15" hidden="false" customHeight="false" outlineLevel="0" collapsed="false">
      <c r="J1375" s="4" t="str">
        <f aca="false">IF(AND($A1375&lt;&gt;"",$A1375=Подбор!$C$4),MAX(J$1:J1374)+1,"")</f>
        <v/>
      </c>
    </row>
    <row r="1376" customFormat="false" ht="15" hidden="false" customHeight="false" outlineLevel="0" collapsed="false">
      <c r="J1376" s="4" t="str">
        <f aca="false">IF(AND($A1376&lt;&gt;"",$A1376=Подбор!$C$4),MAX(J$1:J1375)+1,"")</f>
        <v/>
      </c>
    </row>
    <row r="1377" customFormat="false" ht="15" hidden="false" customHeight="false" outlineLevel="0" collapsed="false">
      <c r="J1377" s="4" t="str">
        <f aca="false">IF(AND($A1377&lt;&gt;"",$A1377=Подбор!$C$4),MAX(J$1:J1376)+1,"")</f>
        <v/>
      </c>
    </row>
    <row r="1378" customFormat="false" ht="15" hidden="false" customHeight="false" outlineLevel="0" collapsed="false">
      <c r="J1378" s="4" t="str">
        <f aca="false">IF(AND($A1378&lt;&gt;"",$A1378=Подбор!$C$4),MAX(J$1:J1377)+1,"")</f>
        <v/>
      </c>
    </row>
    <row r="1379" customFormat="false" ht="15" hidden="false" customHeight="false" outlineLevel="0" collapsed="false">
      <c r="J1379" s="4" t="str">
        <f aca="false">IF(AND($A1379&lt;&gt;"",$A1379=Подбор!$C$4),MAX(J$1:J1378)+1,"")</f>
        <v/>
      </c>
    </row>
    <row r="1380" customFormat="false" ht="15" hidden="false" customHeight="false" outlineLevel="0" collapsed="false">
      <c r="J1380" s="4" t="str">
        <f aca="false">IF(AND($A1380&lt;&gt;"",$A1380=Подбор!$C$4),MAX(J$1:J1379)+1,"")</f>
        <v/>
      </c>
    </row>
    <row r="1381" customFormat="false" ht="15" hidden="false" customHeight="false" outlineLevel="0" collapsed="false">
      <c r="J1381" s="4" t="str">
        <f aca="false">IF(AND($A1381&lt;&gt;"",$A1381=Подбор!$C$4),MAX(J$1:J1380)+1,"")</f>
        <v/>
      </c>
    </row>
    <row r="1382" customFormat="false" ht="15" hidden="false" customHeight="false" outlineLevel="0" collapsed="false">
      <c r="J1382" s="4" t="str">
        <f aca="false">IF(AND($A1382&lt;&gt;"",$A1382=Подбор!$C$4),MAX(J$1:J1381)+1,"")</f>
        <v/>
      </c>
    </row>
    <row r="1383" customFormat="false" ht="15" hidden="false" customHeight="false" outlineLevel="0" collapsed="false">
      <c r="J1383" s="4" t="str">
        <f aca="false">IF(AND($A1383&lt;&gt;"",$A1383=Подбор!$C$4),MAX(J$1:J1382)+1,"")</f>
        <v/>
      </c>
    </row>
    <row r="1384" customFormat="false" ht="15" hidden="false" customHeight="false" outlineLevel="0" collapsed="false">
      <c r="J1384" s="4" t="str">
        <f aca="false">IF(AND($A1384&lt;&gt;"",$A1384=Подбор!$C$4),MAX(J$1:J1383)+1,"")</f>
        <v/>
      </c>
    </row>
    <row r="1385" customFormat="false" ht="15" hidden="false" customHeight="false" outlineLevel="0" collapsed="false">
      <c r="J1385" s="4" t="str">
        <f aca="false">IF(AND($A1385&lt;&gt;"",$A1385=Подбор!$C$4),MAX(J$1:J1384)+1,"")</f>
        <v/>
      </c>
    </row>
    <row r="1386" customFormat="false" ht="15" hidden="false" customHeight="false" outlineLevel="0" collapsed="false">
      <c r="J1386" s="4" t="str">
        <f aca="false">IF(AND($A1386&lt;&gt;"",$A1386=Подбор!$C$4),MAX(J$1:J1385)+1,"")</f>
        <v/>
      </c>
    </row>
    <row r="1387" customFormat="false" ht="15" hidden="false" customHeight="false" outlineLevel="0" collapsed="false">
      <c r="J1387" s="4" t="str">
        <f aca="false">IF(AND($A1387&lt;&gt;"",$A1387=Подбор!$C$4),MAX(J$1:J1386)+1,"")</f>
        <v/>
      </c>
    </row>
    <row r="1388" customFormat="false" ht="15" hidden="false" customHeight="false" outlineLevel="0" collapsed="false">
      <c r="J1388" s="4" t="str">
        <f aca="false">IF(AND($A1388&lt;&gt;"",$A1388=Подбор!$C$4),MAX(J$1:J1387)+1,"")</f>
        <v/>
      </c>
    </row>
    <row r="1389" customFormat="false" ht="15" hidden="false" customHeight="false" outlineLevel="0" collapsed="false">
      <c r="J1389" s="4" t="str">
        <f aca="false">IF(AND($A1389&lt;&gt;"",$A1389=Подбор!$C$4),MAX(J$1:J1388)+1,"")</f>
        <v/>
      </c>
    </row>
    <row r="1390" customFormat="false" ht="15" hidden="false" customHeight="false" outlineLevel="0" collapsed="false">
      <c r="J1390" s="4" t="str">
        <f aca="false">IF(AND($A1390&lt;&gt;"",$A1390=Подбор!$C$4),MAX(J$1:J1389)+1,"")</f>
        <v/>
      </c>
    </row>
    <row r="1391" customFormat="false" ht="15" hidden="false" customHeight="false" outlineLevel="0" collapsed="false">
      <c r="J1391" s="4" t="str">
        <f aca="false">IF(AND($A1391&lt;&gt;"",$A1391=Подбор!$C$4),MAX(J$1:J1390)+1,"")</f>
        <v/>
      </c>
    </row>
    <row r="1392" customFormat="false" ht="15" hidden="false" customHeight="false" outlineLevel="0" collapsed="false">
      <c r="J1392" s="4" t="str">
        <f aca="false">IF(AND($A1392&lt;&gt;"",$A1392=Подбор!$C$4),MAX(J$1:J1391)+1,"")</f>
        <v/>
      </c>
    </row>
    <row r="1393" customFormat="false" ht="15" hidden="false" customHeight="false" outlineLevel="0" collapsed="false">
      <c r="J1393" s="4" t="str">
        <f aca="false">IF(AND($A1393&lt;&gt;"",$A1393=Подбор!$C$4),MAX(J$1:J1392)+1,"")</f>
        <v/>
      </c>
    </row>
    <row r="1394" customFormat="false" ht="15" hidden="false" customHeight="false" outlineLevel="0" collapsed="false">
      <c r="J1394" s="4" t="str">
        <f aca="false">IF(AND($A1394&lt;&gt;"",$A1394=Подбор!$C$4),MAX(J$1:J1393)+1,"")</f>
        <v/>
      </c>
    </row>
    <row r="1395" customFormat="false" ht="15" hidden="false" customHeight="false" outlineLevel="0" collapsed="false">
      <c r="J1395" s="4" t="str">
        <f aca="false">IF(AND($A1395&lt;&gt;"",$A1395=Подбор!$C$4),MAX(J$1:J1394)+1,"")</f>
        <v/>
      </c>
    </row>
    <row r="1396" customFormat="false" ht="15" hidden="false" customHeight="false" outlineLevel="0" collapsed="false">
      <c r="J1396" s="4" t="str">
        <f aca="false">IF(AND($A1396&lt;&gt;"",$A1396=Подбор!$C$4),MAX(J$1:J1395)+1,"")</f>
        <v/>
      </c>
    </row>
    <row r="1397" customFormat="false" ht="15" hidden="false" customHeight="false" outlineLevel="0" collapsed="false">
      <c r="J1397" s="4" t="str">
        <f aca="false">IF(AND($A1397&lt;&gt;"",$A1397=Подбор!$C$4),MAX(J$1:J1396)+1,"")</f>
        <v/>
      </c>
    </row>
    <row r="1398" customFormat="false" ht="15" hidden="false" customHeight="false" outlineLevel="0" collapsed="false">
      <c r="J1398" s="4" t="str">
        <f aca="false">IF(AND($A1398&lt;&gt;"",$A1398=Подбор!$C$4),MAX(J$1:J1397)+1,"")</f>
        <v/>
      </c>
    </row>
    <row r="1399" customFormat="false" ht="15" hidden="false" customHeight="false" outlineLevel="0" collapsed="false">
      <c r="J1399" s="4" t="str">
        <f aca="false">IF(AND($A1399&lt;&gt;"",$A1399=Подбор!$C$4),MAX(J$1:J1398)+1,"")</f>
        <v/>
      </c>
    </row>
    <row r="1400" customFormat="false" ht="15" hidden="false" customHeight="false" outlineLevel="0" collapsed="false">
      <c r="J1400" s="4" t="str">
        <f aca="false">IF(AND($A1400&lt;&gt;"",$A1400=Подбор!$C$4),MAX(J$1:J1399)+1,"")</f>
        <v/>
      </c>
    </row>
    <row r="1401" customFormat="false" ht="15" hidden="false" customHeight="false" outlineLevel="0" collapsed="false">
      <c r="J1401" s="4" t="str">
        <f aca="false">IF(AND($A1401&lt;&gt;"",$A1401=Подбор!$C$4),MAX(J$1:J1400)+1,"")</f>
        <v/>
      </c>
    </row>
    <row r="1402" customFormat="false" ht="15" hidden="false" customHeight="false" outlineLevel="0" collapsed="false">
      <c r="J1402" s="4" t="str">
        <f aca="false">IF(AND($A1402&lt;&gt;"",$A1402=Подбор!$C$4),MAX(J$1:J1401)+1,"")</f>
        <v/>
      </c>
    </row>
    <row r="1403" customFormat="false" ht="15" hidden="false" customHeight="false" outlineLevel="0" collapsed="false">
      <c r="J1403" s="4" t="str">
        <f aca="false">IF(AND($A1403&lt;&gt;"",$A1403=Подбор!$C$4),MAX(J$1:J1402)+1,"")</f>
        <v/>
      </c>
    </row>
    <row r="1404" customFormat="false" ht="15" hidden="false" customHeight="false" outlineLevel="0" collapsed="false">
      <c r="J1404" s="4" t="str">
        <f aca="false">IF(AND($A1404&lt;&gt;"",$A1404=Подбор!$C$4),MAX(J$1:J1403)+1,"")</f>
        <v/>
      </c>
    </row>
    <row r="1405" customFormat="false" ht="15" hidden="false" customHeight="false" outlineLevel="0" collapsed="false">
      <c r="J1405" s="4" t="str">
        <f aca="false">IF(AND($A1405&lt;&gt;"",$A1405=Подбор!$C$4),MAX(J$1:J1404)+1,"")</f>
        <v/>
      </c>
    </row>
    <row r="1406" customFormat="false" ht="15" hidden="false" customHeight="false" outlineLevel="0" collapsed="false">
      <c r="J1406" s="4" t="str">
        <f aca="false">IF(AND($A1406&lt;&gt;"",$A1406=Подбор!$C$4),MAX(J$1:J1405)+1,"")</f>
        <v/>
      </c>
    </row>
    <row r="1407" customFormat="false" ht="15" hidden="false" customHeight="false" outlineLevel="0" collapsed="false">
      <c r="J1407" s="4" t="str">
        <f aca="false">IF(AND($A1407&lt;&gt;"",$A1407=Подбор!$C$4),MAX(J$1:J1406)+1,"")</f>
        <v/>
      </c>
    </row>
    <row r="1408" customFormat="false" ht="15" hidden="false" customHeight="false" outlineLevel="0" collapsed="false">
      <c r="J1408" s="4" t="str">
        <f aca="false">IF(AND($A1408&lt;&gt;"",$A1408=Подбор!$C$4),MAX(J$1:J1407)+1,"")</f>
        <v/>
      </c>
    </row>
    <row r="1409" customFormat="false" ht="15" hidden="false" customHeight="false" outlineLevel="0" collapsed="false">
      <c r="J1409" s="4" t="str">
        <f aca="false">IF(AND($A1409&lt;&gt;"",$A1409=Подбор!$C$4),MAX(J$1:J1408)+1,"")</f>
        <v/>
      </c>
    </row>
    <row r="1410" customFormat="false" ht="15" hidden="false" customHeight="false" outlineLevel="0" collapsed="false">
      <c r="J1410" s="4" t="str">
        <f aca="false">IF(AND($A1410&lt;&gt;"",$A1410=Подбор!$C$4),MAX(J$1:J1409)+1,"")</f>
        <v/>
      </c>
    </row>
    <row r="1411" customFormat="false" ht="15" hidden="false" customHeight="false" outlineLevel="0" collapsed="false">
      <c r="J1411" s="4" t="str">
        <f aca="false">IF(AND($A1411&lt;&gt;"",$A1411=Подбор!$C$4),MAX(J$1:J1410)+1,"")</f>
        <v/>
      </c>
    </row>
    <row r="1412" customFormat="false" ht="15" hidden="false" customHeight="false" outlineLevel="0" collapsed="false">
      <c r="J1412" s="4" t="str">
        <f aca="false">IF(AND($A1412&lt;&gt;"",$A1412=Подбор!$C$4),MAX(J$1:J1411)+1,"")</f>
        <v/>
      </c>
    </row>
    <row r="1413" customFormat="false" ht="15" hidden="false" customHeight="false" outlineLevel="0" collapsed="false">
      <c r="J1413" s="4" t="str">
        <f aca="false">IF(AND($A1413&lt;&gt;"",$A1413=Подбор!$C$4),MAX(J$1:J1412)+1,"")</f>
        <v/>
      </c>
    </row>
    <row r="1414" customFormat="false" ht="15" hidden="false" customHeight="false" outlineLevel="0" collapsed="false">
      <c r="J1414" s="4" t="str">
        <f aca="false">IF(AND($A1414&lt;&gt;"",$A1414=Подбор!$C$4),MAX(J$1:J1413)+1,"")</f>
        <v/>
      </c>
    </row>
    <row r="1415" customFormat="false" ht="15" hidden="false" customHeight="false" outlineLevel="0" collapsed="false">
      <c r="J1415" s="4" t="str">
        <f aca="false">IF(AND($A1415&lt;&gt;"",$A1415=Подбор!$C$4),MAX(J$1:J1414)+1,"")</f>
        <v/>
      </c>
    </row>
    <row r="1416" customFormat="false" ht="15" hidden="false" customHeight="false" outlineLevel="0" collapsed="false">
      <c r="J1416" s="4" t="str">
        <f aca="false">IF(AND($A1416&lt;&gt;"",$A1416=Подбор!$C$4),MAX(J$1:J1415)+1,"")</f>
        <v/>
      </c>
    </row>
    <row r="1417" customFormat="false" ht="15" hidden="false" customHeight="false" outlineLevel="0" collapsed="false">
      <c r="J1417" s="4" t="str">
        <f aca="false">IF(AND($A1417&lt;&gt;"",$A1417=Подбор!$C$4),MAX(J$1:J1416)+1,"")</f>
        <v/>
      </c>
    </row>
    <row r="1418" customFormat="false" ht="15" hidden="false" customHeight="false" outlineLevel="0" collapsed="false">
      <c r="J1418" s="4" t="str">
        <f aca="false">IF(AND($A1418&lt;&gt;"",$A1418=Подбор!$C$4),MAX(J$1:J1417)+1,"")</f>
        <v/>
      </c>
    </row>
    <row r="1419" customFormat="false" ht="15" hidden="false" customHeight="false" outlineLevel="0" collapsed="false">
      <c r="J1419" s="4" t="str">
        <f aca="false">IF(AND($A1419&lt;&gt;"",$A1419=Подбор!$C$4),MAX(J$1:J1418)+1,"")</f>
        <v/>
      </c>
    </row>
    <row r="1420" customFormat="false" ht="15" hidden="false" customHeight="false" outlineLevel="0" collapsed="false">
      <c r="J1420" s="4" t="str">
        <f aca="false">IF(AND($A1420&lt;&gt;"",$A1420=Подбор!$C$4),MAX(J$1:J1419)+1,"")</f>
        <v/>
      </c>
    </row>
    <row r="1421" customFormat="false" ht="15" hidden="false" customHeight="false" outlineLevel="0" collapsed="false">
      <c r="J1421" s="4" t="str">
        <f aca="false">IF(AND($A1421&lt;&gt;"",$A1421=Подбор!$C$4),MAX(J$1:J1420)+1,"")</f>
        <v/>
      </c>
    </row>
    <row r="1422" customFormat="false" ht="15" hidden="false" customHeight="false" outlineLevel="0" collapsed="false">
      <c r="J1422" s="4" t="str">
        <f aca="false">IF(AND($A1422&lt;&gt;"",$A1422=Подбор!$C$4),MAX(J$1:J1421)+1,"")</f>
        <v/>
      </c>
    </row>
    <row r="1423" customFormat="false" ht="15" hidden="false" customHeight="false" outlineLevel="0" collapsed="false">
      <c r="J1423" s="4" t="str">
        <f aca="false">IF(AND($A1423&lt;&gt;"",$A1423=Подбор!$C$4),MAX(J$1:J1422)+1,"")</f>
        <v/>
      </c>
    </row>
    <row r="1424" customFormat="false" ht="15" hidden="false" customHeight="false" outlineLevel="0" collapsed="false">
      <c r="J1424" s="4" t="str">
        <f aca="false">IF(AND($A1424&lt;&gt;"",$A1424=Подбор!$C$4),MAX(J$1:J1423)+1,"")</f>
        <v/>
      </c>
    </row>
    <row r="1425" customFormat="false" ht="15" hidden="false" customHeight="false" outlineLevel="0" collapsed="false">
      <c r="J1425" s="4" t="str">
        <f aca="false">IF(AND($A1425&lt;&gt;"",$A1425=Подбор!$C$4),MAX(J$1:J1424)+1,"")</f>
        <v/>
      </c>
    </row>
    <row r="1426" customFormat="false" ht="15" hidden="false" customHeight="false" outlineLevel="0" collapsed="false">
      <c r="J1426" s="4" t="str">
        <f aca="false">IF(AND($A1426&lt;&gt;"",$A1426=Подбор!$C$4),MAX(J$1:J1425)+1,"")</f>
        <v/>
      </c>
    </row>
    <row r="1427" customFormat="false" ht="15" hidden="false" customHeight="false" outlineLevel="0" collapsed="false">
      <c r="J1427" s="4" t="str">
        <f aca="false">IF(AND($A1427&lt;&gt;"",$A1427=Подбор!$C$4),MAX(J$1:J1426)+1,"")</f>
        <v/>
      </c>
    </row>
    <row r="1428" customFormat="false" ht="15" hidden="false" customHeight="false" outlineLevel="0" collapsed="false">
      <c r="J1428" s="4" t="str">
        <f aca="false">IF(AND($A1428&lt;&gt;"",$A1428=Подбор!$C$4),MAX(J$1:J1427)+1,"")</f>
        <v/>
      </c>
    </row>
    <row r="1429" customFormat="false" ht="15" hidden="false" customHeight="false" outlineLevel="0" collapsed="false">
      <c r="J1429" s="4" t="str">
        <f aca="false">IF(AND($A1429&lt;&gt;"",$A1429=Подбор!$C$4),MAX(J$1:J1428)+1,"")</f>
        <v/>
      </c>
    </row>
    <row r="1430" customFormat="false" ht="15" hidden="false" customHeight="false" outlineLevel="0" collapsed="false">
      <c r="J1430" s="4" t="str">
        <f aca="false">IF(AND($A1430&lt;&gt;"",$A1430=Подбор!$C$4),MAX(J$1:J1429)+1,"")</f>
        <v/>
      </c>
    </row>
    <row r="1431" customFormat="false" ht="15" hidden="false" customHeight="false" outlineLevel="0" collapsed="false">
      <c r="J1431" s="4" t="str">
        <f aca="false">IF(AND($A1431&lt;&gt;"",$A1431=Подбор!$C$4),MAX(J$1:J1430)+1,"")</f>
        <v/>
      </c>
    </row>
    <row r="1432" customFormat="false" ht="15" hidden="false" customHeight="false" outlineLevel="0" collapsed="false">
      <c r="J1432" s="4" t="str">
        <f aca="false">IF(AND($A1432&lt;&gt;"",$A1432=Подбор!$C$4),MAX(J$1:J1431)+1,"")</f>
        <v/>
      </c>
    </row>
    <row r="1433" customFormat="false" ht="15" hidden="false" customHeight="false" outlineLevel="0" collapsed="false">
      <c r="J1433" s="4" t="str">
        <f aca="false">IF(AND($A1433&lt;&gt;"",$A1433=Подбор!$C$4),MAX(J$1:J1432)+1,"")</f>
        <v/>
      </c>
    </row>
    <row r="1434" customFormat="false" ht="15" hidden="false" customHeight="false" outlineLevel="0" collapsed="false">
      <c r="J1434" s="4" t="str">
        <f aca="false">IF(AND($A1434&lt;&gt;"",$A1434=Подбор!$C$4),MAX(J$1:J1433)+1,"")</f>
        <v/>
      </c>
    </row>
    <row r="1435" customFormat="false" ht="15" hidden="false" customHeight="false" outlineLevel="0" collapsed="false">
      <c r="J1435" s="4" t="str">
        <f aca="false">IF(AND($A1435&lt;&gt;"",$A1435=Подбор!$C$4),MAX(J$1:J1434)+1,"")</f>
        <v/>
      </c>
    </row>
    <row r="1436" customFormat="false" ht="15" hidden="false" customHeight="false" outlineLevel="0" collapsed="false">
      <c r="J1436" s="4" t="str">
        <f aca="false">IF(AND($A1436&lt;&gt;"",$A1436=Подбор!$C$4),MAX(J$1:J1435)+1,"")</f>
        <v/>
      </c>
    </row>
    <row r="1437" customFormat="false" ht="15" hidden="false" customHeight="false" outlineLevel="0" collapsed="false">
      <c r="J1437" s="4" t="str">
        <f aca="false">IF(AND($A1437&lt;&gt;"",$A1437=Подбор!$C$4),MAX(J$1:J1436)+1,"")</f>
        <v/>
      </c>
    </row>
    <row r="1438" customFormat="false" ht="15" hidden="false" customHeight="false" outlineLevel="0" collapsed="false">
      <c r="J1438" s="4" t="str">
        <f aca="false">IF(AND($A1438&lt;&gt;"",$A1438=Подбор!$C$4),MAX(J$1:J1437)+1,"")</f>
        <v/>
      </c>
    </row>
    <row r="1439" customFormat="false" ht="15" hidden="false" customHeight="false" outlineLevel="0" collapsed="false">
      <c r="J1439" s="4" t="str">
        <f aca="false">IF(AND($A1439&lt;&gt;"",$A1439=Подбор!$C$4),MAX(J$1:J1438)+1,"")</f>
        <v/>
      </c>
    </row>
    <row r="1440" customFormat="false" ht="15" hidden="false" customHeight="false" outlineLevel="0" collapsed="false">
      <c r="J1440" s="4" t="str">
        <f aca="false">IF(AND($A1440&lt;&gt;"",$A1440=Подбор!$C$4),MAX(J$1:J1439)+1,"")</f>
        <v/>
      </c>
    </row>
    <row r="1441" customFormat="false" ht="15" hidden="false" customHeight="false" outlineLevel="0" collapsed="false">
      <c r="J1441" s="4" t="str">
        <f aca="false">IF(AND($A1441&lt;&gt;"",$A1441=Подбор!$C$4),MAX(J$1:J1440)+1,"")</f>
        <v/>
      </c>
    </row>
    <row r="1442" customFormat="false" ht="15" hidden="false" customHeight="false" outlineLevel="0" collapsed="false">
      <c r="J1442" s="4" t="str">
        <f aca="false">IF(AND($A1442&lt;&gt;"",$A1442=Подбор!$C$4),MAX(J$1:J1441)+1,"")</f>
        <v/>
      </c>
    </row>
    <row r="1443" customFormat="false" ht="15" hidden="false" customHeight="false" outlineLevel="0" collapsed="false">
      <c r="J1443" s="4" t="str">
        <f aca="false">IF(AND($A1443&lt;&gt;"",$A1443=Подбор!$C$4),MAX(J$1:J1442)+1,"")</f>
        <v/>
      </c>
    </row>
    <row r="1444" customFormat="false" ht="15" hidden="false" customHeight="false" outlineLevel="0" collapsed="false">
      <c r="J1444" s="4" t="str">
        <f aca="false">IF(AND($A1444&lt;&gt;"",$A1444=Подбор!$C$4),MAX(J$1:J1443)+1,"")</f>
        <v/>
      </c>
    </row>
    <row r="1445" customFormat="false" ht="15" hidden="false" customHeight="false" outlineLevel="0" collapsed="false">
      <c r="J1445" s="4" t="str">
        <f aca="false">IF(AND($A1445&lt;&gt;"",$A1445=Подбор!$C$4),MAX(J$1:J1444)+1,"")</f>
        <v/>
      </c>
    </row>
    <row r="1446" customFormat="false" ht="15" hidden="false" customHeight="false" outlineLevel="0" collapsed="false">
      <c r="J1446" s="4" t="str">
        <f aca="false">IF(AND($A1446&lt;&gt;"",$A1446=Подбор!$C$4),MAX(J$1:J1445)+1,"")</f>
        <v/>
      </c>
    </row>
    <row r="1447" customFormat="false" ht="15" hidden="false" customHeight="false" outlineLevel="0" collapsed="false">
      <c r="J1447" s="4" t="str">
        <f aca="false">IF(AND($A1447&lt;&gt;"",$A1447=Подбор!$C$4),MAX(J$1:J1446)+1,"")</f>
        <v/>
      </c>
    </row>
    <row r="1448" customFormat="false" ht="15" hidden="false" customHeight="false" outlineLevel="0" collapsed="false">
      <c r="J1448" s="4" t="str">
        <f aca="false">IF(AND($A1448&lt;&gt;"",$A1448=Подбор!$C$4),MAX(J$1:J1447)+1,"")</f>
        <v/>
      </c>
    </row>
    <row r="1449" customFormat="false" ht="15" hidden="false" customHeight="false" outlineLevel="0" collapsed="false">
      <c r="J1449" s="4" t="str">
        <f aca="false">IF(AND($A1449&lt;&gt;"",$A1449=Подбор!$C$4),MAX(J$1:J1448)+1,"")</f>
        <v/>
      </c>
    </row>
    <row r="1450" customFormat="false" ht="15" hidden="false" customHeight="false" outlineLevel="0" collapsed="false">
      <c r="J1450" s="4" t="str">
        <f aca="false">IF(AND($A1450&lt;&gt;"",$A1450=Подбор!$C$4),MAX(J$1:J1449)+1,"")</f>
        <v/>
      </c>
    </row>
    <row r="1451" customFormat="false" ht="15" hidden="false" customHeight="false" outlineLevel="0" collapsed="false">
      <c r="J1451" s="4" t="str">
        <f aca="false">IF(AND($A1451&lt;&gt;"",$A1451=Подбор!$C$4),MAX(J$1:J1450)+1,"")</f>
        <v/>
      </c>
    </row>
    <row r="1452" customFormat="false" ht="15" hidden="false" customHeight="false" outlineLevel="0" collapsed="false">
      <c r="J1452" s="4" t="str">
        <f aca="false">IF(AND($A1452&lt;&gt;"",$A1452=Подбор!$C$4),MAX(J$1:J1451)+1,"")</f>
        <v/>
      </c>
    </row>
    <row r="1453" customFormat="false" ht="15" hidden="false" customHeight="false" outlineLevel="0" collapsed="false">
      <c r="J1453" s="4" t="str">
        <f aca="false">IF(AND($A1453&lt;&gt;"",$A1453=Подбор!$C$4),MAX(J$1:J1452)+1,"")</f>
        <v/>
      </c>
    </row>
    <row r="1454" customFormat="false" ht="15" hidden="false" customHeight="false" outlineLevel="0" collapsed="false">
      <c r="J1454" s="4" t="str">
        <f aca="false">IF(AND($A1454&lt;&gt;"",$A1454=Подбор!$C$4),MAX(J$1:J1453)+1,"")</f>
        <v/>
      </c>
    </row>
    <row r="1455" customFormat="false" ht="15" hidden="false" customHeight="false" outlineLevel="0" collapsed="false">
      <c r="J1455" s="4" t="str">
        <f aca="false">IF(AND($A1455&lt;&gt;"",$A1455=Подбор!$C$4),MAX(J$1:J1454)+1,"")</f>
        <v/>
      </c>
    </row>
    <row r="1456" customFormat="false" ht="15" hidden="false" customHeight="false" outlineLevel="0" collapsed="false">
      <c r="J1456" s="4" t="str">
        <f aca="false">IF(AND($A1456&lt;&gt;"",$A1456=Подбор!$C$4),MAX(J$1:J1455)+1,"")</f>
        <v/>
      </c>
    </row>
    <row r="1457" customFormat="false" ht="15" hidden="false" customHeight="false" outlineLevel="0" collapsed="false">
      <c r="J1457" s="4" t="str">
        <f aca="false">IF(AND($A1457&lt;&gt;"",$A1457=Подбор!$C$4),MAX(J$1:J1456)+1,"")</f>
        <v/>
      </c>
    </row>
    <row r="1458" customFormat="false" ht="15" hidden="false" customHeight="false" outlineLevel="0" collapsed="false">
      <c r="J1458" s="4" t="str">
        <f aca="false">IF(AND($A1458&lt;&gt;"",$A1458=Подбор!$C$4),MAX(J$1:J1457)+1,"")</f>
        <v/>
      </c>
    </row>
    <row r="1459" customFormat="false" ht="15" hidden="false" customHeight="false" outlineLevel="0" collapsed="false">
      <c r="J1459" s="4" t="str">
        <f aca="false">IF(AND($A1459&lt;&gt;"",$A1459=Подбор!$C$4),MAX(J$1:J1458)+1,"")</f>
        <v/>
      </c>
    </row>
    <row r="1460" customFormat="false" ht="15" hidden="false" customHeight="false" outlineLevel="0" collapsed="false">
      <c r="J1460" s="4" t="str">
        <f aca="false">IF(AND($A1460&lt;&gt;"",$A1460=Подбор!$C$4),MAX(J$1:J1459)+1,"")</f>
        <v/>
      </c>
    </row>
    <row r="1461" customFormat="false" ht="15" hidden="false" customHeight="false" outlineLevel="0" collapsed="false">
      <c r="J1461" s="4" t="str">
        <f aca="false">IF(AND($A1461&lt;&gt;"",$A1461=Подбор!$C$4),MAX(J$1:J1460)+1,"")</f>
        <v/>
      </c>
    </row>
    <row r="1462" customFormat="false" ht="15" hidden="false" customHeight="false" outlineLevel="0" collapsed="false">
      <c r="J1462" s="4" t="str">
        <f aca="false">IF(AND($A1462&lt;&gt;"",$A1462=Подбор!$C$4),MAX(J$1:J1461)+1,"")</f>
        <v/>
      </c>
    </row>
    <row r="1463" customFormat="false" ht="15" hidden="false" customHeight="false" outlineLevel="0" collapsed="false">
      <c r="J1463" s="4" t="str">
        <f aca="false">IF(AND($A1463&lt;&gt;"",$A1463=Подбор!$C$4),MAX(J$1:J1462)+1,"")</f>
        <v/>
      </c>
    </row>
    <row r="1464" customFormat="false" ht="15" hidden="false" customHeight="false" outlineLevel="0" collapsed="false">
      <c r="J1464" s="4" t="str">
        <f aca="false">IF(AND($A1464&lt;&gt;"",$A1464=Подбор!$C$4),MAX(J$1:J1463)+1,"")</f>
        <v/>
      </c>
    </row>
    <row r="1465" customFormat="false" ht="15" hidden="false" customHeight="false" outlineLevel="0" collapsed="false">
      <c r="J1465" s="4" t="str">
        <f aca="false">IF(AND($A1465&lt;&gt;"",$A1465=Подбор!$C$4),MAX(J$1:J1464)+1,"")</f>
        <v/>
      </c>
    </row>
    <row r="1466" customFormat="false" ht="15" hidden="false" customHeight="false" outlineLevel="0" collapsed="false">
      <c r="J1466" s="4" t="str">
        <f aca="false">IF(AND($A1466&lt;&gt;"",$A1466=Подбор!$C$4),MAX(J$1:J1465)+1,"")</f>
        <v/>
      </c>
    </row>
    <row r="1467" customFormat="false" ht="15" hidden="false" customHeight="false" outlineLevel="0" collapsed="false">
      <c r="J1467" s="4" t="str">
        <f aca="false">IF(AND($A1467&lt;&gt;"",$A1467=Подбор!$C$4),MAX(J$1:J1466)+1,"")</f>
        <v/>
      </c>
    </row>
    <row r="1468" customFormat="false" ht="15" hidden="false" customHeight="false" outlineLevel="0" collapsed="false">
      <c r="J1468" s="4" t="str">
        <f aca="false">IF(AND($A1468&lt;&gt;"",$A1468=Подбор!$C$4),MAX(J$1:J1467)+1,"")</f>
        <v/>
      </c>
    </row>
    <row r="1469" customFormat="false" ht="15" hidden="false" customHeight="false" outlineLevel="0" collapsed="false">
      <c r="J1469" s="4" t="str">
        <f aca="false">IF(AND($A1469&lt;&gt;"",$A1469=Подбор!$C$4),MAX(J$1:J1468)+1,"")</f>
        <v/>
      </c>
    </row>
    <row r="1470" customFormat="false" ht="15" hidden="false" customHeight="false" outlineLevel="0" collapsed="false">
      <c r="J1470" s="4" t="str">
        <f aca="false">IF(AND($A1470&lt;&gt;"",$A1470=Подбор!$C$4),MAX(J$1:J1469)+1,"")</f>
        <v/>
      </c>
    </row>
    <row r="1471" customFormat="false" ht="15" hidden="false" customHeight="false" outlineLevel="0" collapsed="false">
      <c r="J1471" s="4" t="str">
        <f aca="false">IF(AND($A1471&lt;&gt;"",$A1471=Подбор!$C$4),MAX(J$1:J1470)+1,"")</f>
        <v/>
      </c>
    </row>
    <row r="1472" customFormat="false" ht="15" hidden="false" customHeight="false" outlineLevel="0" collapsed="false">
      <c r="J1472" s="4" t="str">
        <f aca="false">IF(AND($A1472&lt;&gt;"",$A1472=Подбор!$C$4),MAX(J$1:J1471)+1,"")</f>
        <v/>
      </c>
    </row>
    <row r="1473" customFormat="false" ht="15" hidden="false" customHeight="false" outlineLevel="0" collapsed="false">
      <c r="J1473" s="4" t="str">
        <f aca="false">IF(AND($A1473&lt;&gt;"",$A1473=Подбор!$C$4),MAX(J$1:J1472)+1,"")</f>
        <v/>
      </c>
    </row>
    <row r="1474" customFormat="false" ht="15" hidden="false" customHeight="false" outlineLevel="0" collapsed="false">
      <c r="J1474" s="4" t="str">
        <f aca="false">IF(AND($A1474&lt;&gt;"",$A1474=Подбор!$C$4),MAX(J$1:J1473)+1,"")</f>
        <v/>
      </c>
    </row>
    <row r="1475" customFormat="false" ht="15" hidden="false" customHeight="false" outlineLevel="0" collapsed="false">
      <c r="J1475" s="4" t="str">
        <f aca="false">IF(AND($A1475&lt;&gt;"",$A1475=Подбор!$C$4),MAX(J$1:J1474)+1,"")</f>
        <v/>
      </c>
    </row>
    <row r="1476" customFormat="false" ht="15" hidden="false" customHeight="false" outlineLevel="0" collapsed="false">
      <c r="J1476" s="4" t="str">
        <f aca="false">IF(AND($A1476&lt;&gt;"",$A1476=Подбор!$C$4),MAX(J$1:J1475)+1,"")</f>
        <v/>
      </c>
    </row>
    <row r="1477" customFormat="false" ht="15" hidden="false" customHeight="false" outlineLevel="0" collapsed="false">
      <c r="J1477" s="4" t="str">
        <f aca="false">IF(AND($A1477&lt;&gt;"",$A1477=Подбор!$C$4),MAX(J$1:J1476)+1,"")</f>
        <v/>
      </c>
    </row>
    <row r="1478" customFormat="false" ht="15" hidden="false" customHeight="false" outlineLevel="0" collapsed="false">
      <c r="J1478" s="4" t="str">
        <f aca="false">IF(AND($A1478&lt;&gt;"",$A1478=Подбор!$C$4),MAX(J$1:J1477)+1,"")</f>
        <v/>
      </c>
    </row>
    <row r="1479" customFormat="false" ht="15" hidden="false" customHeight="false" outlineLevel="0" collapsed="false">
      <c r="J1479" s="4" t="str">
        <f aca="false">IF(AND($A1479&lt;&gt;"",$A1479=Подбор!$C$4),MAX(J$1:J1478)+1,"")</f>
        <v/>
      </c>
    </row>
    <row r="1480" customFormat="false" ht="15" hidden="false" customHeight="false" outlineLevel="0" collapsed="false">
      <c r="J1480" s="4" t="str">
        <f aca="false">IF(AND($A1480&lt;&gt;"",$A1480=Подбор!$C$4),MAX(J$1:J1479)+1,"")</f>
        <v/>
      </c>
    </row>
    <row r="1481" customFormat="false" ht="15" hidden="false" customHeight="false" outlineLevel="0" collapsed="false">
      <c r="J1481" s="4" t="str">
        <f aca="false">IF(AND($A1481&lt;&gt;"",$A1481=Подбор!$C$4),MAX(J$1:J1480)+1,"")</f>
        <v/>
      </c>
    </row>
    <row r="1482" customFormat="false" ht="15" hidden="false" customHeight="false" outlineLevel="0" collapsed="false">
      <c r="J1482" s="4" t="str">
        <f aca="false">IF(AND($A1482&lt;&gt;"",$A1482=Подбор!$C$4),MAX(J$1:J1481)+1,"")</f>
        <v/>
      </c>
    </row>
    <row r="1483" customFormat="false" ht="15" hidden="false" customHeight="false" outlineLevel="0" collapsed="false">
      <c r="J1483" s="4" t="str">
        <f aca="false">IF(AND($A1483&lt;&gt;"",$A1483=Подбор!$C$4),MAX(J$1:J1482)+1,"")</f>
        <v/>
      </c>
    </row>
    <row r="1484" customFormat="false" ht="15" hidden="false" customHeight="false" outlineLevel="0" collapsed="false">
      <c r="J1484" s="4" t="str">
        <f aca="false">IF(AND($A1484&lt;&gt;"",$A1484=Подбор!$C$4),MAX(J$1:J1483)+1,"")</f>
        <v/>
      </c>
    </row>
    <row r="1485" customFormat="false" ht="15" hidden="false" customHeight="false" outlineLevel="0" collapsed="false">
      <c r="J1485" s="4" t="str">
        <f aca="false">IF(AND($A1485&lt;&gt;"",$A1485=Подбор!$C$4),MAX(J$1:J1484)+1,"")</f>
        <v/>
      </c>
    </row>
    <row r="1486" customFormat="false" ht="15" hidden="false" customHeight="false" outlineLevel="0" collapsed="false">
      <c r="J1486" s="4" t="str">
        <f aca="false">IF(AND($A1486&lt;&gt;"",$A1486=Подбор!$C$4),MAX(J$1:J1485)+1,"")</f>
        <v/>
      </c>
    </row>
    <row r="1487" customFormat="false" ht="15" hidden="false" customHeight="false" outlineLevel="0" collapsed="false">
      <c r="J1487" s="4" t="str">
        <f aca="false">IF(AND($A1487&lt;&gt;"",$A1487=Подбор!$C$4),MAX(J$1:J1486)+1,"")</f>
        <v/>
      </c>
    </row>
    <row r="1488" customFormat="false" ht="15" hidden="false" customHeight="false" outlineLevel="0" collapsed="false">
      <c r="J1488" s="4" t="str">
        <f aca="false">IF(AND($A1488&lt;&gt;"",$A1488=Подбор!$C$4),MAX(J$1:J1487)+1,"")</f>
        <v/>
      </c>
    </row>
    <row r="1489" customFormat="false" ht="15" hidden="false" customHeight="false" outlineLevel="0" collapsed="false">
      <c r="J1489" s="4" t="str">
        <f aca="false">IF(AND($A1489&lt;&gt;"",$A1489=Подбор!$C$4),MAX(J$1:J1488)+1,"")</f>
        <v/>
      </c>
    </row>
    <row r="1490" customFormat="false" ht="15" hidden="false" customHeight="false" outlineLevel="0" collapsed="false">
      <c r="J1490" s="4" t="str">
        <f aca="false">IF(AND($A1490&lt;&gt;"",$A1490=Подбор!$C$4),MAX(J$1:J1489)+1,"")</f>
        <v/>
      </c>
    </row>
    <row r="1491" customFormat="false" ht="15" hidden="false" customHeight="false" outlineLevel="0" collapsed="false">
      <c r="J1491" s="4" t="str">
        <f aca="false">IF(AND($A1491&lt;&gt;"",$A1491=Подбор!$C$4),MAX(J$1:J1490)+1,"")</f>
        <v/>
      </c>
    </row>
    <row r="1492" customFormat="false" ht="15" hidden="false" customHeight="false" outlineLevel="0" collapsed="false">
      <c r="J1492" s="4" t="str">
        <f aca="false">IF(AND($A1492&lt;&gt;"",$A1492=Подбор!$C$4),MAX(J$1:J1491)+1,"")</f>
        <v/>
      </c>
    </row>
    <row r="1493" customFormat="false" ht="15" hidden="false" customHeight="false" outlineLevel="0" collapsed="false">
      <c r="J1493" s="4" t="str">
        <f aca="false">IF(AND($A1493&lt;&gt;"",$A1493=Подбор!$C$4),MAX(J$1:J1492)+1,"")</f>
        <v/>
      </c>
    </row>
    <row r="1494" customFormat="false" ht="15" hidden="false" customHeight="false" outlineLevel="0" collapsed="false">
      <c r="J1494" s="4" t="str">
        <f aca="false">IF(AND($A1494&lt;&gt;"",$A1494=Подбор!$C$4),MAX(J$1:J1493)+1,"")</f>
        <v/>
      </c>
    </row>
    <row r="1495" customFormat="false" ht="15" hidden="false" customHeight="false" outlineLevel="0" collapsed="false">
      <c r="J1495" s="4" t="str">
        <f aca="false">IF(AND($A1495&lt;&gt;"",$A1495=Подбор!$C$4),MAX(J$1:J1494)+1,"")</f>
        <v/>
      </c>
    </row>
    <row r="1496" customFormat="false" ht="15" hidden="false" customHeight="false" outlineLevel="0" collapsed="false">
      <c r="J1496" s="4" t="str">
        <f aca="false">IF(AND($A1496&lt;&gt;"",$A1496=Подбор!$C$4),MAX(J$1:J1495)+1,"")</f>
        <v/>
      </c>
    </row>
    <row r="1497" customFormat="false" ht="15" hidden="false" customHeight="false" outlineLevel="0" collapsed="false">
      <c r="J1497" s="4" t="str">
        <f aca="false">IF(AND($A1497&lt;&gt;"",$A1497=Подбор!$C$4),MAX(J$1:J1496)+1,"")</f>
        <v/>
      </c>
    </row>
    <row r="1498" customFormat="false" ht="15" hidden="false" customHeight="false" outlineLevel="0" collapsed="false">
      <c r="J1498" s="4" t="str">
        <f aca="false">IF(AND($A1498&lt;&gt;"",$A1498=Подбор!$C$4),MAX(J$1:J1497)+1,"")</f>
        <v/>
      </c>
    </row>
    <row r="1499" customFormat="false" ht="15" hidden="false" customHeight="false" outlineLevel="0" collapsed="false">
      <c r="J1499" s="4" t="str">
        <f aca="false">IF(AND($A1499&lt;&gt;"",$A1499=Подбор!$C$4),MAX(J$1:J1498)+1,"")</f>
        <v/>
      </c>
    </row>
    <row r="1500" customFormat="false" ht="15" hidden="false" customHeight="false" outlineLevel="0" collapsed="false">
      <c r="J1500" s="4" t="str">
        <f aca="false">IF(AND($A1500&lt;&gt;"",$A1500=Подбор!$C$4),MAX(J$1:J1499)+1,"")</f>
        <v/>
      </c>
    </row>
    <row r="1501" customFormat="false" ht="15" hidden="false" customHeight="false" outlineLevel="0" collapsed="false">
      <c r="J1501" s="4" t="str">
        <f aca="false">IF(AND($A1501&lt;&gt;"",$A1501=Подбор!$C$4),MAX(J$1:J1500)+1,"")</f>
        <v/>
      </c>
    </row>
    <row r="1502" customFormat="false" ht="15" hidden="false" customHeight="false" outlineLevel="0" collapsed="false">
      <c r="J1502" s="4" t="str">
        <f aca="false">IF(AND($A1502&lt;&gt;"",$A1502=Подбор!$C$4),MAX(J$1:J1501)+1,"")</f>
        <v/>
      </c>
    </row>
    <row r="1503" customFormat="false" ht="15" hidden="false" customHeight="false" outlineLevel="0" collapsed="false">
      <c r="J1503" s="4" t="str">
        <f aca="false">IF(AND($A1503&lt;&gt;"",$A1503=Подбор!$C$4),MAX(J$1:J1502)+1,"")</f>
        <v/>
      </c>
    </row>
    <row r="1504" customFormat="false" ht="15" hidden="false" customHeight="false" outlineLevel="0" collapsed="false">
      <c r="J1504" s="4" t="str">
        <f aca="false">IF(AND($A1504&lt;&gt;"",$A1504=Подбор!$C$4),MAX(J$1:J1503)+1,"")</f>
        <v/>
      </c>
    </row>
    <row r="1505" customFormat="false" ht="15" hidden="false" customHeight="false" outlineLevel="0" collapsed="false">
      <c r="J1505" s="4" t="str">
        <f aca="false">IF(AND($A1505&lt;&gt;"",$A1505=Подбор!$C$4),MAX(J$1:J1504)+1,"")</f>
        <v/>
      </c>
    </row>
    <row r="1506" customFormat="false" ht="15" hidden="false" customHeight="false" outlineLevel="0" collapsed="false">
      <c r="J1506" s="4" t="str">
        <f aca="false">IF(AND($A1506&lt;&gt;"",$A1506=Подбор!$C$4),MAX(J$1:J1505)+1,"")</f>
        <v/>
      </c>
    </row>
    <row r="1507" customFormat="false" ht="15" hidden="false" customHeight="false" outlineLevel="0" collapsed="false">
      <c r="J1507" s="4" t="str">
        <f aca="false">IF(AND($A1507&lt;&gt;"",$A1507=Подбор!$C$4),MAX(J$1:J1506)+1,"")</f>
        <v/>
      </c>
    </row>
    <row r="1508" customFormat="false" ht="15" hidden="false" customHeight="false" outlineLevel="0" collapsed="false">
      <c r="J1508" s="4" t="str">
        <f aca="false">IF(AND($A1508&lt;&gt;"",$A1508=Подбор!$C$4),MAX(J$1:J1507)+1,"")</f>
        <v/>
      </c>
    </row>
    <row r="1509" customFormat="false" ht="15" hidden="false" customHeight="false" outlineLevel="0" collapsed="false">
      <c r="J1509" s="4" t="str">
        <f aca="false">IF(AND($A1509&lt;&gt;"",$A1509=Подбор!$C$4),MAX(J$1:J1508)+1,"")</f>
        <v/>
      </c>
    </row>
    <row r="1510" customFormat="false" ht="15" hidden="false" customHeight="false" outlineLevel="0" collapsed="false">
      <c r="J1510" s="4" t="str">
        <f aca="false">IF(AND($A1510&lt;&gt;"",$A1510=Подбор!$C$4),MAX(J$1:J1509)+1,"")</f>
        <v/>
      </c>
    </row>
    <row r="1511" customFormat="false" ht="15" hidden="false" customHeight="false" outlineLevel="0" collapsed="false">
      <c r="J1511" s="4" t="str">
        <f aca="false">IF(AND($A1511&lt;&gt;"",$A1511=Подбор!$C$4),MAX(J$1:J1510)+1,"")</f>
        <v/>
      </c>
    </row>
    <row r="1512" customFormat="false" ht="15" hidden="false" customHeight="false" outlineLevel="0" collapsed="false">
      <c r="J1512" s="4" t="str">
        <f aca="false">IF(AND($A1512&lt;&gt;"",$A1512=Подбор!$C$4),MAX(J$1:J1511)+1,"")</f>
        <v/>
      </c>
    </row>
    <row r="1513" customFormat="false" ht="15" hidden="false" customHeight="false" outlineLevel="0" collapsed="false">
      <c r="J1513" s="4" t="str">
        <f aca="false">IF(AND($A1513&lt;&gt;"",$A1513=Подбор!$C$4),MAX(J$1:J1512)+1,"")</f>
        <v/>
      </c>
    </row>
    <row r="1514" customFormat="false" ht="15" hidden="false" customHeight="false" outlineLevel="0" collapsed="false">
      <c r="J1514" s="4" t="str">
        <f aca="false">IF(AND($A1514&lt;&gt;"",$A1514=Подбор!$C$4),MAX(J$1:J1513)+1,"")</f>
        <v/>
      </c>
    </row>
    <row r="1515" customFormat="false" ht="15" hidden="false" customHeight="false" outlineLevel="0" collapsed="false">
      <c r="J1515" s="4" t="str">
        <f aca="false">IF(AND($A1515&lt;&gt;"",$A1515=Подбор!$C$4),MAX(J$1:J1514)+1,"")</f>
        <v/>
      </c>
    </row>
    <row r="1516" customFormat="false" ht="15" hidden="false" customHeight="false" outlineLevel="0" collapsed="false">
      <c r="J1516" s="4" t="str">
        <f aca="false">IF(AND($A1516&lt;&gt;"",$A1516=Подбор!$C$4),MAX(J$1:J1515)+1,"")</f>
        <v/>
      </c>
    </row>
    <row r="1517" customFormat="false" ht="15" hidden="false" customHeight="false" outlineLevel="0" collapsed="false">
      <c r="J1517" s="4" t="str">
        <f aca="false">IF(AND($A1517&lt;&gt;"",$A1517=Подбор!$C$4),MAX(J$1:J1516)+1,"")</f>
        <v/>
      </c>
    </row>
    <row r="1518" customFormat="false" ht="15" hidden="false" customHeight="false" outlineLevel="0" collapsed="false">
      <c r="J1518" s="4" t="str">
        <f aca="false">IF(AND($A1518&lt;&gt;"",$A1518=Подбор!$C$4),MAX(J$1:J1517)+1,"")</f>
        <v/>
      </c>
    </row>
    <row r="1519" customFormat="false" ht="15" hidden="false" customHeight="false" outlineLevel="0" collapsed="false">
      <c r="J1519" s="4" t="str">
        <f aca="false">IF(AND($A1519&lt;&gt;"",$A1519=Подбор!$C$4),MAX(J$1:J1518)+1,"")</f>
        <v/>
      </c>
    </row>
    <row r="1520" customFormat="false" ht="15" hidden="false" customHeight="false" outlineLevel="0" collapsed="false">
      <c r="J1520" s="4" t="str">
        <f aca="false">IF(AND($A1520&lt;&gt;"",$A1520=Подбор!$C$4),MAX(J$1:J1519)+1,"")</f>
        <v/>
      </c>
    </row>
    <row r="1521" customFormat="false" ht="15" hidden="false" customHeight="false" outlineLevel="0" collapsed="false">
      <c r="J1521" s="4" t="str">
        <f aca="false">IF(AND($A1521&lt;&gt;"",$A1521=Подбор!$C$4),MAX(J$1:J1520)+1,"")</f>
        <v/>
      </c>
    </row>
    <row r="1522" customFormat="false" ht="15" hidden="false" customHeight="false" outlineLevel="0" collapsed="false">
      <c r="J1522" s="4" t="str">
        <f aca="false">IF(AND($A1522&lt;&gt;"",$A1522=Подбор!$C$4),MAX(J$1:J1521)+1,"")</f>
        <v/>
      </c>
    </row>
    <row r="1523" customFormat="false" ht="15" hidden="false" customHeight="false" outlineLevel="0" collapsed="false">
      <c r="J1523" s="4" t="str">
        <f aca="false">IF(AND($A1523&lt;&gt;"",$A1523=Подбор!$C$4),MAX(J$1:J1522)+1,"")</f>
        <v/>
      </c>
    </row>
    <row r="1524" customFormat="false" ht="15" hidden="false" customHeight="false" outlineLevel="0" collapsed="false">
      <c r="J1524" s="4" t="str">
        <f aca="false">IF(AND($A1524&lt;&gt;"",$A1524=Подбор!$C$4),MAX(J$1:J1523)+1,"")</f>
        <v/>
      </c>
    </row>
    <row r="1525" customFormat="false" ht="15" hidden="false" customHeight="false" outlineLevel="0" collapsed="false">
      <c r="J1525" s="4" t="str">
        <f aca="false">IF(AND($A1525&lt;&gt;"",$A1525=Подбор!$C$4),MAX(J$1:J1524)+1,"")</f>
        <v/>
      </c>
    </row>
    <row r="1526" customFormat="false" ht="15" hidden="false" customHeight="false" outlineLevel="0" collapsed="false">
      <c r="J1526" s="4" t="str">
        <f aca="false">IF(AND($A1526&lt;&gt;"",$A1526=Подбор!$C$4),MAX(J$1:J1525)+1,"")</f>
        <v/>
      </c>
    </row>
    <row r="1527" customFormat="false" ht="15" hidden="false" customHeight="false" outlineLevel="0" collapsed="false">
      <c r="J1527" s="4" t="str">
        <f aca="false">IF(AND($A1527&lt;&gt;"",$A1527=Подбор!$C$4),MAX(J$1:J1526)+1,"")</f>
        <v/>
      </c>
    </row>
    <row r="1528" customFormat="false" ht="15" hidden="false" customHeight="false" outlineLevel="0" collapsed="false">
      <c r="J1528" s="4" t="str">
        <f aca="false">IF(AND($A1528&lt;&gt;"",$A1528=Подбор!$C$4),MAX(J$1:J1527)+1,"")</f>
        <v/>
      </c>
    </row>
    <row r="1529" customFormat="false" ht="15" hidden="false" customHeight="false" outlineLevel="0" collapsed="false">
      <c r="J1529" s="4" t="str">
        <f aca="false">IF(AND($A1529&lt;&gt;"",$A1529=Подбор!$C$4),MAX(J$1:J1528)+1,"")</f>
        <v/>
      </c>
    </row>
    <row r="1530" customFormat="false" ht="15" hidden="false" customHeight="false" outlineLevel="0" collapsed="false">
      <c r="J1530" s="4" t="str">
        <f aca="false">IF(AND($A1530&lt;&gt;"",$A1530=Подбор!$C$4),MAX(J$1:J1529)+1,"")</f>
        <v/>
      </c>
    </row>
    <row r="1531" customFormat="false" ht="15" hidden="false" customHeight="false" outlineLevel="0" collapsed="false">
      <c r="J1531" s="4" t="str">
        <f aca="false">IF(AND($A1531&lt;&gt;"",$A1531=Подбор!$C$4),MAX(J$1:J1530)+1,"")</f>
        <v/>
      </c>
    </row>
    <row r="1532" customFormat="false" ht="15" hidden="false" customHeight="false" outlineLevel="0" collapsed="false">
      <c r="J1532" s="4" t="str">
        <f aca="false">IF(AND($A1532&lt;&gt;"",$A1532=Подбор!$C$4),MAX(J$1:J1531)+1,"")</f>
        <v/>
      </c>
    </row>
    <row r="1533" customFormat="false" ht="15" hidden="false" customHeight="false" outlineLevel="0" collapsed="false">
      <c r="J1533" s="4" t="str">
        <f aca="false">IF(AND($A1533&lt;&gt;"",$A1533=Подбор!$C$4),MAX(J$1:J1532)+1,"")</f>
        <v/>
      </c>
    </row>
    <row r="1534" customFormat="false" ht="15" hidden="false" customHeight="false" outlineLevel="0" collapsed="false">
      <c r="J1534" s="4" t="str">
        <f aca="false">IF(AND($A1534&lt;&gt;"",$A1534=Подбор!$C$4),MAX(J$1:J1533)+1,"")</f>
        <v/>
      </c>
    </row>
    <row r="1535" customFormat="false" ht="15" hidden="false" customHeight="false" outlineLevel="0" collapsed="false">
      <c r="J1535" s="4" t="str">
        <f aca="false">IF(AND($A1535&lt;&gt;"",$A1535=Подбор!$C$4),MAX(J$1:J1534)+1,"")</f>
        <v/>
      </c>
    </row>
    <row r="1536" customFormat="false" ht="15" hidden="false" customHeight="false" outlineLevel="0" collapsed="false">
      <c r="J1536" s="4" t="str">
        <f aca="false">IF(AND($A1536&lt;&gt;"",$A1536=Подбор!$C$4),MAX(J$1:J1535)+1,"")</f>
        <v/>
      </c>
    </row>
    <row r="1537" customFormat="false" ht="15" hidden="false" customHeight="false" outlineLevel="0" collapsed="false">
      <c r="J1537" s="4" t="str">
        <f aca="false">IF(AND($A1537&lt;&gt;"",$A1537=Подбор!$C$4),MAX(J$1:J1536)+1,"")</f>
        <v/>
      </c>
    </row>
    <row r="1538" customFormat="false" ht="15" hidden="false" customHeight="false" outlineLevel="0" collapsed="false">
      <c r="J1538" s="4" t="str">
        <f aca="false">IF(AND($A1538&lt;&gt;"",$A1538=Подбор!$C$4),MAX(J$1:J1537)+1,"")</f>
        <v/>
      </c>
    </row>
    <row r="1539" customFormat="false" ht="15" hidden="false" customHeight="false" outlineLevel="0" collapsed="false">
      <c r="J1539" s="4" t="str">
        <f aca="false">IF(AND($A1539&lt;&gt;"",$A1539=Подбор!$C$4),MAX(J$1:J1538)+1,"")</f>
        <v/>
      </c>
    </row>
    <row r="1540" customFormat="false" ht="15" hidden="false" customHeight="false" outlineLevel="0" collapsed="false">
      <c r="J1540" s="4" t="str">
        <f aca="false">IF(AND($A1540&lt;&gt;"",$A1540=Подбор!$C$4),MAX(J$1:J1539)+1,"")</f>
        <v/>
      </c>
    </row>
    <row r="1541" customFormat="false" ht="15" hidden="false" customHeight="false" outlineLevel="0" collapsed="false">
      <c r="J1541" s="4" t="str">
        <f aca="false">IF(AND($A1541&lt;&gt;"",$A1541=Подбор!$C$4),MAX(J$1:J1540)+1,"")</f>
        <v/>
      </c>
    </row>
    <row r="1542" customFormat="false" ht="15" hidden="false" customHeight="false" outlineLevel="0" collapsed="false">
      <c r="J1542" s="4" t="str">
        <f aca="false">IF(AND($A1542&lt;&gt;"",$A1542=Подбор!$C$4),MAX(J$1:J1541)+1,"")</f>
        <v/>
      </c>
    </row>
    <row r="1543" customFormat="false" ht="15" hidden="false" customHeight="false" outlineLevel="0" collapsed="false">
      <c r="J1543" s="4" t="str">
        <f aca="false">IF(AND($A1543&lt;&gt;"",$A1543=Подбор!$C$4),MAX(J$1:J1542)+1,"")</f>
        <v/>
      </c>
    </row>
    <row r="1544" customFormat="false" ht="15" hidden="false" customHeight="false" outlineLevel="0" collapsed="false">
      <c r="J1544" s="4" t="str">
        <f aca="false">IF(AND($A1544&lt;&gt;"",$A1544=Подбор!$C$4),MAX(J$1:J1543)+1,"")</f>
        <v/>
      </c>
    </row>
    <row r="1545" customFormat="false" ht="15" hidden="false" customHeight="false" outlineLevel="0" collapsed="false">
      <c r="J1545" s="4" t="str">
        <f aca="false">IF(AND($A1545&lt;&gt;"",$A1545=Подбор!$C$4),MAX(J$1:J1544)+1,"")</f>
        <v/>
      </c>
    </row>
    <row r="1546" customFormat="false" ht="15" hidden="false" customHeight="false" outlineLevel="0" collapsed="false">
      <c r="J1546" s="4" t="str">
        <f aca="false">IF(AND($A1546&lt;&gt;"",$A1546=Подбор!$C$4),MAX(J$1:J1545)+1,"")</f>
        <v/>
      </c>
    </row>
    <row r="1547" customFormat="false" ht="15" hidden="false" customHeight="false" outlineLevel="0" collapsed="false">
      <c r="J1547" s="4" t="str">
        <f aca="false">IF(AND($A1547&lt;&gt;"",$A1547=Подбор!$C$4),MAX(J$1:J1546)+1,"")</f>
        <v/>
      </c>
    </row>
    <row r="1548" customFormat="false" ht="15" hidden="false" customHeight="false" outlineLevel="0" collapsed="false">
      <c r="J1548" s="4" t="str">
        <f aca="false">IF(AND($A1548&lt;&gt;"",$A1548=Подбор!$C$4),MAX(J$1:J1547)+1,"")</f>
        <v/>
      </c>
    </row>
    <row r="1549" customFormat="false" ht="15" hidden="false" customHeight="false" outlineLevel="0" collapsed="false">
      <c r="J1549" s="4" t="str">
        <f aca="false">IF(AND($A1549&lt;&gt;"",$A1549=Подбор!$C$4),MAX(J$1:J1548)+1,"")</f>
        <v/>
      </c>
    </row>
    <row r="1550" customFormat="false" ht="15" hidden="false" customHeight="false" outlineLevel="0" collapsed="false">
      <c r="J1550" s="4" t="str">
        <f aca="false">IF(AND($A1550&lt;&gt;"",$A1550=Подбор!$C$4),MAX(J$1:J1549)+1,"")</f>
        <v/>
      </c>
    </row>
    <row r="1551" customFormat="false" ht="15" hidden="false" customHeight="false" outlineLevel="0" collapsed="false">
      <c r="J1551" s="4" t="str">
        <f aca="false">IF(AND($A1551&lt;&gt;"",$A1551=Подбор!$C$4),MAX(J$1:J1550)+1,"")</f>
        <v/>
      </c>
    </row>
    <row r="1552" customFormat="false" ht="15" hidden="false" customHeight="false" outlineLevel="0" collapsed="false">
      <c r="J1552" s="4" t="str">
        <f aca="false">IF(AND($A1552&lt;&gt;"",$A1552=Подбор!$C$4),MAX(J$1:J1551)+1,"")</f>
        <v/>
      </c>
    </row>
    <row r="1553" customFormat="false" ht="15" hidden="false" customHeight="false" outlineLevel="0" collapsed="false">
      <c r="J1553" s="4" t="str">
        <f aca="false">IF(AND($A1553&lt;&gt;"",$A1553=Подбор!$C$4),MAX(J$1:J1552)+1,"")</f>
        <v/>
      </c>
    </row>
    <row r="1554" customFormat="false" ht="15" hidden="false" customHeight="false" outlineLevel="0" collapsed="false">
      <c r="J1554" s="4" t="str">
        <f aca="false">IF(AND($A1554&lt;&gt;"",$A1554=Подбор!$C$4),MAX(J$1:J1553)+1,"")</f>
        <v/>
      </c>
    </row>
    <row r="1555" customFormat="false" ht="15" hidden="false" customHeight="false" outlineLevel="0" collapsed="false">
      <c r="J1555" s="4" t="str">
        <f aca="false">IF(AND($A1555&lt;&gt;"",$A1555=Подбор!$C$4),MAX(J$1:J1554)+1,"")</f>
        <v/>
      </c>
    </row>
    <row r="1556" customFormat="false" ht="15" hidden="false" customHeight="false" outlineLevel="0" collapsed="false">
      <c r="J1556" s="4" t="str">
        <f aca="false">IF(AND($A1556&lt;&gt;"",$A1556=Подбор!$C$4),MAX(J$1:J1555)+1,"")</f>
        <v/>
      </c>
    </row>
    <row r="1557" customFormat="false" ht="15" hidden="false" customHeight="false" outlineLevel="0" collapsed="false">
      <c r="J1557" s="4" t="str">
        <f aca="false">IF(AND($A1557&lt;&gt;"",$A1557=Подбор!$C$4),MAX(J$1:J1556)+1,"")</f>
        <v/>
      </c>
    </row>
    <row r="1558" customFormat="false" ht="15" hidden="false" customHeight="false" outlineLevel="0" collapsed="false">
      <c r="J1558" s="4" t="str">
        <f aca="false">IF(AND($A1558&lt;&gt;"",$A1558=Подбор!$C$4),MAX(J$1:J1557)+1,"")</f>
        <v/>
      </c>
    </row>
    <row r="1559" customFormat="false" ht="15" hidden="false" customHeight="false" outlineLevel="0" collapsed="false">
      <c r="J1559" s="4" t="str">
        <f aca="false">IF(AND($A1559&lt;&gt;"",$A1559=Подбор!$C$4),MAX(J$1:J1558)+1,"")</f>
        <v/>
      </c>
    </row>
    <row r="1560" customFormat="false" ht="15" hidden="false" customHeight="false" outlineLevel="0" collapsed="false">
      <c r="J1560" s="4" t="str">
        <f aca="false">IF(AND($A1560&lt;&gt;"",$A1560=Подбор!$C$4),MAX(J$1:J1559)+1,"")</f>
        <v/>
      </c>
    </row>
    <row r="1561" customFormat="false" ht="15" hidden="false" customHeight="false" outlineLevel="0" collapsed="false">
      <c r="J1561" s="4" t="str">
        <f aca="false">IF(AND($A1561&lt;&gt;"",$A1561=Подбор!$C$4),MAX(J$1:J1560)+1,"")</f>
        <v/>
      </c>
    </row>
    <row r="1562" customFormat="false" ht="15" hidden="false" customHeight="false" outlineLevel="0" collapsed="false">
      <c r="J1562" s="4" t="str">
        <f aca="false">IF(AND($A1562&lt;&gt;"",$A1562=Подбор!$C$4),MAX(J$1:J1561)+1,"")</f>
        <v/>
      </c>
    </row>
    <row r="1563" customFormat="false" ht="15" hidden="false" customHeight="false" outlineLevel="0" collapsed="false">
      <c r="J1563" s="4" t="str">
        <f aca="false">IF(AND($A1563&lt;&gt;"",$A1563=Подбор!$C$4),MAX(J$1:J1562)+1,"")</f>
        <v/>
      </c>
    </row>
    <row r="1564" customFormat="false" ht="15" hidden="false" customHeight="false" outlineLevel="0" collapsed="false">
      <c r="J1564" s="4" t="str">
        <f aca="false">IF(AND($A1564&lt;&gt;"",$A1564=Подбор!$C$4),MAX(J$1:J1563)+1,"")</f>
        <v/>
      </c>
    </row>
    <row r="1565" customFormat="false" ht="15" hidden="false" customHeight="false" outlineLevel="0" collapsed="false">
      <c r="J1565" s="4" t="str">
        <f aca="false">IF(AND($A1565&lt;&gt;"",$A1565=Подбор!$C$4),MAX(J$1:J1564)+1,"")</f>
        <v/>
      </c>
    </row>
    <row r="1566" customFormat="false" ht="15" hidden="false" customHeight="false" outlineLevel="0" collapsed="false">
      <c r="J1566" s="4" t="str">
        <f aca="false">IF(AND($A1566&lt;&gt;"",$A1566=Подбор!$C$4),MAX(J$1:J1565)+1,"")</f>
        <v/>
      </c>
    </row>
    <row r="1567" customFormat="false" ht="15" hidden="false" customHeight="false" outlineLevel="0" collapsed="false">
      <c r="J1567" s="4" t="str">
        <f aca="false">IF(AND($A1567&lt;&gt;"",$A1567=Подбор!$C$4),MAX(J$1:J1566)+1,"")</f>
        <v/>
      </c>
    </row>
    <row r="1568" customFormat="false" ht="15" hidden="false" customHeight="false" outlineLevel="0" collapsed="false">
      <c r="J1568" s="4" t="str">
        <f aca="false">IF(AND($A1568&lt;&gt;"",$A1568=Подбор!$C$4),MAX(J$1:J1567)+1,"")</f>
        <v/>
      </c>
    </row>
    <row r="1569" customFormat="false" ht="15" hidden="false" customHeight="false" outlineLevel="0" collapsed="false">
      <c r="J1569" s="4" t="str">
        <f aca="false">IF(AND($A1569&lt;&gt;"",$A1569=Подбор!$C$4),MAX(J$1:J1568)+1,"")</f>
        <v/>
      </c>
    </row>
    <row r="1570" customFormat="false" ht="15" hidden="false" customHeight="false" outlineLevel="0" collapsed="false">
      <c r="J1570" s="4" t="str">
        <f aca="false">IF(AND($A1570&lt;&gt;"",$A1570=Подбор!$C$4),MAX(J$1:J1569)+1,"")</f>
        <v/>
      </c>
    </row>
    <row r="1571" customFormat="false" ht="15" hidden="false" customHeight="false" outlineLevel="0" collapsed="false">
      <c r="J1571" s="4" t="str">
        <f aca="false">IF(AND($A1571&lt;&gt;"",$A1571=Подбор!$C$4),MAX(J$1:J1570)+1,"")</f>
        <v/>
      </c>
    </row>
    <row r="1572" customFormat="false" ht="15" hidden="false" customHeight="false" outlineLevel="0" collapsed="false">
      <c r="J1572" s="4" t="str">
        <f aca="false">IF(AND($A1572&lt;&gt;"",$A1572=Подбор!$C$4),MAX(J$1:J1571)+1,"")</f>
        <v/>
      </c>
    </row>
    <row r="1573" customFormat="false" ht="15" hidden="false" customHeight="false" outlineLevel="0" collapsed="false">
      <c r="J1573" s="4" t="str">
        <f aca="false">IF(AND($A1573&lt;&gt;"",$A1573=Подбор!$C$4),MAX(J$1:J1572)+1,"")</f>
        <v/>
      </c>
    </row>
    <row r="1574" customFormat="false" ht="15" hidden="false" customHeight="false" outlineLevel="0" collapsed="false">
      <c r="J1574" s="4" t="str">
        <f aca="false">IF(AND($A1574&lt;&gt;"",$A1574=Подбор!$C$4),MAX(J$1:J1573)+1,"")</f>
        <v/>
      </c>
    </row>
    <row r="1575" customFormat="false" ht="15" hidden="false" customHeight="false" outlineLevel="0" collapsed="false">
      <c r="J1575" s="4" t="str">
        <f aca="false">IF(AND($A1575&lt;&gt;"",$A1575=Подбор!$C$4),MAX(J$1:J1574)+1,"")</f>
        <v/>
      </c>
    </row>
    <row r="1576" customFormat="false" ht="15" hidden="false" customHeight="false" outlineLevel="0" collapsed="false">
      <c r="J1576" s="4" t="str">
        <f aca="false">IF(AND($A1576&lt;&gt;"",$A1576=Подбор!$C$4),MAX(J$1:J1575)+1,"")</f>
        <v/>
      </c>
    </row>
    <row r="1577" customFormat="false" ht="15" hidden="false" customHeight="false" outlineLevel="0" collapsed="false">
      <c r="J1577" s="4" t="str">
        <f aca="false">IF(AND($A1577&lt;&gt;"",$A1577=Подбор!$C$4),MAX(J$1:J1576)+1,"")</f>
        <v/>
      </c>
    </row>
    <row r="1578" customFormat="false" ht="15" hidden="false" customHeight="false" outlineLevel="0" collapsed="false">
      <c r="J1578" s="4" t="str">
        <f aca="false">IF(AND($A1578&lt;&gt;"",$A1578=Подбор!$C$4),MAX(J$1:J1577)+1,"")</f>
        <v/>
      </c>
    </row>
    <row r="1579" customFormat="false" ht="15" hidden="false" customHeight="false" outlineLevel="0" collapsed="false">
      <c r="J1579" s="4" t="str">
        <f aca="false">IF(AND($A1579&lt;&gt;"",$A1579=Подбор!$C$4),MAX(J$1:J1578)+1,"")</f>
        <v/>
      </c>
    </row>
    <row r="1580" customFormat="false" ht="15" hidden="false" customHeight="false" outlineLevel="0" collapsed="false">
      <c r="J1580" s="4" t="str">
        <f aca="false">IF(AND($A1580&lt;&gt;"",$A1580=Подбор!$C$4),MAX(J$1:J1579)+1,"")</f>
        <v/>
      </c>
    </row>
    <row r="1581" customFormat="false" ht="15" hidden="false" customHeight="false" outlineLevel="0" collapsed="false">
      <c r="J1581" s="4" t="str">
        <f aca="false">IF(AND($A1581&lt;&gt;"",$A1581=Подбор!$C$4),MAX(J$1:J1580)+1,"")</f>
        <v/>
      </c>
    </row>
    <row r="1582" customFormat="false" ht="15" hidden="false" customHeight="false" outlineLevel="0" collapsed="false">
      <c r="J1582" s="4" t="str">
        <f aca="false">IF(AND($A1582&lt;&gt;"",$A1582=Подбор!$C$4),MAX(J$1:J1581)+1,"")</f>
        <v/>
      </c>
    </row>
    <row r="1583" customFormat="false" ht="15" hidden="false" customHeight="false" outlineLevel="0" collapsed="false">
      <c r="J1583" s="4" t="str">
        <f aca="false">IF(AND($A1583&lt;&gt;"",$A1583=Подбор!$C$4),MAX(J$1:J1582)+1,"")</f>
        <v/>
      </c>
    </row>
    <row r="1584" customFormat="false" ht="15" hidden="false" customHeight="false" outlineLevel="0" collapsed="false">
      <c r="J1584" s="4" t="str">
        <f aca="false">IF(AND($A1584&lt;&gt;"",$A1584=Подбор!$C$4),MAX(J$1:J1583)+1,"")</f>
        <v/>
      </c>
    </row>
    <row r="1585" customFormat="false" ht="15" hidden="false" customHeight="false" outlineLevel="0" collapsed="false">
      <c r="J1585" s="4" t="str">
        <f aca="false">IF(AND($A1585&lt;&gt;"",$A1585=Подбор!$C$4),MAX(J$1:J1584)+1,"")</f>
        <v/>
      </c>
    </row>
    <row r="1586" customFormat="false" ht="15" hidden="false" customHeight="false" outlineLevel="0" collapsed="false">
      <c r="J1586" s="4" t="str">
        <f aca="false">IF(AND($A1586&lt;&gt;"",$A1586=Подбор!$C$4),MAX(J$1:J1585)+1,"")</f>
        <v/>
      </c>
    </row>
    <row r="1587" customFormat="false" ht="15" hidden="false" customHeight="false" outlineLevel="0" collapsed="false">
      <c r="J1587" s="4" t="str">
        <f aca="false">IF(AND($A1587&lt;&gt;"",$A1587=Подбор!$C$4),MAX(J$1:J1586)+1,"")</f>
        <v/>
      </c>
    </row>
    <row r="1588" customFormat="false" ht="15" hidden="false" customHeight="false" outlineLevel="0" collapsed="false">
      <c r="J1588" s="4" t="str">
        <f aca="false">IF(AND($A1588&lt;&gt;"",$A1588=Подбор!$C$4),MAX(J$1:J1587)+1,"")</f>
        <v/>
      </c>
    </row>
    <row r="1589" customFormat="false" ht="15" hidden="false" customHeight="false" outlineLevel="0" collapsed="false">
      <c r="J1589" s="4" t="str">
        <f aca="false">IF(AND($A1589&lt;&gt;"",$A1589=Подбор!$C$4),MAX(J$1:J1588)+1,"")</f>
        <v/>
      </c>
    </row>
    <row r="1590" customFormat="false" ht="15" hidden="false" customHeight="false" outlineLevel="0" collapsed="false">
      <c r="J1590" s="4" t="str">
        <f aca="false">IF(AND($A1590&lt;&gt;"",$A1590=Подбор!$C$4),MAX(J$1:J1589)+1,"")</f>
        <v/>
      </c>
    </row>
    <row r="1591" customFormat="false" ht="15" hidden="false" customHeight="false" outlineLevel="0" collapsed="false">
      <c r="J1591" s="4" t="str">
        <f aca="false">IF(AND($A1591&lt;&gt;"",$A1591=Подбор!$C$4),MAX(J$1:J1590)+1,"")</f>
        <v/>
      </c>
    </row>
    <row r="1592" customFormat="false" ht="15" hidden="false" customHeight="false" outlineLevel="0" collapsed="false">
      <c r="J1592" s="4" t="str">
        <f aca="false">IF(AND($A1592&lt;&gt;"",$A1592=Подбор!$C$4),MAX(J$1:J1591)+1,"")</f>
        <v/>
      </c>
    </row>
    <row r="1593" customFormat="false" ht="15" hidden="false" customHeight="false" outlineLevel="0" collapsed="false">
      <c r="J1593" s="4" t="str">
        <f aca="false">IF(AND($A1593&lt;&gt;"",$A1593=Подбор!$C$4),MAX(J$1:J1592)+1,"")</f>
        <v/>
      </c>
    </row>
    <row r="1594" customFormat="false" ht="15" hidden="false" customHeight="false" outlineLevel="0" collapsed="false">
      <c r="J1594" s="4" t="str">
        <f aca="false">IF(AND($A1594&lt;&gt;"",$A1594=Подбор!$C$4),MAX(J$1:J1593)+1,"")</f>
        <v/>
      </c>
    </row>
    <row r="1595" customFormat="false" ht="15" hidden="false" customHeight="false" outlineLevel="0" collapsed="false">
      <c r="J1595" s="4" t="str">
        <f aca="false">IF(AND($A1595&lt;&gt;"",$A1595=Подбор!$C$4),MAX(J$1:J1594)+1,"")</f>
        <v/>
      </c>
    </row>
    <row r="1596" customFormat="false" ht="15" hidden="false" customHeight="false" outlineLevel="0" collapsed="false">
      <c r="J1596" s="4" t="str">
        <f aca="false">IF(AND($A1596&lt;&gt;"",$A1596=Подбор!$C$4),MAX(J$1:J1595)+1,"")</f>
        <v/>
      </c>
    </row>
    <row r="1597" customFormat="false" ht="15" hidden="false" customHeight="false" outlineLevel="0" collapsed="false">
      <c r="J1597" s="4" t="str">
        <f aca="false">IF(AND($A1597&lt;&gt;"",$A1597=Подбор!$C$4),MAX(J$1:J1596)+1,"")</f>
        <v/>
      </c>
    </row>
    <row r="1598" customFormat="false" ht="15" hidden="false" customHeight="false" outlineLevel="0" collapsed="false">
      <c r="J1598" s="4" t="str">
        <f aca="false">IF(AND($A1598&lt;&gt;"",$A1598=Подбор!$C$4),MAX(J$1:J1597)+1,"")</f>
        <v/>
      </c>
    </row>
    <row r="1599" customFormat="false" ht="15" hidden="false" customHeight="false" outlineLevel="0" collapsed="false">
      <c r="J1599" s="4" t="str">
        <f aca="false">IF(AND($A1599&lt;&gt;"",$A1599=Подбор!$C$4),MAX(J$1:J1598)+1,"")</f>
        <v/>
      </c>
    </row>
    <row r="1600" customFormat="false" ht="15" hidden="false" customHeight="false" outlineLevel="0" collapsed="false">
      <c r="J1600" s="4" t="str">
        <f aca="false">IF(AND($A1600&lt;&gt;"",$A1600=Подбор!$C$4),MAX(J$1:J1599)+1,"")</f>
        <v/>
      </c>
    </row>
    <row r="1601" customFormat="false" ht="15" hidden="false" customHeight="false" outlineLevel="0" collapsed="false">
      <c r="J1601" s="4" t="str">
        <f aca="false">IF(AND($A1601&lt;&gt;"",$A1601=Подбор!$C$4),MAX(J$1:J1600)+1,"")</f>
        <v/>
      </c>
    </row>
    <row r="1602" customFormat="false" ht="15" hidden="false" customHeight="false" outlineLevel="0" collapsed="false">
      <c r="J1602" s="4" t="str">
        <f aca="false">IF(AND($A1602&lt;&gt;"",$A1602=Подбор!$C$4),MAX(J$1:J1601)+1,"")</f>
        <v/>
      </c>
    </row>
    <row r="1603" customFormat="false" ht="15" hidden="false" customHeight="false" outlineLevel="0" collapsed="false">
      <c r="J1603" s="4" t="str">
        <f aca="false">IF(AND($A1603&lt;&gt;"",$A1603=Подбор!$C$4),MAX(J$1:J1602)+1,"")</f>
        <v/>
      </c>
    </row>
    <row r="1604" customFormat="false" ht="15" hidden="false" customHeight="false" outlineLevel="0" collapsed="false">
      <c r="J1604" s="4" t="str">
        <f aca="false">IF(AND($A1604&lt;&gt;"",$A1604=Подбор!$C$4),MAX(J$1:J1603)+1,"")</f>
        <v/>
      </c>
    </row>
    <row r="1605" customFormat="false" ht="15" hidden="false" customHeight="false" outlineLevel="0" collapsed="false">
      <c r="J1605" s="4" t="str">
        <f aca="false">IF(AND($A1605&lt;&gt;"",$A1605=Подбор!$C$4),MAX(J$1:J1604)+1,"")</f>
        <v/>
      </c>
    </row>
    <row r="1606" customFormat="false" ht="15" hidden="false" customHeight="false" outlineLevel="0" collapsed="false">
      <c r="J1606" s="4" t="str">
        <f aca="false">IF(AND($A1606&lt;&gt;"",$A1606=Подбор!$C$4),MAX(J$1:J1605)+1,"")</f>
        <v/>
      </c>
    </row>
    <row r="1607" customFormat="false" ht="15" hidden="false" customHeight="false" outlineLevel="0" collapsed="false">
      <c r="J1607" s="4" t="str">
        <f aca="false">IF(AND($A1607&lt;&gt;"",$A1607=Подбор!$C$4),MAX(J$1:J1606)+1,"")</f>
        <v/>
      </c>
    </row>
  </sheetData>
  <autoFilter ref="A1:I1307"/>
  <conditionalFormatting sqref="A2:I1607">
    <cfRule type="expression" priority="2" aboveAverage="0" equalAverage="0" bottom="0" percent="0" rank="0" text="" dxfId="3">
      <formula>AND($A2&lt;&gt;"",$E2="")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8"/>
    <col collapsed="false" customWidth="true" hidden="false" outlineLevel="0" max="9" min="9" style="0" width="2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5" t="s">
        <v>2006</v>
      </c>
    </row>
    <row r="2" customFormat="false" ht="15" hidden="false" customHeight="false" outlineLevel="0" collapsed="false">
      <c r="A2" s="6" t="s">
        <v>2007</v>
      </c>
    </row>
    <row r="3" customFormat="false" ht="15" hidden="false" customHeight="false" outlineLevel="0" collapsed="false">
      <c r="B3" s="7" t="s">
        <v>1</v>
      </c>
      <c r="C3" s="8" t="s">
        <v>10</v>
      </c>
      <c r="D3" s="8"/>
      <c r="E3" s="8"/>
      <c r="F3" s="8"/>
    </row>
    <row r="4" customFormat="false" ht="15" hidden="false" customHeight="false" outlineLevel="0" collapsed="false">
      <c r="B4" s="7" t="s">
        <v>0</v>
      </c>
      <c r="C4" s="8" t="s">
        <v>19</v>
      </c>
      <c r="D4" s="8"/>
      <c r="E4" s="8"/>
      <c r="F4" s="8"/>
    </row>
    <row r="5" customFormat="false" ht="15" hidden="false" customHeight="false" outlineLevel="0" collapsed="false">
      <c r="B5" s="9" t="str">
        <f aca="false">IF($C$4="","← выберите производителя и модель",IF(COUNTIF(Модели!$B:$B,$C$4)=0,"Модель не найдена в списке",IF(INDEX(Модели!$A:$A,MATCH($C$4,Модели!$B:$B,0))&lt;&gt;$C$3,"Модель не относится к выбранному производителю","Найдено: оригинал — "&amp;COUNT($J$9:$J$20)&amp;" поз., совместимые — "&amp;COUNT($J$25:$J$36)&amp;" поз.")))</f>
        <v>Найдено: оригинал — 8 поз., совместимые — 8 поз.</v>
      </c>
    </row>
    <row r="7" customFormat="false" ht="15" hidden="false" customHeight="false" outlineLevel="0" collapsed="false">
      <c r="A7" s="10" t="s">
        <v>2008</v>
      </c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2" t="s">
        <v>2009</v>
      </c>
      <c r="B8" s="12" t="s">
        <v>2</v>
      </c>
      <c r="C8" s="12" t="s">
        <v>3</v>
      </c>
      <c r="D8" s="12" t="s">
        <v>4</v>
      </c>
      <c r="E8" s="12" t="s">
        <v>1401</v>
      </c>
      <c r="F8" s="12" t="s">
        <v>5</v>
      </c>
      <c r="G8" s="12" t="s">
        <v>6</v>
      </c>
      <c r="H8" s="12" t="s">
        <v>7</v>
      </c>
      <c r="J8" s="13" t="s">
        <v>2010</v>
      </c>
    </row>
    <row r="9" customFormat="false" ht="15" hidden="false" customHeight="false" outlineLevel="0" collapsed="false">
      <c r="A9" s="14" t="n">
        <f aca="false">IF($J9="","",ROWS($A$9:A9))</f>
        <v>1</v>
      </c>
      <c r="B9" s="3" t="str">
        <f aca="false">IF($J9="","",IF(INDEX(Оригинал!$C:$C,$J9)="","",INDEX(Оригинал!$C:$C,$J9)))</f>
        <v>Тонер-картридж</v>
      </c>
      <c r="C9" s="15" t="str">
        <f aca="false">IF($J9="","",IF(INDEX(Оригинал!$D:$D,$J9)="","",INDEX(Оригинал!$D:$D,$J9)))</f>
        <v>Black</v>
      </c>
      <c r="D9" s="16" t="str">
        <f aca="false">IF($J9="","",IF(INDEX(Оригинал!$E:$E,$J9)="","⚠ добавить артикул",INDEX(Оригинал!$E:$E,$J9)))</f>
        <v>006R01517</v>
      </c>
      <c r="E9" s="3" t="str">
        <f aca="false">IF($J9="","",IF(INDEX(Оригинал!$B:$B,$J9)="","",INDEX(Оригинал!$B:$B,$J9)))</f>
        <v>Xerox</v>
      </c>
      <c r="F9" s="15" t="n">
        <f aca="false">IF($J9="","",IF(INDEX(Оригинал!$F:$F,$J9)="","",INDEX(Оригинал!$F:$F,$J9)))</f>
        <v>26000</v>
      </c>
      <c r="G9" s="15" t="str">
        <f aca="false">IF($J9="","",IF(INDEX(Оригинал!$G:$G,$J9)="","",INDEX(Оригинал!$G:$G,$J9)))</f>
        <v/>
      </c>
      <c r="H9" s="3" t="str">
        <f aca="false">IF($J9="","",IF(INDEX(Оригинал!$H:$H,$J9)="","",INDEX(Оригинал!$H:$H,$J9)))</f>
        <v/>
      </c>
      <c r="J9" s="17" t="n">
        <f aca="false">IFERROR(MATCH(ROWS($J$9:J9),Оригинал!$I:$I,0),"")</f>
        <v>5</v>
      </c>
    </row>
    <row r="10" customFormat="false" ht="15" hidden="false" customHeight="false" outlineLevel="0" collapsed="false">
      <c r="A10" s="14" t="n">
        <f aca="false">IF($J10="","",ROWS($A$9:A10))</f>
        <v>2</v>
      </c>
      <c r="B10" s="3" t="str">
        <f aca="false">IF($J10="","",IF(INDEX(Оригинал!$C:$C,$J10)="","",INDEX(Оригинал!$C:$C,$J10)))</f>
        <v>Тонер-картридж</v>
      </c>
      <c r="C10" s="15" t="str">
        <f aca="false">IF($J10="","",IF(INDEX(Оригинал!$D:$D,$J10)="","",INDEX(Оригинал!$D:$D,$J10)))</f>
        <v>Cyan</v>
      </c>
      <c r="D10" s="16" t="str">
        <f aca="false">IF($J10="","",IF(INDEX(Оригинал!$E:$E,$J10)="","⚠ добавить артикул",INDEX(Оригинал!$E:$E,$J10)))</f>
        <v>006R01520</v>
      </c>
      <c r="E10" s="3" t="str">
        <f aca="false">IF($J10="","",IF(INDEX(Оригинал!$B:$B,$J10)="","",INDEX(Оригинал!$B:$B,$J10)))</f>
        <v>Xerox</v>
      </c>
      <c r="F10" s="15" t="n">
        <f aca="false">IF($J10="","",IF(INDEX(Оригинал!$F:$F,$J10)="","",INDEX(Оригинал!$F:$F,$J10)))</f>
        <v>15000</v>
      </c>
      <c r="G10" s="15" t="str">
        <f aca="false">IF($J10="","",IF(INDEX(Оригинал!$G:$G,$J10)="","",INDEX(Оригинал!$G:$G,$J10)))</f>
        <v/>
      </c>
      <c r="H10" s="3" t="str">
        <f aca="false">IF($J10="","",IF(INDEX(Оригинал!$H:$H,$J10)="","",INDEX(Оригинал!$H:$H,$J10)))</f>
        <v/>
      </c>
      <c r="J10" s="17" t="n">
        <f aca="false">IFERROR(MATCH(ROWS($J$9:J10),Оригинал!$I:$I,0),"")</f>
        <v>6</v>
      </c>
    </row>
    <row r="11" customFormat="false" ht="15" hidden="false" customHeight="false" outlineLevel="0" collapsed="false">
      <c r="A11" s="14" t="n">
        <f aca="false">IF($J11="","",ROWS($A$9:A11))</f>
        <v>3</v>
      </c>
      <c r="B11" s="3" t="str">
        <f aca="false">IF($J11="","",IF(INDEX(Оригинал!$C:$C,$J11)="","",INDEX(Оригинал!$C:$C,$J11)))</f>
        <v>Тонер-картридж</v>
      </c>
      <c r="C11" s="15" t="str">
        <f aca="false">IF($J11="","",IF(INDEX(Оригинал!$D:$D,$J11)="","",INDEX(Оригинал!$D:$D,$J11)))</f>
        <v>Magenta</v>
      </c>
      <c r="D11" s="16" t="str">
        <f aca="false">IF($J11="","",IF(INDEX(Оригинал!$E:$E,$J11)="","⚠ добавить артикул",INDEX(Оригинал!$E:$E,$J11)))</f>
        <v>006R01519</v>
      </c>
      <c r="E11" s="3" t="str">
        <f aca="false">IF($J11="","",IF(INDEX(Оригинал!$B:$B,$J11)="","",INDEX(Оригинал!$B:$B,$J11)))</f>
        <v>Xerox</v>
      </c>
      <c r="F11" s="15" t="n">
        <f aca="false">IF($J11="","",IF(INDEX(Оригинал!$F:$F,$J11)="","",INDEX(Оригинал!$F:$F,$J11)))</f>
        <v>15000</v>
      </c>
      <c r="G11" s="15" t="str">
        <f aca="false">IF($J11="","",IF(INDEX(Оригинал!$G:$G,$J11)="","",INDEX(Оригинал!$G:$G,$J11)))</f>
        <v/>
      </c>
      <c r="H11" s="3" t="str">
        <f aca="false">IF($J11="","",IF(INDEX(Оригинал!$H:$H,$J11)="","",INDEX(Оригинал!$H:$H,$J11)))</f>
        <v/>
      </c>
      <c r="J11" s="17" t="n">
        <f aca="false">IFERROR(MATCH(ROWS($J$9:J11),Оригинал!$I:$I,0),"")</f>
        <v>7</v>
      </c>
    </row>
    <row r="12" customFormat="false" ht="15" hidden="false" customHeight="false" outlineLevel="0" collapsed="false">
      <c r="A12" s="14" t="n">
        <f aca="false">IF($J12="","",ROWS($A$9:A12))</f>
        <v>4</v>
      </c>
      <c r="B12" s="3" t="str">
        <f aca="false">IF($J12="","",IF(INDEX(Оригинал!$C:$C,$J12)="","",INDEX(Оригинал!$C:$C,$J12)))</f>
        <v>Тонер-картридж</v>
      </c>
      <c r="C12" s="15" t="str">
        <f aca="false">IF($J12="","",IF(INDEX(Оригинал!$D:$D,$J12)="","",INDEX(Оригинал!$D:$D,$J12)))</f>
        <v>Yellow</v>
      </c>
      <c r="D12" s="16" t="str">
        <f aca="false">IF($J12="","",IF(INDEX(Оригинал!$E:$E,$J12)="","⚠ добавить артикул",INDEX(Оригинал!$E:$E,$J12)))</f>
        <v>006R01518</v>
      </c>
      <c r="E12" s="3" t="str">
        <f aca="false">IF($J12="","",IF(INDEX(Оригинал!$B:$B,$J12)="","",INDEX(Оригинал!$B:$B,$J12)))</f>
        <v>Xerox</v>
      </c>
      <c r="F12" s="15" t="n">
        <f aca="false">IF($J12="","",IF(INDEX(Оригинал!$F:$F,$J12)="","",INDEX(Оригинал!$F:$F,$J12)))</f>
        <v>15000</v>
      </c>
      <c r="G12" s="15" t="str">
        <f aca="false">IF($J12="","",IF(INDEX(Оригинал!$G:$G,$J12)="","",INDEX(Оригинал!$G:$G,$J12)))</f>
        <v/>
      </c>
      <c r="H12" s="3" t="str">
        <f aca="false">IF($J12="","",IF(INDEX(Оригинал!$H:$H,$J12)="","",INDEX(Оригинал!$H:$H,$J12)))</f>
        <v/>
      </c>
      <c r="J12" s="17" t="n">
        <f aca="false">IFERROR(MATCH(ROWS($J$9:J12),Оригинал!$I:$I,0),"")</f>
        <v>8</v>
      </c>
    </row>
    <row r="13" customFormat="false" ht="15" hidden="false" customHeight="false" outlineLevel="0" collapsed="false">
      <c r="A13" s="14" t="n">
        <f aca="false">IF($J13="","",ROWS($A$9:A13))</f>
        <v>5</v>
      </c>
      <c r="B13" s="3" t="str">
        <f aca="false">IF($J13="","",IF(INDEX(Оригинал!$C:$C,$J13)="","",INDEX(Оригинал!$C:$C,$J13)))</f>
        <v>Драм-юнит</v>
      </c>
      <c r="C13" s="15" t="str">
        <f aca="false">IF($J13="","",IF(INDEX(Оригинал!$D:$D,$J13)="","",INDEX(Оригинал!$D:$D,$J13)))</f>
        <v>—</v>
      </c>
      <c r="D13" s="16" t="str">
        <f aca="false">IF($J13="","",IF(INDEX(Оригинал!$E:$E,$J13)="","⚠ добавить артикул",INDEX(Оригинал!$E:$E,$J13)))</f>
        <v>013R00662</v>
      </c>
      <c r="E13" s="3" t="str">
        <f aca="false">IF($J13="","",IF(INDEX(Оригинал!$B:$B,$J13)="","",INDEX(Оригинал!$B:$B,$J13)))</f>
        <v>Xerox</v>
      </c>
      <c r="F13" s="15" t="n">
        <f aca="false">IF($J13="","",IF(INDEX(Оригинал!$F:$F,$J13)="","",INDEX(Оригинал!$F:$F,$J13)))</f>
        <v>125000</v>
      </c>
      <c r="G13" s="15" t="str">
        <f aca="false">IF($J13="","",IF(INDEX(Оригинал!$G:$G,$J13)="","",INDEX(Оригинал!$G:$G,$J13)))</f>
        <v/>
      </c>
      <c r="H13" s="3" t="str">
        <f aca="false">IF($J13="","",IF(INDEX(Оригинал!$H:$H,$J13)="","",INDEX(Оригинал!$H:$H,$J13)))</f>
        <v/>
      </c>
      <c r="J13" s="17" t="n">
        <f aca="false">IFERROR(MATCH(ROWS($J$9:J13),Оригинал!$I:$I,0),"")</f>
        <v>9</v>
      </c>
    </row>
    <row r="14" customFormat="false" ht="15" hidden="false" customHeight="false" outlineLevel="0" collapsed="false">
      <c r="A14" s="14" t="n">
        <f aca="false">IF($J14="","",ROWS($A$9:A14))</f>
        <v>6</v>
      </c>
      <c r="B14" s="3" t="str">
        <f aca="false">IF($J14="","",IF(INDEX(Оригинал!$C:$C,$J14)="","",INDEX(Оригинал!$C:$C,$J14)))</f>
        <v>Блок проявки</v>
      </c>
      <c r="C14" s="15" t="str">
        <f aca="false">IF($J14="","",IF(INDEX(Оригинал!$D:$D,$J14)="","",INDEX(Оригинал!$D:$D,$J14)))</f>
        <v>—</v>
      </c>
      <c r="D14" s="16" t="str">
        <f aca="false">IF($J14="","",IF(INDEX(Оригинал!$E:$E,$J14)="","⚠ добавить артикул",INDEX(Оригинал!$E:$E,$J14)))</f>
        <v>848K65672</v>
      </c>
      <c r="E14" s="3" t="str">
        <f aca="false">IF($J14="","",IF(INDEX(Оригинал!$B:$B,$J14)="","",INDEX(Оригинал!$B:$B,$J14)))</f>
        <v>Xerox</v>
      </c>
      <c r="F14" s="15" t="str">
        <f aca="false">IF($J14="","",IF(INDEX(Оригинал!$F:$F,$J14)="","",INDEX(Оригинал!$F:$F,$J14)))</f>
        <v/>
      </c>
      <c r="G14" s="15" t="str">
        <f aca="false">IF($J14="","",IF(INDEX(Оригинал!$G:$G,$J14)="","",INDEX(Оригинал!$G:$G,$J14)))</f>
        <v/>
      </c>
      <c r="H14" s="3" t="str">
        <f aca="false">IF($J14="","",IF(INDEX(Оригинал!$H:$H,$J14)="","",INDEX(Оригинал!$H:$H,$J14)))</f>
        <v/>
      </c>
      <c r="J14" s="17" t="n">
        <f aca="false">IFERROR(MATCH(ROWS($J$9:J14),Оригинал!$I:$I,0),"")</f>
        <v>10</v>
      </c>
    </row>
    <row r="15" customFormat="false" ht="15" hidden="false" customHeight="false" outlineLevel="0" collapsed="false">
      <c r="A15" s="14" t="n">
        <f aca="false">IF($J15="","",ROWS($A$9:A15))</f>
        <v>7</v>
      </c>
      <c r="B15" s="3" t="str">
        <f aca="false">IF($J15="","",IF(INDEX(Оригинал!$C:$C,$J15)="","",INDEX(Оригинал!$C:$C,$J15)))</f>
        <v>Бункер отработки</v>
      </c>
      <c r="C15" s="15" t="str">
        <f aca="false">IF($J15="","",IF(INDEX(Оригинал!$D:$D,$J15)="","",INDEX(Оригинал!$D:$D,$J15)))</f>
        <v>—</v>
      </c>
      <c r="D15" s="16" t="str">
        <f aca="false">IF($J15="","",IF(INDEX(Оригинал!$E:$E,$J15)="","⚠ добавить артикул",INDEX(Оригинал!$E:$E,$J15)))</f>
        <v>008R13061</v>
      </c>
      <c r="E15" s="3" t="str">
        <f aca="false">IF($J15="","",IF(INDEX(Оригинал!$B:$B,$J15)="","",INDEX(Оригинал!$B:$B,$J15)))</f>
        <v>Xerox</v>
      </c>
      <c r="F15" s="15" t="str">
        <f aca="false">IF($J15="","",IF(INDEX(Оригинал!$F:$F,$J15)="","",INDEX(Оригинал!$F:$F,$J15)))</f>
        <v/>
      </c>
      <c r="G15" s="15" t="str">
        <f aca="false">IF($J15="","",IF(INDEX(Оригинал!$G:$G,$J15)="","",INDEX(Оригинал!$G:$G,$J15)))</f>
        <v/>
      </c>
      <c r="H15" s="3" t="str">
        <f aca="false">IF($J15="","",IF(INDEX(Оригинал!$H:$H,$J15)="","",INDEX(Оригинал!$H:$H,$J15)))</f>
        <v/>
      </c>
      <c r="J15" s="17" t="n">
        <f aca="false">IFERROR(MATCH(ROWS($J$9:J15),Оригинал!$I:$I,0),"")</f>
        <v>11</v>
      </c>
    </row>
    <row r="16" customFormat="false" ht="15" hidden="false" customHeight="false" outlineLevel="0" collapsed="false">
      <c r="A16" s="14" t="n">
        <f aca="false">IF($J16="","",ROWS($A$9:A16))</f>
        <v>8</v>
      </c>
      <c r="B16" s="3" t="str">
        <f aca="false">IF($J16="","",IF(INDEX(Оригинал!$C:$C,$J16)="","",INDEX(Оригинал!$C:$C,$J16)))</f>
        <v>Термоузел</v>
      </c>
      <c r="C16" s="15" t="str">
        <f aca="false">IF($J16="","",IF(INDEX(Оригинал!$D:$D,$J16)="","",INDEX(Оригинал!$D:$D,$J16)))</f>
        <v>—</v>
      </c>
      <c r="D16" s="16" t="str">
        <f aca="false">IF($J16="","",IF(INDEX(Оригинал!$E:$E,$J16)="","⚠ добавить артикул",INDEX(Оригинал!$E:$E,$J16)))</f>
        <v>604K62230</v>
      </c>
      <c r="E16" s="3" t="str">
        <f aca="false">IF($J16="","",IF(INDEX(Оригинал!$B:$B,$J16)="","",INDEX(Оригинал!$B:$B,$J16)))</f>
        <v>Xerox</v>
      </c>
      <c r="F16" s="15" t="str">
        <f aca="false">IF($J16="","",IF(INDEX(Оригинал!$F:$F,$J16)="","",INDEX(Оригинал!$F:$F,$J16)))</f>
        <v/>
      </c>
      <c r="G16" s="15" t="str">
        <f aca="false">IF($J16="","",IF(INDEX(Оригинал!$G:$G,$J16)="","",INDEX(Оригинал!$G:$G,$J16)))</f>
        <v/>
      </c>
      <c r="H16" s="3" t="str">
        <f aca="false">IF($J16="","",IF(INDEX(Оригинал!$H:$H,$J16)="","",INDEX(Оригинал!$H:$H,$J16)))</f>
        <v/>
      </c>
      <c r="J16" s="17" t="n">
        <f aca="false">IFERROR(MATCH(ROWS($J$9:J16),Оригинал!$I:$I,0),"")</f>
        <v>12</v>
      </c>
    </row>
    <row r="17" customFormat="false" ht="15" hidden="false" customHeight="false" outlineLevel="0" collapsed="false">
      <c r="A17" s="14" t="str">
        <f aca="false">IF($J17="","",ROWS($A$9:A17))</f>
        <v/>
      </c>
      <c r="B17" s="3" t="str">
        <f aca="false">IF($J17="","",IF(INDEX(Оригинал!$C:$C,$J17)="","",INDEX(Оригинал!$C:$C,$J17)))</f>
        <v/>
      </c>
      <c r="C17" s="15" t="str">
        <f aca="false">IF($J17="","",IF(INDEX(Оригинал!$D:$D,$J17)="","",INDEX(Оригинал!$D:$D,$J17)))</f>
        <v/>
      </c>
      <c r="D17" s="16" t="str">
        <f aca="false">IF($J17="","",IF(INDEX(Оригинал!$E:$E,$J17)="","⚠ добавить артикул",INDEX(Оригинал!$E:$E,$J17)))</f>
        <v/>
      </c>
      <c r="E17" s="3" t="str">
        <f aca="false">IF($J17="","",IF(INDEX(Оригинал!$B:$B,$J17)="","",INDEX(Оригинал!$B:$B,$J17)))</f>
        <v/>
      </c>
      <c r="F17" s="15" t="str">
        <f aca="false">IF($J17="","",IF(INDEX(Оригинал!$F:$F,$J17)="","",INDEX(Оригинал!$F:$F,$J17)))</f>
        <v/>
      </c>
      <c r="G17" s="15" t="str">
        <f aca="false">IF($J17="","",IF(INDEX(Оригинал!$G:$G,$J17)="","",INDEX(Оригинал!$G:$G,$J17)))</f>
        <v/>
      </c>
      <c r="H17" s="3" t="str">
        <f aca="false">IF($J17="","",IF(INDEX(Оригинал!$H:$H,$J17)="","",INDEX(Оригинал!$H:$H,$J17)))</f>
        <v/>
      </c>
      <c r="J17" s="17" t="str">
        <f aca="false">IFERROR(MATCH(ROWS($J$9:J17),Оригинал!$I:$I,0),"")</f>
        <v/>
      </c>
    </row>
    <row r="18" customFormat="false" ht="15" hidden="false" customHeight="false" outlineLevel="0" collapsed="false">
      <c r="A18" s="14" t="str">
        <f aca="false">IF($J18="","",ROWS($A$9:A18))</f>
        <v/>
      </c>
      <c r="B18" s="3" t="str">
        <f aca="false">IF($J18="","",IF(INDEX(Оригинал!$C:$C,$J18)="","",INDEX(Оригинал!$C:$C,$J18)))</f>
        <v/>
      </c>
      <c r="C18" s="15" t="str">
        <f aca="false">IF($J18="","",IF(INDEX(Оригинал!$D:$D,$J18)="","",INDEX(Оригинал!$D:$D,$J18)))</f>
        <v/>
      </c>
      <c r="D18" s="16" t="str">
        <f aca="false">IF($J18="","",IF(INDEX(Оригинал!$E:$E,$J18)="","⚠ добавить артикул",INDEX(Оригинал!$E:$E,$J18)))</f>
        <v/>
      </c>
      <c r="E18" s="3" t="str">
        <f aca="false">IF($J18="","",IF(INDEX(Оригинал!$B:$B,$J18)="","",INDEX(Оригинал!$B:$B,$J18)))</f>
        <v/>
      </c>
      <c r="F18" s="15" t="str">
        <f aca="false">IF($J18="","",IF(INDEX(Оригинал!$F:$F,$J18)="","",INDEX(Оригинал!$F:$F,$J18)))</f>
        <v/>
      </c>
      <c r="G18" s="15" t="str">
        <f aca="false">IF($J18="","",IF(INDEX(Оригинал!$G:$G,$J18)="","",INDEX(Оригинал!$G:$G,$J18)))</f>
        <v/>
      </c>
      <c r="H18" s="3" t="str">
        <f aca="false">IF($J18="","",IF(INDEX(Оригинал!$H:$H,$J18)="","",INDEX(Оригинал!$H:$H,$J18)))</f>
        <v/>
      </c>
      <c r="J18" s="17" t="str">
        <f aca="false">IFERROR(MATCH(ROWS($J$9:J18),Оригинал!$I:$I,0),"")</f>
        <v/>
      </c>
    </row>
    <row r="19" customFormat="false" ht="15" hidden="false" customHeight="false" outlineLevel="0" collapsed="false">
      <c r="A19" s="14" t="str">
        <f aca="false">IF($J19="","",ROWS($A$9:A19))</f>
        <v/>
      </c>
      <c r="B19" s="3" t="str">
        <f aca="false">IF($J19="","",IF(INDEX(Оригинал!$C:$C,$J19)="","",INDEX(Оригинал!$C:$C,$J19)))</f>
        <v/>
      </c>
      <c r="C19" s="15" t="str">
        <f aca="false">IF($J19="","",IF(INDEX(Оригинал!$D:$D,$J19)="","",INDEX(Оригинал!$D:$D,$J19)))</f>
        <v/>
      </c>
      <c r="D19" s="16" t="str">
        <f aca="false">IF($J19="","",IF(INDEX(Оригинал!$E:$E,$J19)="","⚠ добавить артикул",INDEX(Оригинал!$E:$E,$J19)))</f>
        <v/>
      </c>
      <c r="E19" s="3" t="str">
        <f aca="false">IF($J19="","",IF(INDEX(Оригинал!$B:$B,$J19)="","",INDEX(Оригинал!$B:$B,$J19)))</f>
        <v/>
      </c>
      <c r="F19" s="15" t="str">
        <f aca="false">IF($J19="","",IF(INDEX(Оригинал!$F:$F,$J19)="","",INDEX(Оригинал!$F:$F,$J19)))</f>
        <v/>
      </c>
      <c r="G19" s="15" t="str">
        <f aca="false">IF($J19="","",IF(INDEX(Оригинал!$G:$G,$J19)="","",INDEX(Оригинал!$G:$G,$J19)))</f>
        <v/>
      </c>
      <c r="H19" s="3" t="str">
        <f aca="false">IF($J19="","",IF(INDEX(Оригинал!$H:$H,$J19)="","",INDEX(Оригинал!$H:$H,$J19)))</f>
        <v/>
      </c>
      <c r="J19" s="17" t="str">
        <f aca="false">IFERROR(MATCH(ROWS($J$9:J19),Оригинал!$I:$I,0),"")</f>
        <v/>
      </c>
    </row>
    <row r="20" customFormat="false" ht="15" hidden="false" customHeight="false" outlineLevel="0" collapsed="false">
      <c r="A20" s="14" t="str">
        <f aca="false">IF($J20="","",ROWS($A$9:A20))</f>
        <v/>
      </c>
      <c r="B20" s="3" t="str">
        <f aca="false">IF($J20="","",IF(INDEX(Оригинал!$C:$C,$J20)="","",INDEX(Оригинал!$C:$C,$J20)))</f>
        <v/>
      </c>
      <c r="C20" s="15" t="str">
        <f aca="false">IF($J20="","",IF(INDEX(Оригинал!$D:$D,$J20)="","",INDEX(Оригинал!$D:$D,$J20)))</f>
        <v/>
      </c>
      <c r="D20" s="16" t="str">
        <f aca="false">IF($J20="","",IF(INDEX(Оригинал!$E:$E,$J20)="","⚠ добавить артикул",INDEX(Оригинал!$E:$E,$J20)))</f>
        <v/>
      </c>
      <c r="E20" s="3" t="str">
        <f aca="false">IF($J20="","",IF(INDEX(Оригинал!$B:$B,$J20)="","",INDEX(Оригинал!$B:$B,$J20)))</f>
        <v/>
      </c>
      <c r="F20" s="15" t="str">
        <f aca="false">IF($J20="","",IF(INDEX(Оригинал!$F:$F,$J20)="","",INDEX(Оригинал!$F:$F,$J20)))</f>
        <v/>
      </c>
      <c r="G20" s="15" t="str">
        <f aca="false">IF($J20="","",IF(INDEX(Оригинал!$G:$G,$J20)="","",INDEX(Оригинал!$G:$G,$J20)))</f>
        <v/>
      </c>
      <c r="H20" s="3" t="str">
        <f aca="false">IF($J20="","",IF(INDEX(Оригинал!$H:$H,$J20)="","",INDEX(Оригинал!$H:$H,$J20)))</f>
        <v/>
      </c>
      <c r="J20" s="17" t="str">
        <f aca="false">IFERROR(MATCH(ROWS($J$9:J20),Оригинал!$I:$I,0),"")</f>
        <v/>
      </c>
    </row>
    <row r="23" customFormat="false" ht="15" hidden="false" customHeight="false" outlineLevel="0" collapsed="false">
      <c r="A23" s="18" t="s">
        <v>2011</v>
      </c>
      <c r="B23" s="19"/>
      <c r="C23" s="19"/>
      <c r="D23" s="19"/>
      <c r="E23" s="19"/>
      <c r="F23" s="19"/>
      <c r="G23" s="19"/>
      <c r="H23" s="19"/>
    </row>
    <row r="24" customFormat="false" ht="15" hidden="false" customHeight="false" outlineLevel="0" collapsed="false">
      <c r="A24" s="12" t="s">
        <v>2009</v>
      </c>
      <c r="B24" s="12" t="s">
        <v>2</v>
      </c>
      <c r="C24" s="12" t="s">
        <v>3</v>
      </c>
      <c r="D24" s="12" t="s">
        <v>4</v>
      </c>
      <c r="E24" s="12" t="s">
        <v>1401</v>
      </c>
      <c r="F24" s="12" t="s">
        <v>5</v>
      </c>
      <c r="G24" s="12" t="s">
        <v>6</v>
      </c>
      <c r="H24" s="12" t="s">
        <v>7</v>
      </c>
      <c r="J24" s="13" t="s">
        <v>2010</v>
      </c>
    </row>
    <row r="25" customFormat="false" ht="15" hidden="false" customHeight="false" outlineLevel="0" collapsed="false">
      <c r="A25" s="14" t="n">
        <f aca="false">IF($J25="","",ROWS($A$25:A25))</f>
        <v>1</v>
      </c>
      <c r="B25" s="3" t="str">
        <f aca="false">IF($J25="","",IF(INDEX(Совместимая!$C:$C,$J25)="","",INDEX(Совместимая!$C:$C,$J25)))</f>
        <v>Тонер-картридж</v>
      </c>
      <c r="C25" s="15" t="str">
        <f aca="false">IF($J25="","",IF(INDEX(Совместимая!$D:$D,$J25)="","",INDEX(Совместимая!$D:$D,$J25)))</f>
        <v>Black</v>
      </c>
      <c r="D25" s="16" t="str">
        <f aca="false">IF($J25="","",IF(INDEX(Совместимая!$E:$E,$J25)="","⚠ добавить артикул",INDEX(Совместимая!$E:$E,$J25)))</f>
        <v>CS-WC7525BK</v>
      </c>
      <c r="E25" s="3" t="str">
        <f aca="false">IF($J25="","",IF(INDEX(Совместимая!$F:$F,$J25)="","",INDEX(Совместимая!$F:$F,$J25)))</f>
        <v>Cactus</v>
      </c>
      <c r="F25" s="15" t="str">
        <f aca="false">IF($J25="","",IF(INDEX(Совместимая!$G:$G,$J25)="","",INDEX(Совместимая!$G:$G,$J25)))</f>
        <v/>
      </c>
      <c r="G25" s="15" t="str">
        <f aca="false">IF($J25="","",IF(INDEX(Совместимая!$H:$H,$J25)="","",INDEX(Совместимая!$H:$H,$J25)))</f>
        <v/>
      </c>
      <c r="H25" s="3" t="str">
        <f aca="false">IF($J25="","",IF(INDEX(Совместимая!$I:$I,$J25)="","",INDEX(Совместимая!$I:$I,$J25)))</f>
        <v/>
      </c>
      <c r="J25" s="17" t="n">
        <f aca="false">IFERROR(MATCH(ROWS($J$25:J25),Совместимая!$J:$J,0),"")</f>
        <v>5</v>
      </c>
    </row>
    <row r="26" customFormat="false" ht="15" hidden="false" customHeight="false" outlineLevel="0" collapsed="false">
      <c r="A26" s="14" t="n">
        <f aca="false">IF($J26="","",ROWS($A$25:A26))</f>
        <v>2</v>
      </c>
      <c r="B26" s="3" t="str">
        <f aca="false">IF($J26="","",IF(INDEX(Совместимая!$C:$C,$J26)="","",INDEX(Совместимая!$C:$C,$J26)))</f>
        <v>Тонер-картридж</v>
      </c>
      <c r="C26" s="15" t="str">
        <f aca="false">IF($J26="","",IF(INDEX(Совместимая!$D:$D,$J26)="","",INDEX(Совместимая!$D:$D,$J26)))</f>
        <v>Cyan</v>
      </c>
      <c r="D26" s="16" t="str">
        <f aca="false">IF($J26="","",IF(INDEX(Совместимая!$E:$E,$J26)="","⚠ добавить артикул",INDEX(Совместимая!$E:$E,$J26)))</f>
        <v>CS-WC7525C</v>
      </c>
      <c r="E26" s="3" t="str">
        <f aca="false">IF($J26="","",IF(INDEX(Совместимая!$F:$F,$J26)="","",INDEX(Совместимая!$F:$F,$J26)))</f>
        <v>Cactus</v>
      </c>
      <c r="F26" s="15" t="str">
        <f aca="false">IF($J26="","",IF(INDEX(Совместимая!$G:$G,$J26)="","",INDEX(Совместимая!$G:$G,$J26)))</f>
        <v/>
      </c>
      <c r="G26" s="15" t="str">
        <f aca="false">IF($J26="","",IF(INDEX(Совместимая!$H:$H,$J26)="","",INDEX(Совместимая!$H:$H,$J26)))</f>
        <v/>
      </c>
      <c r="H26" s="3" t="str">
        <f aca="false">IF($J26="","",IF(INDEX(Совместимая!$I:$I,$J26)="","",INDEX(Совместимая!$I:$I,$J26)))</f>
        <v/>
      </c>
      <c r="J26" s="17" t="n">
        <f aca="false">IFERROR(MATCH(ROWS($J$25:J26),Совместимая!$J:$J,0),"")</f>
        <v>6</v>
      </c>
    </row>
    <row r="27" customFormat="false" ht="15" hidden="false" customHeight="false" outlineLevel="0" collapsed="false">
      <c r="A27" s="14" t="n">
        <f aca="false">IF($J27="","",ROWS($A$25:A27))</f>
        <v>3</v>
      </c>
      <c r="B27" s="3" t="str">
        <f aca="false">IF($J27="","",IF(INDEX(Совместимая!$C:$C,$J27)="","",INDEX(Совместимая!$C:$C,$J27)))</f>
        <v>Тонер-картридж</v>
      </c>
      <c r="C27" s="15" t="str">
        <f aca="false">IF($J27="","",IF(INDEX(Совместимая!$D:$D,$J27)="","",INDEX(Совместимая!$D:$D,$J27)))</f>
        <v>Magenta</v>
      </c>
      <c r="D27" s="16" t="str">
        <f aca="false">IF($J27="","",IF(INDEX(Совместимая!$E:$E,$J27)="","⚠ добавить артикул",INDEX(Совместимая!$E:$E,$J27)))</f>
        <v>CS-WC7525M</v>
      </c>
      <c r="E27" s="3" t="str">
        <f aca="false">IF($J27="","",IF(INDEX(Совместимая!$F:$F,$J27)="","",INDEX(Совместимая!$F:$F,$J27)))</f>
        <v>Cactus</v>
      </c>
      <c r="F27" s="15" t="str">
        <f aca="false">IF($J27="","",IF(INDEX(Совместимая!$G:$G,$J27)="","",INDEX(Совместимая!$G:$G,$J27)))</f>
        <v/>
      </c>
      <c r="G27" s="15" t="str">
        <f aca="false">IF($J27="","",IF(INDEX(Совместимая!$H:$H,$J27)="","",INDEX(Совместимая!$H:$H,$J27)))</f>
        <v/>
      </c>
      <c r="H27" s="3" t="str">
        <f aca="false">IF($J27="","",IF(INDEX(Совместимая!$I:$I,$J27)="","",INDEX(Совместимая!$I:$I,$J27)))</f>
        <v/>
      </c>
      <c r="J27" s="17" t="n">
        <f aca="false">IFERROR(MATCH(ROWS($J$25:J27),Совместимая!$J:$J,0),"")</f>
        <v>7</v>
      </c>
    </row>
    <row r="28" customFormat="false" ht="15" hidden="false" customHeight="false" outlineLevel="0" collapsed="false">
      <c r="A28" s="14" t="n">
        <f aca="false">IF($J28="","",ROWS($A$25:A28))</f>
        <v>4</v>
      </c>
      <c r="B28" s="3" t="str">
        <f aca="false">IF($J28="","",IF(INDEX(Совместимая!$C:$C,$J28)="","",INDEX(Совместимая!$C:$C,$J28)))</f>
        <v>Тонер-картридж</v>
      </c>
      <c r="C28" s="15" t="str">
        <f aca="false">IF($J28="","",IF(INDEX(Совместимая!$D:$D,$J28)="","",INDEX(Совместимая!$D:$D,$J28)))</f>
        <v>Yellow</v>
      </c>
      <c r="D28" s="16" t="str">
        <f aca="false">IF($J28="","",IF(INDEX(Совместимая!$E:$E,$J28)="","⚠ добавить артикул",INDEX(Совместимая!$E:$E,$J28)))</f>
        <v>CS-WC7525Y</v>
      </c>
      <c r="E28" s="3" t="str">
        <f aca="false">IF($J28="","",IF(INDEX(Совместимая!$F:$F,$J28)="","",INDEX(Совместимая!$F:$F,$J28)))</f>
        <v>Cactus</v>
      </c>
      <c r="F28" s="15" t="str">
        <f aca="false">IF($J28="","",IF(INDEX(Совместимая!$G:$G,$J28)="","",INDEX(Совместимая!$G:$G,$J28)))</f>
        <v/>
      </c>
      <c r="G28" s="15" t="str">
        <f aca="false">IF($J28="","",IF(INDEX(Совместимая!$H:$H,$J28)="","",INDEX(Совместимая!$H:$H,$J28)))</f>
        <v/>
      </c>
      <c r="H28" s="3" t="str">
        <f aca="false">IF($J28="","",IF(INDEX(Совместимая!$I:$I,$J28)="","",INDEX(Совместимая!$I:$I,$J28)))</f>
        <v/>
      </c>
      <c r="J28" s="17" t="n">
        <f aca="false">IFERROR(MATCH(ROWS($J$25:J28),Совместимая!$J:$J,0),"")</f>
        <v>8</v>
      </c>
    </row>
    <row r="29" customFormat="false" ht="15" hidden="false" customHeight="false" outlineLevel="0" collapsed="false">
      <c r="A29" s="14" t="n">
        <f aca="false">IF($J29="","",ROWS($A$25:A29))</f>
        <v>5</v>
      </c>
      <c r="B29" s="3" t="str">
        <f aca="false">IF($J29="","",IF(INDEX(Совместимая!$C:$C,$J29)="","",INDEX(Совместимая!$C:$C,$J29)))</f>
        <v>Драм-юнит</v>
      </c>
      <c r="C29" s="15" t="str">
        <f aca="false">IF($J29="","",IF(INDEX(Совместимая!$D:$D,$J29)="","",INDEX(Совместимая!$D:$D,$J29)))</f>
        <v>—</v>
      </c>
      <c r="D29" s="16" t="str">
        <f aca="false">IF($J29="","",IF(INDEX(Совместимая!$E:$E,$J29)="","⚠ добавить артикул",INDEX(Совместимая!$E:$E,$J29)))</f>
        <v>CS-DU7525</v>
      </c>
      <c r="E29" s="3" t="str">
        <f aca="false">IF($J29="","",IF(INDEX(Совместимая!$F:$F,$J29)="","",INDEX(Совместимая!$F:$F,$J29)))</f>
        <v>Cactus</v>
      </c>
      <c r="F29" s="15" t="str">
        <f aca="false">IF($J29="","",IF(INDEX(Совместимая!$G:$G,$J29)="","",INDEX(Совместимая!$G:$G,$J29)))</f>
        <v/>
      </c>
      <c r="G29" s="15" t="str">
        <f aca="false">IF($J29="","",IF(INDEX(Совместимая!$H:$H,$J29)="","",INDEX(Совместимая!$H:$H,$J29)))</f>
        <v/>
      </c>
      <c r="H29" s="3" t="str">
        <f aca="false">IF($J29="","",IF(INDEX(Совместимая!$I:$I,$J29)="","",INDEX(Совместимая!$I:$I,$J29)))</f>
        <v/>
      </c>
      <c r="J29" s="17" t="n">
        <f aca="false">IFERROR(MATCH(ROWS($J$25:J29),Совместимая!$J:$J,0),"")</f>
        <v>9</v>
      </c>
    </row>
    <row r="30" customFormat="false" ht="15" hidden="false" customHeight="false" outlineLevel="0" collapsed="false">
      <c r="A30" s="14" t="n">
        <f aca="false">IF($J30="","",ROWS($A$25:A30))</f>
        <v>6</v>
      </c>
      <c r="B30" s="3" t="str">
        <f aca="false">IF($J30="","",IF(INDEX(Совместимая!$C:$C,$J30)="","",INDEX(Совместимая!$C:$C,$J30)))</f>
        <v>Блок проявки</v>
      </c>
      <c r="C30" s="15" t="str">
        <f aca="false">IF($J30="","",IF(INDEX(Совместимая!$D:$D,$J30)="","",INDEX(Совместимая!$D:$D,$J30)))</f>
        <v>—</v>
      </c>
      <c r="D30" s="16" t="str">
        <f aca="false">IF($J30="","",IF(INDEX(Совместимая!$E:$E,$J30)="","⚠ добавить артикул",INDEX(Совместимая!$E:$E,$J30)))</f>
        <v>CS-DU7525RU</v>
      </c>
      <c r="E30" s="3" t="str">
        <f aca="false">IF($J30="","",IF(INDEX(Совместимая!$F:$F,$J30)="","",INDEX(Совместимая!$F:$F,$J30)))</f>
        <v>Cactus</v>
      </c>
      <c r="F30" s="15" t="str">
        <f aca="false">IF($J30="","",IF(INDEX(Совместимая!$G:$G,$J30)="","",INDEX(Совместимая!$G:$G,$J30)))</f>
        <v/>
      </c>
      <c r="G30" s="15" t="str">
        <f aca="false">IF($J30="","",IF(INDEX(Совместимая!$H:$H,$J30)="","",INDEX(Совместимая!$H:$H,$J30)))</f>
        <v/>
      </c>
      <c r="H30" s="3" t="str">
        <f aca="false">IF($J30="","",IF(INDEX(Совместимая!$I:$I,$J30)="","",INDEX(Совместимая!$I:$I,$J30)))</f>
        <v/>
      </c>
      <c r="J30" s="17" t="n">
        <f aca="false">IFERROR(MATCH(ROWS($J$25:J30),Совместимая!$J:$J,0),"")</f>
        <v>10</v>
      </c>
    </row>
    <row r="31" customFormat="false" ht="15" hidden="false" customHeight="false" outlineLevel="0" collapsed="false">
      <c r="A31" s="14" t="n">
        <f aca="false">IF($J31="","",ROWS($A$25:A31))</f>
        <v>7</v>
      </c>
      <c r="B31" s="3" t="str">
        <f aca="false">IF($J31="","",IF(INDEX(Совместимая!$C:$C,$J31)="","",INDEX(Совместимая!$C:$C,$J31)))</f>
        <v>Бункер отработки</v>
      </c>
      <c r="C31" s="15" t="str">
        <f aca="false">IF($J31="","",IF(INDEX(Совместимая!$D:$D,$J31)="","",INDEX(Совместимая!$D:$D,$J31)))</f>
        <v>—</v>
      </c>
      <c r="D31" s="16" t="str">
        <f aca="false">IF($J31="","",IF(INDEX(Совместимая!$E:$E,$J31)="","⚠ добавить артикул",INDEX(Совместимая!$E:$E,$J31)))</f>
        <v>CS-WB7425</v>
      </c>
      <c r="E31" s="3" t="str">
        <f aca="false">IF($J31="","",IF(INDEX(Совместимая!$F:$F,$J31)="","",INDEX(Совместимая!$F:$F,$J31)))</f>
        <v>Cactus</v>
      </c>
      <c r="F31" s="15" t="str">
        <f aca="false">IF($J31="","",IF(INDEX(Совместимая!$G:$G,$J31)="","",INDEX(Совместимая!$G:$G,$J31)))</f>
        <v/>
      </c>
      <c r="G31" s="15" t="str">
        <f aca="false">IF($J31="","",IF(INDEX(Совместимая!$H:$H,$J31)="","",INDEX(Совместимая!$H:$H,$J31)))</f>
        <v/>
      </c>
      <c r="H31" s="3" t="str">
        <f aca="false">IF($J31="","",IF(INDEX(Совместимая!$I:$I,$J31)="","",INDEX(Совместимая!$I:$I,$J31)))</f>
        <v/>
      </c>
      <c r="J31" s="17" t="n">
        <f aca="false">IFERROR(MATCH(ROWS($J$25:J31),Совместимая!$J:$J,0),"")</f>
        <v>11</v>
      </c>
    </row>
    <row r="32" customFormat="false" ht="15" hidden="false" customHeight="false" outlineLevel="0" collapsed="false">
      <c r="A32" s="14" t="n">
        <f aca="false">IF($J32="","",ROWS($A$25:A32))</f>
        <v>8</v>
      </c>
      <c r="B32" s="3" t="str">
        <f aca="false">IF($J32="","",IF(INDEX(Совместимая!$C:$C,$J32)="","",INDEX(Совместимая!$C:$C,$J32)))</f>
        <v>Термоузел</v>
      </c>
      <c r="C32" s="15" t="str">
        <f aca="false">IF($J32="","",IF(INDEX(Совместимая!$D:$D,$J32)="","",INDEX(Совместимая!$D:$D,$J32)))</f>
        <v>—</v>
      </c>
      <c r="D32" s="16" t="str">
        <f aca="false">IF($J32="","",IF(INDEX(Совместимая!$E:$E,$J32)="","⚠ добавить артикул",INDEX(Совместимая!$E:$E,$J32)))</f>
        <v>CS-FU-XER-WC7545</v>
      </c>
      <c r="E32" s="3" t="str">
        <f aca="false">IF($J32="","",IF(INDEX(Совместимая!$F:$F,$J32)="","",INDEX(Совместимая!$F:$F,$J32)))</f>
        <v>Cactus</v>
      </c>
      <c r="F32" s="15" t="str">
        <f aca="false">IF($J32="","",IF(INDEX(Совместимая!$G:$G,$J32)="","",INDEX(Совместимая!$G:$G,$J32)))</f>
        <v/>
      </c>
      <c r="G32" s="15" t="str">
        <f aca="false">IF($J32="","",IF(INDEX(Совместимая!$H:$H,$J32)="","",INDEX(Совместимая!$H:$H,$J32)))</f>
        <v/>
      </c>
      <c r="H32" s="3" t="str">
        <f aca="false">IF($J32="","",IF(INDEX(Совместимая!$I:$I,$J32)="","",INDEX(Совместимая!$I:$I,$J32)))</f>
        <v/>
      </c>
      <c r="J32" s="17" t="n">
        <f aca="false">IFERROR(MATCH(ROWS($J$25:J32),Совместимая!$J:$J,0),"")</f>
        <v>12</v>
      </c>
    </row>
    <row r="33" customFormat="false" ht="15" hidden="false" customHeight="false" outlineLevel="0" collapsed="false">
      <c r="A33" s="14" t="str">
        <f aca="false">IF($J33="","",ROWS($A$25:A33))</f>
        <v/>
      </c>
      <c r="B33" s="3" t="str">
        <f aca="false">IF($J33="","",IF(INDEX(Совместимая!$C:$C,$J33)="","",INDEX(Совместимая!$C:$C,$J33)))</f>
        <v/>
      </c>
      <c r="C33" s="15" t="str">
        <f aca="false">IF($J33="","",IF(INDEX(Совместимая!$D:$D,$J33)="","",INDEX(Совместимая!$D:$D,$J33)))</f>
        <v/>
      </c>
      <c r="D33" s="16" t="str">
        <f aca="false">IF($J33="","",IF(INDEX(Совместимая!$E:$E,$J33)="","⚠ добавить артикул",INDEX(Совместимая!$E:$E,$J33)))</f>
        <v/>
      </c>
      <c r="E33" s="3" t="str">
        <f aca="false">IF($J33="","",IF(INDEX(Совместимая!$F:$F,$J33)="","",INDEX(Совместимая!$F:$F,$J33)))</f>
        <v/>
      </c>
      <c r="F33" s="15" t="str">
        <f aca="false">IF($J33="","",IF(INDEX(Совместимая!$G:$G,$J33)="","",INDEX(Совместимая!$G:$G,$J33)))</f>
        <v/>
      </c>
      <c r="G33" s="15" t="str">
        <f aca="false">IF($J33="","",IF(INDEX(Совместимая!$H:$H,$J33)="","",INDEX(Совместимая!$H:$H,$J33)))</f>
        <v/>
      </c>
      <c r="H33" s="3" t="str">
        <f aca="false">IF($J33="","",IF(INDEX(Совместимая!$I:$I,$J33)="","",INDEX(Совместимая!$I:$I,$J33)))</f>
        <v/>
      </c>
      <c r="J33" s="17" t="str">
        <f aca="false">IFERROR(MATCH(ROWS($J$25:J33),Совместимая!$J:$J,0),"")</f>
        <v/>
      </c>
    </row>
    <row r="34" customFormat="false" ht="15" hidden="false" customHeight="false" outlineLevel="0" collapsed="false">
      <c r="A34" s="14" t="str">
        <f aca="false">IF($J34="","",ROWS($A$25:A34))</f>
        <v/>
      </c>
      <c r="B34" s="3" t="str">
        <f aca="false">IF($J34="","",IF(INDEX(Совместимая!$C:$C,$J34)="","",INDEX(Совместимая!$C:$C,$J34)))</f>
        <v/>
      </c>
      <c r="C34" s="15" t="str">
        <f aca="false">IF($J34="","",IF(INDEX(Совместимая!$D:$D,$J34)="","",INDEX(Совместимая!$D:$D,$J34)))</f>
        <v/>
      </c>
      <c r="D34" s="16" t="str">
        <f aca="false">IF($J34="","",IF(INDEX(Совместимая!$E:$E,$J34)="","⚠ добавить артикул",INDEX(Совместимая!$E:$E,$J34)))</f>
        <v/>
      </c>
      <c r="E34" s="3" t="str">
        <f aca="false">IF($J34="","",IF(INDEX(Совместимая!$F:$F,$J34)="","",INDEX(Совместимая!$F:$F,$J34)))</f>
        <v/>
      </c>
      <c r="F34" s="15" t="str">
        <f aca="false">IF($J34="","",IF(INDEX(Совместимая!$G:$G,$J34)="","",INDEX(Совместимая!$G:$G,$J34)))</f>
        <v/>
      </c>
      <c r="G34" s="15" t="str">
        <f aca="false">IF($J34="","",IF(INDEX(Совместимая!$H:$H,$J34)="","",INDEX(Совместимая!$H:$H,$J34)))</f>
        <v/>
      </c>
      <c r="H34" s="3" t="str">
        <f aca="false">IF($J34="","",IF(INDEX(Совместимая!$I:$I,$J34)="","",INDEX(Совместимая!$I:$I,$J34)))</f>
        <v/>
      </c>
      <c r="J34" s="17" t="str">
        <f aca="false">IFERROR(MATCH(ROWS($J$25:J34),Совместимая!$J:$J,0),"")</f>
        <v/>
      </c>
    </row>
    <row r="35" customFormat="false" ht="15" hidden="false" customHeight="false" outlineLevel="0" collapsed="false">
      <c r="A35" s="14" t="str">
        <f aca="false">IF($J35="","",ROWS($A$25:A35))</f>
        <v/>
      </c>
      <c r="B35" s="3" t="str">
        <f aca="false">IF($J35="","",IF(INDEX(Совместимая!$C:$C,$J35)="","",INDEX(Совместимая!$C:$C,$J35)))</f>
        <v/>
      </c>
      <c r="C35" s="15" t="str">
        <f aca="false">IF($J35="","",IF(INDEX(Совместимая!$D:$D,$J35)="","",INDEX(Совместимая!$D:$D,$J35)))</f>
        <v/>
      </c>
      <c r="D35" s="16" t="str">
        <f aca="false">IF($J35="","",IF(INDEX(Совместимая!$E:$E,$J35)="","⚠ добавить артикул",INDEX(Совместимая!$E:$E,$J35)))</f>
        <v/>
      </c>
      <c r="E35" s="3" t="str">
        <f aca="false">IF($J35="","",IF(INDEX(Совместимая!$F:$F,$J35)="","",INDEX(Совместимая!$F:$F,$J35)))</f>
        <v/>
      </c>
      <c r="F35" s="15" t="str">
        <f aca="false">IF($J35="","",IF(INDEX(Совместимая!$G:$G,$J35)="","",INDEX(Совместимая!$G:$G,$J35)))</f>
        <v/>
      </c>
      <c r="G35" s="15" t="str">
        <f aca="false">IF($J35="","",IF(INDEX(Совместимая!$H:$H,$J35)="","",INDEX(Совместимая!$H:$H,$J35)))</f>
        <v/>
      </c>
      <c r="H35" s="3" t="str">
        <f aca="false">IF($J35="","",IF(INDEX(Совместимая!$I:$I,$J35)="","",INDEX(Совместимая!$I:$I,$J35)))</f>
        <v/>
      </c>
      <c r="J35" s="17" t="str">
        <f aca="false">IFERROR(MATCH(ROWS($J$25:J35),Совместимая!$J:$J,0),"")</f>
        <v/>
      </c>
    </row>
    <row r="36" customFormat="false" ht="15" hidden="false" customHeight="false" outlineLevel="0" collapsed="false">
      <c r="A36" s="14" t="str">
        <f aca="false">IF($J36="","",ROWS($A$25:A36))</f>
        <v/>
      </c>
      <c r="B36" s="3" t="str">
        <f aca="false">IF($J36="","",IF(INDEX(Совместимая!$C:$C,$J36)="","",INDEX(Совместимая!$C:$C,$J36)))</f>
        <v/>
      </c>
      <c r="C36" s="15" t="str">
        <f aca="false">IF($J36="","",IF(INDEX(Совместимая!$D:$D,$J36)="","",INDEX(Совместимая!$D:$D,$J36)))</f>
        <v/>
      </c>
      <c r="D36" s="16" t="str">
        <f aca="false">IF($J36="","",IF(INDEX(Совместимая!$E:$E,$J36)="","⚠ добавить артикул",INDEX(Совместимая!$E:$E,$J36)))</f>
        <v/>
      </c>
      <c r="E36" s="3" t="str">
        <f aca="false">IF($J36="","",IF(INDEX(Совместимая!$F:$F,$J36)="","",INDEX(Совместимая!$F:$F,$J36)))</f>
        <v/>
      </c>
      <c r="F36" s="15" t="str">
        <f aca="false">IF($J36="","",IF(INDEX(Совместимая!$G:$G,$J36)="","",INDEX(Совместимая!$G:$G,$J36)))</f>
        <v/>
      </c>
      <c r="G36" s="15" t="str">
        <f aca="false">IF($J36="","",IF(INDEX(Совместимая!$H:$H,$J36)="","",INDEX(Совместимая!$H:$H,$J36)))</f>
        <v/>
      </c>
      <c r="H36" s="3" t="str">
        <f aca="false">IF($J36="","",IF(INDEX(Совместимая!$I:$I,$J36)="","",INDEX(Совместимая!$I:$I,$J36)))</f>
        <v/>
      </c>
      <c r="J36" s="17" t="str">
        <f aca="false">IFERROR(MATCH(ROWS($J$25:J36),Совместимая!$J:$J,0),"")</f>
        <v/>
      </c>
    </row>
    <row r="38" customFormat="false" ht="15" hidden="false" customHeight="false" outlineLevel="0" collapsed="false">
      <c r="A38" s="6" t="s">
        <v>2012</v>
      </c>
    </row>
  </sheetData>
  <mergeCells count="2">
    <mergeCell ref="C3:F3"/>
    <mergeCell ref="C4:F4"/>
  </mergeCells>
  <conditionalFormatting sqref="A9:H20">
    <cfRule type="expression" priority="2" aboveAverage="0" equalAverage="0" bottom="0" percent="0" rank="0" text="" dxfId="3">
      <formula>LEFT($D9,1)="⚠"</formula>
    </cfRule>
  </conditionalFormatting>
  <conditionalFormatting sqref="A25:H36">
    <cfRule type="expression" priority="3" aboveAverage="0" equalAverage="0" bottom="0" percent="0" rank="0" text="" dxfId="3">
      <formula>LEFT($D25,1)="⚠"</formula>
    </cfRule>
  </conditionalFormatting>
  <dataValidations count="2">
    <dataValidation allowBlank="true" error="Выберите производителя из списка" errorStyle="stop" errorTitle="Производитель" operator="between" showDropDown="false" showErrorMessage="true" showInputMessage="false" sqref="C3" type="list">
      <formula1>Модели!$D$2:$D$23</formula1>
      <formula2>0</formula2>
    </dataValidation>
    <dataValidation allowBlank="true" error="Сначала выберите производителя, затем модель из списка" errorStyle="stop" errorTitle="Модель" operator="between" showDropDown="false" showErrorMessage="true" showInputMessage="false" sqref="C4" type="list">
      <formula1>OFFSET(Модели!$B$2,MATCH($C$3,Модели!$A$2:$A$785,0)-1,0,COUNTIF(Модели!$A$2:$A$785,$C$3),1)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20" t="s">
        <v>1</v>
      </c>
      <c r="B1" s="20" t="s">
        <v>0</v>
      </c>
      <c r="D1" s="20" t="s">
        <v>2013</v>
      </c>
      <c r="E1" s="20" t="s">
        <v>2014</v>
      </c>
      <c r="G1" s="6" t="s">
        <v>2015</v>
      </c>
    </row>
    <row r="2" customFormat="false" ht="15" hidden="false" customHeight="false" outlineLevel="0" collapsed="false">
      <c r="A2" s="21" t="s">
        <v>552</v>
      </c>
      <c r="B2" s="21" t="s">
        <v>1387</v>
      </c>
      <c r="D2" s="21" t="s">
        <v>552</v>
      </c>
      <c r="E2" s="21" t="n">
        <f aca="false">COUNTIF($A$2:$A$785,D2)</f>
        <v>2</v>
      </c>
    </row>
    <row r="3" customFormat="false" ht="15" hidden="false" customHeight="false" outlineLevel="0" collapsed="false">
      <c r="A3" s="21" t="s">
        <v>552</v>
      </c>
      <c r="B3" s="21" t="s">
        <v>551</v>
      </c>
      <c r="D3" s="21" t="s">
        <v>498</v>
      </c>
      <c r="E3" s="21" t="n">
        <f aca="false">COUNTIF($A$2:$A$785,D3)</f>
        <v>12</v>
      </c>
    </row>
    <row r="4" customFormat="false" ht="15" hidden="false" customHeight="false" outlineLevel="0" collapsed="false">
      <c r="A4" s="21" t="s">
        <v>498</v>
      </c>
      <c r="B4" s="21" t="s">
        <v>497</v>
      </c>
      <c r="D4" s="21" t="s">
        <v>84</v>
      </c>
      <c r="E4" s="21" t="n">
        <f aca="false">COUNTIF($A$2:$A$785,D4)</f>
        <v>88</v>
      </c>
    </row>
    <row r="5" customFormat="false" ht="15" hidden="false" customHeight="false" outlineLevel="0" collapsed="false">
      <c r="A5" s="21" t="s">
        <v>498</v>
      </c>
      <c r="B5" s="21" t="s">
        <v>1082</v>
      </c>
      <c r="D5" s="21" t="s">
        <v>1180</v>
      </c>
      <c r="E5" s="21" t="n">
        <f aca="false">COUNTIF($A$2:$A$785,D5)</f>
        <v>2</v>
      </c>
    </row>
    <row r="6" customFormat="false" ht="15" hidden="false" customHeight="false" outlineLevel="0" collapsed="false">
      <c r="A6" s="21" t="s">
        <v>498</v>
      </c>
      <c r="B6" s="21" t="s">
        <v>900</v>
      </c>
      <c r="D6" s="21" t="s">
        <v>932</v>
      </c>
      <c r="E6" s="21" t="n">
        <f aca="false">COUNTIF($A$2:$A$785,D6)</f>
        <v>14</v>
      </c>
    </row>
    <row r="7" customFormat="false" ht="15" hidden="false" customHeight="false" outlineLevel="0" collapsed="false">
      <c r="A7" s="21" t="s">
        <v>498</v>
      </c>
      <c r="B7" s="21" t="s">
        <v>902</v>
      </c>
      <c r="D7" s="21" t="s">
        <v>508</v>
      </c>
      <c r="E7" s="21" t="n">
        <f aca="false">COUNTIF($A$2:$A$785,D7)</f>
        <v>1</v>
      </c>
    </row>
    <row r="8" customFormat="false" ht="15" hidden="false" customHeight="false" outlineLevel="0" collapsed="false">
      <c r="A8" s="21" t="s">
        <v>498</v>
      </c>
      <c r="B8" s="21" t="s">
        <v>905</v>
      </c>
      <c r="D8" s="21" t="s">
        <v>57</v>
      </c>
      <c r="E8" s="21" t="n">
        <f aca="false">COUNTIF($A$2:$A$785,D8)</f>
        <v>350</v>
      </c>
    </row>
    <row r="9" customFormat="false" ht="15" hidden="false" customHeight="false" outlineLevel="0" collapsed="false">
      <c r="A9" s="21" t="s">
        <v>498</v>
      </c>
      <c r="B9" s="21" t="s">
        <v>911</v>
      </c>
      <c r="D9" s="21" t="s">
        <v>40</v>
      </c>
      <c r="E9" s="21" t="n">
        <f aca="false">COUNTIF($A$2:$A$785,D9)</f>
        <v>7</v>
      </c>
    </row>
    <row r="10" customFormat="false" ht="15" hidden="false" customHeight="false" outlineLevel="0" collapsed="false">
      <c r="A10" s="21" t="s">
        <v>498</v>
      </c>
      <c r="B10" s="21" t="s">
        <v>898</v>
      </c>
      <c r="D10" s="21" t="s">
        <v>68</v>
      </c>
      <c r="E10" s="21" t="n">
        <f aca="false">COUNTIF($A$2:$A$785,D10)</f>
        <v>92</v>
      </c>
    </row>
    <row r="11" customFormat="false" ht="15" hidden="false" customHeight="false" outlineLevel="0" collapsed="false">
      <c r="A11" s="21" t="s">
        <v>498</v>
      </c>
      <c r="B11" s="21" t="s">
        <v>881</v>
      </c>
      <c r="D11" s="21" t="s">
        <v>47</v>
      </c>
      <c r="E11" s="21" t="n">
        <f aca="false">COUNTIF($A$2:$A$785,D11)</f>
        <v>30</v>
      </c>
    </row>
    <row r="12" customFormat="false" ht="15" hidden="false" customHeight="false" outlineLevel="0" collapsed="false">
      <c r="A12" s="21" t="s">
        <v>498</v>
      </c>
      <c r="B12" s="21" t="s">
        <v>939</v>
      </c>
      <c r="D12" s="21" t="s">
        <v>524</v>
      </c>
      <c r="E12" s="21" t="n">
        <f aca="false">COUNTIF($A$2:$A$785,D12)</f>
        <v>5</v>
      </c>
    </row>
    <row r="13" customFormat="false" ht="15" hidden="false" customHeight="false" outlineLevel="0" collapsed="false">
      <c r="A13" s="21" t="s">
        <v>498</v>
      </c>
      <c r="B13" s="21" t="s">
        <v>913</v>
      </c>
      <c r="D13" s="21" t="s">
        <v>156</v>
      </c>
      <c r="E13" s="21" t="n">
        <f aca="false">COUNTIF($A$2:$A$785,D13)</f>
        <v>7</v>
      </c>
    </row>
    <row r="14" customFormat="false" ht="15" hidden="false" customHeight="false" outlineLevel="0" collapsed="false">
      <c r="A14" s="21" t="s">
        <v>498</v>
      </c>
      <c r="B14" s="21" t="s">
        <v>907</v>
      </c>
      <c r="D14" s="21" t="s">
        <v>34</v>
      </c>
      <c r="E14" s="21" t="n">
        <f aca="false">COUNTIF($A$2:$A$785,D14)</f>
        <v>21</v>
      </c>
    </row>
    <row r="15" customFormat="false" ht="15" hidden="false" customHeight="false" outlineLevel="0" collapsed="false">
      <c r="A15" s="21" t="s">
        <v>498</v>
      </c>
      <c r="B15" s="21" t="s">
        <v>909</v>
      </c>
      <c r="D15" s="21" t="s">
        <v>472</v>
      </c>
      <c r="E15" s="21" t="n">
        <f aca="false">COUNTIF($A$2:$A$785,D15)</f>
        <v>15</v>
      </c>
    </row>
    <row r="16" customFormat="false" ht="15" hidden="false" customHeight="false" outlineLevel="0" collapsed="false">
      <c r="A16" s="21" t="s">
        <v>84</v>
      </c>
      <c r="B16" s="21" t="s">
        <v>1201</v>
      </c>
      <c r="D16" s="21" t="s">
        <v>110</v>
      </c>
      <c r="E16" s="21" t="n">
        <f aca="false">COUNTIF($A$2:$A$785,D16)</f>
        <v>25</v>
      </c>
    </row>
    <row r="17" customFormat="false" ht="15" hidden="false" customHeight="false" outlineLevel="0" collapsed="false">
      <c r="A17" s="21" t="s">
        <v>84</v>
      </c>
      <c r="B17" s="21" t="s">
        <v>964</v>
      </c>
      <c r="D17" s="21" t="s">
        <v>1226</v>
      </c>
      <c r="E17" s="21" t="n">
        <f aca="false">COUNTIF($A$2:$A$785,D17)</f>
        <v>1</v>
      </c>
    </row>
    <row r="18" customFormat="false" ht="15" hidden="false" customHeight="false" outlineLevel="0" collapsed="false">
      <c r="A18" s="21" t="s">
        <v>84</v>
      </c>
      <c r="B18" s="21" t="s">
        <v>1079</v>
      </c>
      <c r="D18" s="21" t="s">
        <v>51</v>
      </c>
      <c r="E18" s="21" t="n">
        <f aca="false">COUNTIF($A$2:$A$785,D18)</f>
        <v>3</v>
      </c>
    </row>
    <row r="19" customFormat="false" ht="15" hidden="false" customHeight="false" outlineLevel="0" collapsed="false">
      <c r="A19" s="21" t="s">
        <v>84</v>
      </c>
      <c r="B19" s="21" t="s">
        <v>83</v>
      </c>
      <c r="D19" s="21" t="s">
        <v>397</v>
      </c>
      <c r="E19" s="21" t="n">
        <f aca="false">COUNTIF($A$2:$A$785,D19)</f>
        <v>4</v>
      </c>
    </row>
    <row r="20" customFormat="false" ht="15" hidden="false" customHeight="false" outlineLevel="0" collapsed="false">
      <c r="A20" s="21" t="s">
        <v>84</v>
      </c>
      <c r="B20" s="21" t="s">
        <v>1101</v>
      </c>
      <c r="D20" s="21" t="s">
        <v>62</v>
      </c>
      <c r="E20" s="21" t="n">
        <f aca="false">COUNTIF($A$2:$A$785,D20)</f>
        <v>1</v>
      </c>
    </row>
    <row r="21" customFormat="false" ht="15" hidden="false" customHeight="false" outlineLevel="0" collapsed="false">
      <c r="A21" s="21" t="s">
        <v>84</v>
      </c>
      <c r="B21" s="21" t="s">
        <v>925</v>
      </c>
      <c r="D21" s="21" t="s">
        <v>885</v>
      </c>
      <c r="E21" s="21" t="n">
        <f aca="false">COUNTIF($A$2:$A$785,D21)</f>
        <v>4</v>
      </c>
    </row>
    <row r="22" customFormat="false" ht="15" hidden="false" customHeight="false" outlineLevel="0" collapsed="false">
      <c r="A22" s="21" t="s">
        <v>84</v>
      </c>
      <c r="B22" s="21" t="s">
        <v>1114</v>
      </c>
      <c r="D22" s="21" t="s">
        <v>10</v>
      </c>
      <c r="E22" s="21" t="n">
        <f aca="false">COUNTIF($A$2:$A$785,D22)</f>
        <v>96</v>
      </c>
    </row>
    <row r="23" customFormat="false" ht="15" hidden="false" customHeight="false" outlineLevel="0" collapsed="false">
      <c r="A23" s="21" t="s">
        <v>84</v>
      </c>
      <c r="B23" s="21" t="s">
        <v>1100</v>
      </c>
      <c r="D23" s="21" t="s">
        <v>457</v>
      </c>
      <c r="E23" s="21" t="n">
        <f aca="false">COUNTIF($A$2:$A$785,D23)</f>
        <v>4</v>
      </c>
    </row>
    <row r="24" customFormat="false" ht="15" hidden="false" customHeight="false" outlineLevel="0" collapsed="false">
      <c r="A24" s="21" t="s">
        <v>84</v>
      </c>
      <c r="B24" s="21" t="s">
        <v>1103</v>
      </c>
    </row>
    <row r="25" customFormat="false" ht="15" hidden="false" customHeight="false" outlineLevel="0" collapsed="false">
      <c r="A25" s="21" t="s">
        <v>84</v>
      </c>
      <c r="B25" s="21" t="s">
        <v>1089</v>
      </c>
    </row>
    <row r="26" customFormat="false" ht="15" hidden="false" customHeight="false" outlineLevel="0" collapsed="false">
      <c r="A26" s="21" t="s">
        <v>84</v>
      </c>
      <c r="B26" s="21" t="s">
        <v>159</v>
      </c>
    </row>
    <row r="27" customFormat="false" ht="15" hidden="false" customHeight="false" outlineLevel="0" collapsed="false">
      <c r="A27" s="21" t="s">
        <v>84</v>
      </c>
      <c r="B27" s="21" t="s">
        <v>239</v>
      </c>
    </row>
    <row r="28" customFormat="false" ht="15" hidden="false" customHeight="false" outlineLevel="0" collapsed="false">
      <c r="A28" s="21" t="s">
        <v>84</v>
      </c>
      <c r="B28" s="21" t="s">
        <v>1088</v>
      </c>
    </row>
    <row r="29" customFormat="false" ht="15" hidden="false" customHeight="false" outlineLevel="0" collapsed="false">
      <c r="A29" s="21" t="s">
        <v>84</v>
      </c>
      <c r="B29" s="21" t="s">
        <v>1208</v>
      </c>
    </row>
    <row r="30" customFormat="false" ht="15" hidden="false" customHeight="false" outlineLevel="0" collapsed="false">
      <c r="A30" s="21" t="s">
        <v>84</v>
      </c>
      <c r="B30" s="21" t="s">
        <v>1333</v>
      </c>
    </row>
    <row r="31" customFormat="false" ht="15" hidden="false" customHeight="false" outlineLevel="0" collapsed="false">
      <c r="A31" s="21" t="s">
        <v>84</v>
      </c>
      <c r="B31" s="21" t="s">
        <v>927</v>
      </c>
    </row>
    <row r="32" customFormat="false" ht="15" hidden="false" customHeight="false" outlineLevel="0" collapsed="false">
      <c r="A32" s="21" t="s">
        <v>84</v>
      </c>
      <c r="B32" s="21" t="s">
        <v>943</v>
      </c>
    </row>
    <row r="33" customFormat="false" ht="15" hidden="false" customHeight="false" outlineLevel="0" collapsed="false">
      <c r="A33" s="21" t="s">
        <v>84</v>
      </c>
      <c r="B33" s="21" t="s">
        <v>579</v>
      </c>
    </row>
    <row r="34" customFormat="false" ht="15" hidden="false" customHeight="false" outlineLevel="0" collapsed="false">
      <c r="A34" s="21" t="s">
        <v>84</v>
      </c>
      <c r="B34" s="21" t="s">
        <v>1248</v>
      </c>
    </row>
    <row r="35" customFormat="false" ht="15" hidden="false" customHeight="false" outlineLevel="0" collapsed="false">
      <c r="A35" s="21" t="s">
        <v>84</v>
      </c>
      <c r="B35" s="21" t="s">
        <v>1247</v>
      </c>
    </row>
    <row r="36" customFormat="false" ht="15" hidden="false" customHeight="false" outlineLevel="0" collapsed="false">
      <c r="A36" s="21" t="s">
        <v>84</v>
      </c>
      <c r="B36" s="21" t="s">
        <v>1028</v>
      </c>
    </row>
    <row r="37" customFormat="false" ht="15" hidden="false" customHeight="false" outlineLevel="0" collapsed="false">
      <c r="A37" s="21" t="s">
        <v>84</v>
      </c>
      <c r="B37" s="21" t="s">
        <v>1027</v>
      </c>
    </row>
    <row r="38" customFormat="false" ht="15" hidden="false" customHeight="false" outlineLevel="0" collapsed="false">
      <c r="A38" s="21" t="s">
        <v>84</v>
      </c>
      <c r="B38" s="21" t="s">
        <v>1246</v>
      </c>
    </row>
    <row r="39" customFormat="false" ht="15" hidden="false" customHeight="false" outlineLevel="0" collapsed="false">
      <c r="A39" s="21" t="s">
        <v>84</v>
      </c>
      <c r="B39" s="21" t="s">
        <v>237</v>
      </c>
    </row>
    <row r="40" customFormat="false" ht="15" hidden="false" customHeight="false" outlineLevel="0" collapsed="false">
      <c r="A40" s="21" t="s">
        <v>84</v>
      </c>
      <c r="B40" s="21" t="s">
        <v>880</v>
      </c>
    </row>
    <row r="41" customFormat="false" ht="15" hidden="false" customHeight="false" outlineLevel="0" collapsed="false">
      <c r="A41" s="21" t="s">
        <v>84</v>
      </c>
      <c r="B41" s="21" t="s">
        <v>921</v>
      </c>
    </row>
    <row r="42" customFormat="false" ht="15" hidden="false" customHeight="false" outlineLevel="0" collapsed="false">
      <c r="A42" s="21" t="s">
        <v>84</v>
      </c>
      <c r="B42" s="21" t="s">
        <v>920</v>
      </c>
    </row>
    <row r="43" customFormat="false" ht="15" hidden="false" customHeight="false" outlineLevel="0" collapsed="false">
      <c r="A43" s="21" t="s">
        <v>84</v>
      </c>
      <c r="B43" s="21" t="s">
        <v>233</v>
      </c>
    </row>
    <row r="44" customFormat="false" ht="15" hidden="false" customHeight="false" outlineLevel="0" collapsed="false">
      <c r="A44" s="21" t="s">
        <v>84</v>
      </c>
      <c r="B44" s="21" t="s">
        <v>919</v>
      </c>
    </row>
    <row r="45" customFormat="false" ht="15" hidden="false" customHeight="false" outlineLevel="0" collapsed="false">
      <c r="A45" s="21" t="s">
        <v>84</v>
      </c>
      <c r="B45" s="21" t="s">
        <v>895</v>
      </c>
    </row>
    <row r="46" customFormat="false" ht="15" hidden="false" customHeight="false" outlineLevel="0" collapsed="false">
      <c r="A46" s="21" t="s">
        <v>84</v>
      </c>
      <c r="B46" s="21" t="s">
        <v>245</v>
      </c>
    </row>
    <row r="47" customFormat="false" ht="15" hidden="false" customHeight="false" outlineLevel="0" collapsed="false">
      <c r="A47" s="21" t="s">
        <v>84</v>
      </c>
      <c r="B47" s="21" t="s">
        <v>960</v>
      </c>
    </row>
    <row r="48" customFormat="false" ht="15" hidden="false" customHeight="false" outlineLevel="0" collapsed="false">
      <c r="A48" s="21" t="s">
        <v>84</v>
      </c>
      <c r="B48" s="21" t="s">
        <v>959</v>
      </c>
    </row>
    <row r="49" customFormat="false" ht="15" hidden="false" customHeight="false" outlineLevel="0" collapsed="false">
      <c r="A49" s="21" t="s">
        <v>84</v>
      </c>
      <c r="B49" s="21" t="s">
        <v>957</v>
      </c>
    </row>
    <row r="50" customFormat="false" ht="15" hidden="false" customHeight="false" outlineLevel="0" collapsed="false">
      <c r="A50" s="21" t="s">
        <v>84</v>
      </c>
      <c r="B50" s="21" t="s">
        <v>958</v>
      </c>
    </row>
    <row r="51" customFormat="false" ht="15" hidden="false" customHeight="false" outlineLevel="0" collapsed="false">
      <c r="A51" s="21" t="s">
        <v>84</v>
      </c>
      <c r="B51" s="21" t="s">
        <v>918</v>
      </c>
    </row>
    <row r="52" customFormat="false" ht="15" hidden="false" customHeight="false" outlineLevel="0" collapsed="false">
      <c r="A52" s="21" t="s">
        <v>84</v>
      </c>
      <c r="B52" s="21" t="s">
        <v>1330</v>
      </c>
    </row>
    <row r="53" customFormat="false" ht="15" hidden="false" customHeight="false" outlineLevel="0" collapsed="false">
      <c r="A53" s="21" t="s">
        <v>84</v>
      </c>
      <c r="B53" s="21" t="s">
        <v>1133</v>
      </c>
    </row>
    <row r="54" customFormat="false" ht="15" hidden="false" customHeight="false" outlineLevel="0" collapsed="false">
      <c r="A54" s="21" t="s">
        <v>84</v>
      </c>
      <c r="B54" s="21" t="s">
        <v>1127</v>
      </c>
    </row>
    <row r="55" customFormat="false" ht="15" hidden="false" customHeight="false" outlineLevel="0" collapsed="false">
      <c r="A55" s="21" t="s">
        <v>84</v>
      </c>
      <c r="B55" s="21" t="s">
        <v>941</v>
      </c>
    </row>
    <row r="56" customFormat="false" ht="15" hidden="false" customHeight="false" outlineLevel="0" collapsed="false">
      <c r="A56" s="21" t="s">
        <v>84</v>
      </c>
      <c r="B56" s="21" t="s">
        <v>961</v>
      </c>
    </row>
    <row r="57" customFormat="false" ht="15" hidden="false" customHeight="false" outlineLevel="0" collapsed="false">
      <c r="A57" s="21" t="s">
        <v>84</v>
      </c>
      <c r="B57" s="21" t="s">
        <v>1162</v>
      </c>
    </row>
    <row r="58" customFormat="false" ht="15" hidden="false" customHeight="false" outlineLevel="0" collapsed="false">
      <c r="A58" s="21" t="s">
        <v>84</v>
      </c>
      <c r="B58" s="21" t="s">
        <v>1238</v>
      </c>
    </row>
    <row r="59" customFormat="false" ht="15" hidden="false" customHeight="false" outlineLevel="0" collapsed="false">
      <c r="A59" s="21" t="s">
        <v>84</v>
      </c>
      <c r="B59" s="21" t="s">
        <v>1239</v>
      </c>
    </row>
    <row r="60" customFormat="false" ht="15" hidden="false" customHeight="false" outlineLevel="0" collapsed="false">
      <c r="A60" s="21" t="s">
        <v>84</v>
      </c>
      <c r="B60" s="21" t="s">
        <v>240</v>
      </c>
    </row>
    <row r="61" customFormat="false" ht="15" hidden="false" customHeight="false" outlineLevel="0" collapsed="false">
      <c r="A61" s="21" t="s">
        <v>84</v>
      </c>
      <c r="B61" s="21" t="s">
        <v>1176</v>
      </c>
    </row>
    <row r="62" customFormat="false" ht="15" hidden="false" customHeight="false" outlineLevel="0" collapsed="false">
      <c r="A62" s="21" t="s">
        <v>84</v>
      </c>
      <c r="B62" s="21" t="s">
        <v>951</v>
      </c>
    </row>
    <row r="63" customFormat="false" ht="15" hidden="false" customHeight="false" outlineLevel="0" collapsed="false">
      <c r="A63" s="21" t="s">
        <v>84</v>
      </c>
      <c r="B63" s="21" t="s">
        <v>1166</v>
      </c>
    </row>
    <row r="64" customFormat="false" ht="15" hidden="false" customHeight="false" outlineLevel="0" collapsed="false">
      <c r="A64" s="21" t="s">
        <v>84</v>
      </c>
      <c r="B64" s="21" t="s">
        <v>1365</v>
      </c>
    </row>
    <row r="65" customFormat="false" ht="15" hidden="false" customHeight="false" outlineLevel="0" collapsed="false">
      <c r="A65" s="21" t="s">
        <v>84</v>
      </c>
      <c r="B65" s="21" t="s">
        <v>1020</v>
      </c>
    </row>
    <row r="66" customFormat="false" ht="15" hidden="false" customHeight="false" outlineLevel="0" collapsed="false">
      <c r="A66" s="21" t="s">
        <v>84</v>
      </c>
      <c r="B66" s="21" t="s">
        <v>950</v>
      </c>
    </row>
    <row r="67" customFormat="false" ht="15" hidden="false" customHeight="false" outlineLevel="0" collapsed="false">
      <c r="A67" s="21" t="s">
        <v>84</v>
      </c>
      <c r="B67" s="21" t="s">
        <v>949</v>
      </c>
    </row>
    <row r="68" customFormat="false" ht="15" hidden="false" customHeight="false" outlineLevel="0" collapsed="false">
      <c r="A68" s="21" t="s">
        <v>84</v>
      </c>
      <c r="B68" s="21" t="s">
        <v>571</v>
      </c>
    </row>
    <row r="69" customFormat="false" ht="15" hidden="false" customHeight="false" outlineLevel="0" collapsed="false">
      <c r="A69" s="21" t="s">
        <v>84</v>
      </c>
      <c r="B69" s="21" t="s">
        <v>933</v>
      </c>
    </row>
    <row r="70" customFormat="false" ht="15" hidden="false" customHeight="false" outlineLevel="0" collapsed="false">
      <c r="A70" s="21" t="s">
        <v>84</v>
      </c>
      <c r="B70" s="21" t="s">
        <v>1095</v>
      </c>
    </row>
    <row r="71" customFormat="false" ht="15" hidden="false" customHeight="false" outlineLevel="0" collapsed="false">
      <c r="A71" s="21" t="s">
        <v>84</v>
      </c>
      <c r="B71" s="21" t="s">
        <v>1391</v>
      </c>
    </row>
    <row r="72" customFormat="false" ht="15" hidden="false" customHeight="false" outlineLevel="0" collapsed="false">
      <c r="A72" s="21" t="s">
        <v>84</v>
      </c>
      <c r="B72" s="21" t="s">
        <v>228</v>
      </c>
    </row>
    <row r="73" customFormat="false" ht="15" hidden="false" customHeight="false" outlineLevel="0" collapsed="false">
      <c r="A73" s="21" t="s">
        <v>84</v>
      </c>
      <c r="B73" s="21" t="s">
        <v>1198</v>
      </c>
    </row>
    <row r="74" customFormat="false" ht="15" hidden="false" customHeight="false" outlineLevel="0" collapsed="false">
      <c r="A74" s="21" t="s">
        <v>84</v>
      </c>
      <c r="B74" s="21" t="s">
        <v>1334</v>
      </c>
    </row>
    <row r="75" customFormat="false" ht="15" hidden="false" customHeight="false" outlineLevel="0" collapsed="false">
      <c r="A75" s="21" t="s">
        <v>84</v>
      </c>
      <c r="B75" s="21" t="s">
        <v>584</v>
      </c>
    </row>
    <row r="76" customFormat="false" ht="15" hidden="false" customHeight="false" outlineLevel="0" collapsed="false">
      <c r="A76" s="21" t="s">
        <v>84</v>
      </c>
      <c r="B76" s="21" t="s">
        <v>249</v>
      </c>
    </row>
    <row r="77" customFormat="false" ht="15" hidden="false" customHeight="false" outlineLevel="0" collapsed="false">
      <c r="A77" s="21" t="s">
        <v>84</v>
      </c>
      <c r="B77" s="21" t="s">
        <v>1163</v>
      </c>
    </row>
    <row r="78" customFormat="false" ht="15" hidden="false" customHeight="false" outlineLevel="0" collapsed="false">
      <c r="A78" s="21" t="s">
        <v>84</v>
      </c>
      <c r="B78" s="21" t="s">
        <v>1119</v>
      </c>
    </row>
    <row r="79" customFormat="false" ht="15" hidden="false" customHeight="false" outlineLevel="0" collapsed="false">
      <c r="A79" s="21" t="s">
        <v>84</v>
      </c>
      <c r="B79" s="21" t="s">
        <v>1348</v>
      </c>
    </row>
    <row r="80" customFormat="false" ht="15" hidden="false" customHeight="false" outlineLevel="0" collapsed="false">
      <c r="A80" s="21" t="s">
        <v>84</v>
      </c>
      <c r="B80" s="21" t="s">
        <v>1077</v>
      </c>
    </row>
    <row r="81" customFormat="false" ht="15" hidden="false" customHeight="false" outlineLevel="0" collapsed="false">
      <c r="A81" s="21" t="s">
        <v>84</v>
      </c>
      <c r="B81" s="21" t="s">
        <v>1171</v>
      </c>
    </row>
    <row r="82" customFormat="false" ht="15" hidden="false" customHeight="false" outlineLevel="0" collapsed="false">
      <c r="A82" s="21" t="s">
        <v>84</v>
      </c>
      <c r="B82" s="21" t="s">
        <v>1173</v>
      </c>
    </row>
    <row r="83" customFormat="false" ht="15" hidden="false" customHeight="false" outlineLevel="0" collapsed="false">
      <c r="A83" s="21" t="s">
        <v>84</v>
      </c>
      <c r="B83" s="21" t="s">
        <v>946</v>
      </c>
    </row>
    <row r="84" customFormat="false" ht="15" hidden="false" customHeight="false" outlineLevel="0" collapsed="false">
      <c r="A84" s="21" t="s">
        <v>84</v>
      </c>
      <c r="B84" s="21" t="s">
        <v>971</v>
      </c>
    </row>
    <row r="85" customFormat="false" ht="15" hidden="false" customHeight="false" outlineLevel="0" collapsed="false">
      <c r="A85" s="21" t="s">
        <v>84</v>
      </c>
      <c r="B85" s="21" t="s">
        <v>944</v>
      </c>
    </row>
    <row r="86" customFormat="false" ht="15" hidden="false" customHeight="false" outlineLevel="0" collapsed="false">
      <c r="A86" s="21" t="s">
        <v>84</v>
      </c>
      <c r="B86" s="21" t="s">
        <v>1331</v>
      </c>
    </row>
    <row r="87" customFormat="false" ht="15" hidden="false" customHeight="false" outlineLevel="0" collapsed="false">
      <c r="A87" s="21" t="s">
        <v>84</v>
      </c>
      <c r="B87" s="21" t="s">
        <v>1081</v>
      </c>
    </row>
    <row r="88" customFormat="false" ht="15" hidden="false" customHeight="false" outlineLevel="0" collapsed="false">
      <c r="A88" s="21" t="s">
        <v>84</v>
      </c>
      <c r="B88" s="21" t="s">
        <v>887</v>
      </c>
    </row>
    <row r="89" customFormat="false" ht="15" hidden="false" customHeight="false" outlineLevel="0" collapsed="false">
      <c r="A89" s="21" t="s">
        <v>84</v>
      </c>
      <c r="B89" s="21" t="s">
        <v>889</v>
      </c>
    </row>
    <row r="90" customFormat="false" ht="15" hidden="false" customHeight="false" outlineLevel="0" collapsed="false">
      <c r="A90" s="21" t="s">
        <v>84</v>
      </c>
      <c r="B90" s="21" t="s">
        <v>1174</v>
      </c>
    </row>
    <row r="91" customFormat="false" ht="15" hidden="false" customHeight="false" outlineLevel="0" collapsed="false">
      <c r="A91" s="21" t="s">
        <v>84</v>
      </c>
      <c r="B91" s="21" t="s">
        <v>1086</v>
      </c>
    </row>
    <row r="92" customFormat="false" ht="15" hidden="false" customHeight="false" outlineLevel="0" collapsed="false">
      <c r="A92" s="21" t="s">
        <v>84</v>
      </c>
      <c r="B92" s="21" t="s">
        <v>929</v>
      </c>
    </row>
    <row r="93" customFormat="false" ht="15" hidden="false" customHeight="false" outlineLevel="0" collapsed="false">
      <c r="A93" s="21" t="s">
        <v>84</v>
      </c>
      <c r="B93" s="21" t="s">
        <v>1266</v>
      </c>
    </row>
    <row r="94" customFormat="false" ht="15" hidden="false" customHeight="false" outlineLevel="0" collapsed="false">
      <c r="A94" s="21" t="s">
        <v>84</v>
      </c>
      <c r="B94" s="21" t="s">
        <v>862</v>
      </c>
    </row>
    <row r="95" customFormat="false" ht="15" hidden="false" customHeight="false" outlineLevel="0" collapsed="false">
      <c r="A95" s="21" t="s">
        <v>84</v>
      </c>
      <c r="B95" s="21" t="s">
        <v>1223</v>
      </c>
    </row>
    <row r="96" customFormat="false" ht="15" hidden="false" customHeight="false" outlineLevel="0" collapsed="false">
      <c r="A96" s="21" t="s">
        <v>84</v>
      </c>
      <c r="B96" s="21" t="s">
        <v>1224</v>
      </c>
    </row>
    <row r="97" customFormat="false" ht="15" hidden="false" customHeight="false" outlineLevel="0" collapsed="false">
      <c r="A97" s="21" t="s">
        <v>84</v>
      </c>
      <c r="B97" s="21" t="s">
        <v>1244</v>
      </c>
    </row>
    <row r="98" customFormat="false" ht="15" hidden="false" customHeight="false" outlineLevel="0" collapsed="false">
      <c r="A98" s="21" t="s">
        <v>84</v>
      </c>
      <c r="B98" s="21" t="s">
        <v>1025</v>
      </c>
    </row>
    <row r="99" customFormat="false" ht="15" hidden="false" customHeight="false" outlineLevel="0" collapsed="false">
      <c r="A99" s="21" t="s">
        <v>84</v>
      </c>
      <c r="B99" s="21" t="s">
        <v>1380</v>
      </c>
    </row>
    <row r="100" customFormat="false" ht="15" hidden="false" customHeight="false" outlineLevel="0" collapsed="false">
      <c r="A100" s="21" t="s">
        <v>84</v>
      </c>
      <c r="B100" s="21" t="s">
        <v>1023</v>
      </c>
    </row>
    <row r="101" customFormat="false" ht="15" hidden="false" customHeight="false" outlineLevel="0" collapsed="false">
      <c r="A101" s="21" t="s">
        <v>84</v>
      </c>
      <c r="B101" s="21" t="s">
        <v>1378</v>
      </c>
    </row>
    <row r="102" customFormat="false" ht="15" hidden="false" customHeight="false" outlineLevel="0" collapsed="false">
      <c r="A102" s="21" t="s">
        <v>84</v>
      </c>
      <c r="B102" s="21" t="s">
        <v>962</v>
      </c>
    </row>
    <row r="103" customFormat="false" ht="15" hidden="false" customHeight="false" outlineLevel="0" collapsed="false">
      <c r="A103" s="21" t="s">
        <v>84</v>
      </c>
      <c r="B103" s="21" t="s">
        <v>1021</v>
      </c>
    </row>
    <row r="104" customFormat="false" ht="15" hidden="false" customHeight="false" outlineLevel="0" collapsed="false">
      <c r="A104" s="21" t="s">
        <v>1180</v>
      </c>
      <c r="B104" s="21" t="s">
        <v>1179</v>
      </c>
    </row>
    <row r="105" customFormat="false" ht="15" hidden="false" customHeight="false" outlineLevel="0" collapsed="false">
      <c r="A105" s="21" t="s">
        <v>1180</v>
      </c>
      <c r="B105" s="21" t="s">
        <v>1386</v>
      </c>
    </row>
    <row r="106" customFormat="false" ht="15" hidden="false" customHeight="false" outlineLevel="0" collapsed="false">
      <c r="A106" s="21" t="s">
        <v>932</v>
      </c>
      <c r="B106" s="21" t="s">
        <v>1012</v>
      </c>
    </row>
    <row r="107" customFormat="false" ht="15" hidden="false" customHeight="false" outlineLevel="0" collapsed="false">
      <c r="A107" s="21" t="s">
        <v>932</v>
      </c>
      <c r="B107" s="21" t="s">
        <v>1242</v>
      </c>
    </row>
    <row r="108" customFormat="false" ht="15" hidden="false" customHeight="false" outlineLevel="0" collapsed="false">
      <c r="A108" s="21" t="s">
        <v>932</v>
      </c>
      <c r="B108" s="21" t="s">
        <v>1273</v>
      </c>
    </row>
    <row r="109" customFormat="false" ht="15" hidden="false" customHeight="false" outlineLevel="0" collapsed="false">
      <c r="A109" s="21" t="s">
        <v>932</v>
      </c>
      <c r="B109" s="21" t="s">
        <v>1337</v>
      </c>
    </row>
    <row r="110" customFormat="false" ht="15" hidden="false" customHeight="false" outlineLevel="0" collapsed="false">
      <c r="A110" s="21" t="s">
        <v>932</v>
      </c>
      <c r="B110" s="21" t="s">
        <v>1371</v>
      </c>
    </row>
    <row r="111" customFormat="false" ht="15" hidden="false" customHeight="false" outlineLevel="0" collapsed="false">
      <c r="A111" s="21" t="s">
        <v>932</v>
      </c>
      <c r="B111" s="21" t="s">
        <v>1328</v>
      </c>
    </row>
    <row r="112" customFormat="false" ht="15" hidden="false" customHeight="false" outlineLevel="0" collapsed="false">
      <c r="A112" s="21" t="s">
        <v>932</v>
      </c>
      <c r="B112" s="21" t="s">
        <v>1015</v>
      </c>
    </row>
    <row r="113" customFormat="false" ht="15" hidden="false" customHeight="false" outlineLevel="0" collapsed="false">
      <c r="A113" s="21" t="s">
        <v>932</v>
      </c>
      <c r="B113" s="21" t="s">
        <v>1097</v>
      </c>
    </row>
    <row r="114" customFormat="false" ht="15" hidden="false" customHeight="false" outlineLevel="0" collapsed="false">
      <c r="A114" s="21" t="s">
        <v>932</v>
      </c>
      <c r="B114" s="21" t="s">
        <v>1220</v>
      </c>
    </row>
    <row r="115" customFormat="false" ht="15" hidden="false" customHeight="false" outlineLevel="0" collapsed="false">
      <c r="A115" s="21" t="s">
        <v>932</v>
      </c>
      <c r="B115" s="21" t="s">
        <v>1216</v>
      </c>
    </row>
    <row r="116" customFormat="false" ht="15" hidden="false" customHeight="false" outlineLevel="0" collapsed="false">
      <c r="A116" s="21" t="s">
        <v>932</v>
      </c>
      <c r="B116" s="21" t="s">
        <v>1249</v>
      </c>
    </row>
    <row r="117" customFormat="false" ht="15" hidden="false" customHeight="false" outlineLevel="0" collapsed="false">
      <c r="A117" s="21" t="s">
        <v>932</v>
      </c>
      <c r="B117" s="21" t="s">
        <v>931</v>
      </c>
    </row>
    <row r="118" customFormat="false" ht="15" hidden="false" customHeight="false" outlineLevel="0" collapsed="false">
      <c r="A118" s="21" t="s">
        <v>932</v>
      </c>
      <c r="B118" s="21" t="s">
        <v>1210</v>
      </c>
    </row>
    <row r="119" customFormat="false" ht="15" hidden="false" customHeight="false" outlineLevel="0" collapsed="false">
      <c r="A119" s="21" t="s">
        <v>932</v>
      </c>
      <c r="B119" s="21" t="s">
        <v>1212</v>
      </c>
    </row>
    <row r="120" customFormat="false" ht="15" hidden="false" customHeight="false" outlineLevel="0" collapsed="false">
      <c r="A120" s="21" t="s">
        <v>508</v>
      </c>
      <c r="B120" s="21" t="s">
        <v>507</v>
      </c>
    </row>
    <row r="121" customFormat="false" ht="15" hidden="false" customHeight="false" outlineLevel="0" collapsed="false">
      <c r="A121" s="21" t="s">
        <v>57</v>
      </c>
      <c r="B121" s="21" t="s">
        <v>794</v>
      </c>
    </row>
    <row r="122" customFormat="false" ht="15" hidden="false" customHeight="false" outlineLevel="0" collapsed="false">
      <c r="A122" s="21" t="s">
        <v>57</v>
      </c>
      <c r="B122" s="21" t="s">
        <v>840</v>
      </c>
    </row>
    <row r="123" customFormat="false" ht="15" hidden="false" customHeight="false" outlineLevel="0" collapsed="false">
      <c r="A123" s="21" t="s">
        <v>57</v>
      </c>
      <c r="B123" s="21" t="s">
        <v>843</v>
      </c>
    </row>
    <row r="124" customFormat="false" ht="15" hidden="false" customHeight="false" outlineLevel="0" collapsed="false">
      <c r="A124" s="21" t="s">
        <v>57</v>
      </c>
      <c r="B124" s="21" t="s">
        <v>176</v>
      </c>
    </row>
    <row r="125" customFormat="false" ht="15" hidden="false" customHeight="false" outlineLevel="0" collapsed="false">
      <c r="A125" s="21" t="s">
        <v>57</v>
      </c>
      <c r="B125" s="21" t="s">
        <v>730</v>
      </c>
    </row>
    <row r="126" customFormat="false" ht="15" hidden="false" customHeight="false" outlineLevel="0" collapsed="false">
      <c r="A126" s="21" t="s">
        <v>57</v>
      </c>
      <c r="B126" s="21" t="s">
        <v>857</v>
      </c>
    </row>
    <row r="127" customFormat="false" ht="15" hidden="false" customHeight="false" outlineLevel="0" collapsed="false">
      <c r="A127" s="21" t="s">
        <v>57</v>
      </c>
      <c r="B127" s="21" t="s">
        <v>859</v>
      </c>
    </row>
    <row r="128" customFormat="false" ht="15" hidden="false" customHeight="false" outlineLevel="0" collapsed="false">
      <c r="A128" s="21" t="s">
        <v>57</v>
      </c>
      <c r="B128" s="21" t="s">
        <v>703</v>
      </c>
    </row>
    <row r="129" customFormat="false" ht="15" hidden="false" customHeight="false" outlineLevel="0" collapsed="false">
      <c r="A129" s="21" t="s">
        <v>57</v>
      </c>
      <c r="B129" s="21" t="s">
        <v>858</v>
      </c>
    </row>
    <row r="130" customFormat="false" ht="15" hidden="false" customHeight="false" outlineLevel="0" collapsed="false">
      <c r="A130" s="21" t="s">
        <v>57</v>
      </c>
      <c r="B130" s="21" t="s">
        <v>812</v>
      </c>
    </row>
    <row r="131" customFormat="false" ht="15" hidden="false" customHeight="false" outlineLevel="0" collapsed="false">
      <c r="A131" s="21" t="s">
        <v>57</v>
      </c>
      <c r="B131" s="21" t="s">
        <v>602</v>
      </c>
    </row>
    <row r="132" customFormat="false" ht="15" hidden="false" customHeight="false" outlineLevel="0" collapsed="false">
      <c r="A132" s="21" t="s">
        <v>57</v>
      </c>
      <c r="B132" s="21" t="s">
        <v>656</v>
      </c>
    </row>
    <row r="133" customFormat="false" ht="15" hidden="false" customHeight="false" outlineLevel="0" collapsed="false">
      <c r="A133" s="21" t="s">
        <v>57</v>
      </c>
      <c r="B133" s="21" t="s">
        <v>803</v>
      </c>
    </row>
    <row r="134" customFormat="false" ht="15" hidden="false" customHeight="false" outlineLevel="0" collapsed="false">
      <c r="A134" s="21" t="s">
        <v>57</v>
      </c>
      <c r="B134" s="21" t="s">
        <v>1003</v>
      </c>
    </row>
    <row r="135" customFormat="false" ht="15" hidden="false" customHeight="false" outlineLevel="0" collapsed="false">
      <c r="A135" s="21" t="s">
        <v>57</v>
      </c>
      <c r="B135" s="21" t="s">
        <v>1005</v>
      </c>
    </row>
    <row r="136" customFormat="false" ht="15" hidden="false" customHeight="false" outlineLevel="0" collapsed="false">
      <c r="A136" s="21" t="s">
        <v>57</v>
      </c>
      <c r="B136" s="21" t="s">
        <v>968</v>
      </c>
    </row>
    <row r="137" customFormat="false" ht="15" hidden="false" customHeight="false" outlineLevel="0" collapsed="false">
      <c r="A137" s="21" t="s">
        <v>57</v>
      </c>
      <c r="B137" s="21" t="s">
        <v>966</v>
      </c>
    </row>
    <row r="138" customFormat="false" ht="15" hidden="false" customHeight="false" outlineLevel="0" collapsed="false">
      <c r="A138" s="21" t="s">
        <v>57</v>
      </c>
      <c r="B138" s="21" t="s">
        <v>701</v>
      </c>
    </row>
    <row r="139" customFormat="false" ht="15" hidden="false" customHeight="false" outlineLevel="0" collapsed="false">
      <c r="A139" s="21" t="s">
        <v>57</v>
      </c>
      <c r="B139" s="21" t="s">
        <v>128</v>
      </c>
    </row>
    <row r="140" customFormat="false" ht="15" hidden="false" customHeight="false" outlineLevel="0" collapsed="false">
      <c r="A140" s="21" t="s">
        <v>57</v>
      </c>
      <c r="B140" s="21" t="s">
        <v>1000</v>
      </c>
    </row>
    <row r="141" customFormat="false" ht="15" hidden="false" customHeight="false" outlineLevel="0" collapsed="false">
      <c r="A141" s="21" t="s">
        <v>57</v>
      </c>
      <c r="B141" s="21" t="s">
        <v>1001</v>
      </c>
    </row>
    <row r="142" customFormat="false" ht="15" hidden="false" customHeight="false" outlineLevel="0" collapsed="false">
      <c r="A142" s="21" t="s">
        <v>57</v>
      </c>
      <c r="B142" s="21" t="s">
        <v>1007</v>
      </c>
    </row>
    <row r="143" customFormat="false" ht="15" hidden="false" customHeight="false" outlineLevel="0" collapsed="false">
      <c r="A143" s="21" t="s">
        <v>57</v>
      </c>
      <c r="B143" s="21" t="s">
        <v>1002</v>
      </c>
    </row>
    <row r="144" customFormat="false" ht="15" hidden="false" customHeight="false" outlineLevel="0" collapsed="false">
      <c r="A144" s="21" t="s">
        <v>57</v>
      </c>
      <c r="B144" s="21" t="s">
        <v>818</v>
      </c>
    </row>
    <row r="145" customFormat="false" ht="15" hidden="false" customHeight="false" outlineLevel="0" collapsed="false">
      <c r="A145" s="21" t="s">
        <v>57</v>
      </c>
      <c r="B145" s="21" t="s">
        <v>798</v>
      </c>
    </row>
    <row r="146" customFormat="false" ht="15" hidden="false" customHeight="false" outlineLevel="0" collapsed="false">
      <c r="A146" s="21" t="s">
        <v>57</v>
      </c>
      <c r="B146" s="21" t="s">
        <v>655</v>
      </c>
    </row>
    <row r="147" customFormat="false" ht="15" hidden="false" customHeight="false" outlineLevel="0" collapsed="false">
      <c r="A147" s="21" t="s">
        <v>57</v>
      </c>
      <c r="B147" s="21" t="s">
        <v>137</v>
      </c>
    </row>
    <row r="148" customFormat="false" ht="15" hidden="false" customHeight="false" outlineLevel="0" collapsed="false">
      <c r="A148" s="21" t="s">
        <v>57</v>
      </c>
      <c r="B148" s="21" t="s">
        <v>766</v>
      </c>
    </row>
    <row r="149" customFormat="false" ht="15" hidden="false" customHeight="false" outlineLevel="0" collapsed="false">
      <c r="A149" s="21" t="s">
        <v>57</v>
      </c>
      <c r="B149" s="21" t="s">
        <v>996</v>
      </c>
    </row>
    <row r="150" customFormat="false" ht="15" hidden="false" customHeight="false" outlineLevel="0" collapsed="false">
      <c r="A150" s="21" t="s">
        <v>57</v>
      </c>
      <c r="B150" s="21" t="s">
        <v>969</v>
      </c>
    </row>
    <row r="151" customFormat="false" ht="15" hidden="false" customHeight="false" outlineLevel="0" collapsed="false">
      <c r="A151" s="21" t="s">
        <v>57</v>
      </c>
      <c r="B151" s="21" t="s">
        <v>806</v>
      </c>
    </row>
    <row r="152" customFormat="false" ht="15" hidden="false" customHeight="false" outlineLevel="0" collapsed="false">
      <c r="A152" s="21" t="s">
        <v>57</v>
      </c>
      <c r="B152" s="21" t="s">
        <v>810</v>
      </c>
    </row>
    <row r="153" customFormat="false" ht="15" hidden="false" customHeight="false" outlineLevel="0" collapsed="false">
      <c r="A153" s="21" t="s">
        <v>57</v>
      </c>
      <c r="B153" s="21" t="s">
        <v>809</v>
      </c>
    </row>
    <row r="154" customFormat="false" ht="15" hidden="false" customHeight="false" outlineLevel="0" collapsed="false">
      <c r="A154" s="21" t="s">
        <v>57</v>
      </c>
      <c r="B154" s="21" t="s">
        <v>808</v>
      </c>
    </row>
    <row r="155" customFormat="false" ht="15" hidden="false" customHeight="false" outlineLevel="0" collapsed="false">
      <c r="A155" s="21" t="s">
        <v>57</v>
      </c>
      <c r="B155" s="21" t="s">
        <v>776</v>
      </c>
    </row>
    <row r="156" customFormat="false" ht="15" hidden="false" customHeight="false" outlineLevel="0" collapsed="false">
      <c r="A156" s="21" t="s">
        <v>57</v>
      </c>
      <c r="B156" s="21" t="s">
        <v>90</v>
      </c>
    </row>
    <row r="157" customFormat="false" ht="15" hidden="false" customHeight="false" outlineLevel="0" collapsed="false">
      <c r="A157" s="21" t="s">
        <v>57</v>
      </c>
      <c r="B157" s="21" t="s">
        <v>747</v>
      </c>
    </row>
    <row r="158" customFormat="false" ht="15" hidden="false" customHeight="false" outlineLevel="0" collapsed="false">
      <c r="A158" s="21" t="s">
        <v>57</v>
      </c>
      <c r="B158" s="21" t="s">
        <v>771</v>
      </c>
    </row>
    <row r="159" customFormat="false" ht="15" hidden="false" customHeight="false" outlineLevel="0" collapsed="false">
      <c r="A159" s="21" t="s">
        <v>57</v>
      </c>
      <c r="B159" s="21" t="s">
        <v>829</v>
      </c>
    </row>
    <row r="160" customFormat="false" ht="15" hidden="false" customHeight="false" outlineLevel="0" collapsed="false">
      <c r="A160" s="21" t="s">
        <v>57</v>
      </c>
      <c r="B160" s="21" t="s">
        <v>705</v>
      </c>
    </row>
    <row r="161" customFormat="false" ht="15" hidden="false" customHeight="false" outlineLevel="0" collapsed="false">
      <c r="A161" s="21" t="s">
        <v>57</v>
      </c>
      <c r="B161" s="21" t="s">
        <v>774</v>
      </c>
    </row>
    <row r="162" customFormat="false" ht="15" hidden="false" customHeight="false" outlineLevel="0" collapsed="false">
      <c r="A162" s="21" t="s">
        <v>57</v>
      </c>
      <c r="B162" s="21" t="s">
        <v>780</v>
      </c>
    </row>
    <row r="163" customFormat="false" ht="15" hidden="false" customHeight="false" outlineLevel="0" collapsed="false">
      <c r="A163" s="21" t="s">
        <v>57</v>
      </c>
      <c r="B163" s="21" t="s">
        <v>1008</v>
      </c>
    </row>
    <row r="164" customFormat="false" ht="15" hidden="false" customHeight="false" outlineLevel="0" collapsed="false">
      <c r="A164" s="21" t="s">
        <v>57</v>
      </c>
      <c r="B164" s="21" t="s">
        <v>997</v>
      </c>
    </row>
    <row r="165" customFormat="false" ht="15" hidden="false" customHeight="false" outlineLevel="0" collapsed="false">
      <c r="A165" s="21" t="s">
        <v>57</v>
      </c>
      <c r="B165" s="21" t="s">
        <v>697</v>
      </c>
    </row>
    <row r="166" customFormat="false" ht="15" hidden="false" customHeight="false" outlineLevel="0" collapsed="false">
      <c r="A166" s="21" t="s">
        <v>57</v>
      </c>
      <c r="B166" s="21" t="s">
        <v>1010</v>
      </c>
    </row>
    <row r="167" customFormat="false" ht="15" hidden="false" customHeight="false" outlineLevel="0" collapsed="false">
      <c r="A167" s="21" t="s">
        <v>57</v>
      </c>
      <c r="B167" s="21" t="s">
        <v>700</v>
      </c>
    </row>
    <row r="168" customFormat="false" ht="15" hidden="false" customHeight="false" outlineLevel="0" collapsed="false">
      <c r="A168" s="21" t="s">
        <v>57</v>
      </c>
      <c r="B168" s="21" t="s">
        <v>702</v>
      </c>
    </row>
    <row r="169" customFormat="false" ht="15" hidden="false" customHeight="false" outlineLevel="0" collapsed="false">
      <c r="A169" s="21" t="s">
        <v>57</v>
      </c>
      <c r="B169" s="21" t="s">
        <v>698</v>
      </c>
    </row>
    <row r="170" customFormat="false" ht="15" hidden="false" customHeight="false" outlineLevel="0" collapsed="false">
      <c r="A170" s="21" t="s">
        <v>57</v>
      </c>
      <c r="B170" s="21" t="s">
        <v>991</v>
      </c>
    </row>
    <row r="171" customFormat="false" ht="15" hidden="false" customHeight="false" outlineLevel="0" collapsed="false">
      <c r="A171" s="21" t="s">
        <v>57</v>
      </c>
      <c r="B171" s="21" t="s">
        <v>781</v>
      </c>
    </row>
    <row r="172" customFormat="false" ht="15" hidden="false" customHeight="false" outlineLevel="0" collapsed="false">
      <c r="A172" s="21" t="s">
        <v>57</v>
      </c>
      <c r="B172" s="21" t="s">
        <v>842</v>
      </c>
    </row>
    <row r="173" customFormat="false" ht="15" hidden="false" customHeight="false" outlineLevel="0" collapsed="false">
      <c r="A173" s="21" t="s">
        <v>57</v>
      </c>
      <c r="B173" s="21" t="s">
        <v>999</v>
      </c>
    </row>
    <row r="174" customFormat="false" ht="15" hidden="false" customHeight="false" outlineLevel="0" collapsed="false">
      <c r="A174" s="21" t="s">
        <v>57</v>
      </c>
      <c r="B174" s="21" t="s">
        <v>995</v>
      </c>
    </row>
    <row r="175" customFormat="false" ht="15" hidden="false" customHeight="false" outlineLevel="0" collapsed="false">
      <c r="A175" s="21" t="s">
        <v>57</v>
      </c>
      <c r="B175" s="21" t="s">
        <v>998</v>
      </c>
    </row>
    <row r="176" customFormat="false" ht="15" hidden="false" customHeight="false" outlineLevel="0" collapsed="false">
      <c r="A176" s="21" t="s">
        <v>57</v>
      </c>
      <c r="B176" s="21" t="s">
        <v>981</v>
      </c>
    </row>
    <row r="177" customFormat="false" ht="15" hidden="false" customHeight="false" outlineLevel="0" collapsed="false">
      <c r="A177" s="21" t="s">
        <v>57</v>
      </c>
      <c r="B177" s="21" t="s">
        <v>830</v>
      </c>
    </row>
    <row r="178" customFormat="false" ht="15" hidden="false" customHeight="false" outlineLevel="0" collapsed="false">
      <c r="A178" s="21" t="s">
        <v>57</v>
      </c>
      <c r="B178" s="21" t="s">
        <v>779</v>
      </c>
    </row>
    <row r="179" customFormat="false" ht="15" hidden="false" customHeight="false" outlineLevel="0" collapsed="false">
      <c r="A179" s="21" t="s">
        <v>57</v>
      </c>
      <c r="B179" s="21" t="s">
        <v>989</v>
      </c>
    </row>
    <row r="180" customFormat="false" ht="15" hidden="false" customHeight="false" outlineLevel="0" collapsed="false">
      <c r="A180" s="21" t="s">
        <v>57</v>
      </c>
      <c r="B180" s="21" t="s">
        <v>987</v>
      </c>
    </row>
    <row r="181" customFormat="false" ht="15" hidden="false" customHeight="false" outlineLevel="0" collapsed="false">
      <c r="A181" s="21" t="s">
        <v>57</v>
      </c>
      <c r="B181" s="21" t="s">
        <v>990</v>
      </c>
    </row>
    <row r="182" customFormat="false" ht="15" hidden="false" customHeight="false" outlineLevel="0" collapsed="false">
      <c r="A182" s="21" t="s">
        <v>57</v>
      </c>
      <c r="B182" s="21" t="s">
        <v>717</v>
      </c>
    </row>
    <row r="183" customFormat="false" ht="15" hidden="false" customHeight="false" outlineLevel="0" collapsed="false">
      <c r="A183" s="21" t="s">
        <v>57</v>
      </c>
      <c r="B183" s="21" t="s">
        <v>984</v>
      </c>
    </row>
    <row r="184" customFormat="false" ht="15" hidden="false" customHeight="false" outlineLevel="0" collapsed="false">
      <c r="A184" s="21" t="s">
        <v>57</v>
      </c>
      <c r="B184" s="21" t="s">
        <v>983</v>
      </c>
    </row>
    <row r="185" customFormat="false" ht="15" hidden="false" customHeight="false" outlineLevel="0" collapsed="false">
      <c r="A185" s="21" t="s">
        <v>57</v>
      </c>
      <c r="B185" s="21" t="s">
        <v>976</v>
      </c>
    </row>
    <row r="186" customFormat="false" ht="15" hidden="false" customHeight="false" outlineLevel="0" collapsed="false">
      <c r="A186" s="21" t="s">
        <v>57</v>
      </c>
      <c r="B186" s="21" t="s">
        <v>627</v>
      </c>
    </row>
    <row r="187" customFormat="false" ht="15" hidden="false" customHeight="false" outlineLevel="0" collapsed="false">
      <c r="A187" s="21" t="s">
        <v>57</v>
      </c>
      <c r="B187" s="21" t="s">
        <v>183</v>
      </c>
    </row>
    <row r="188" customFormat="false" ht="15" hidden="false" customHeight="false" outlineLevel="0" collapsed="false">
      <c r="A188" s="21" t="s">
        <v>57</v>
      </c>
      <c r="B188" s="21" t="s">
        <v>714</v>
      </c>
    </row>
    <row r="189" customFormat="false" ht="15" hidden="false" customHeight="false" outlineLevel="0" collapsed="false">
      <c r="A189" s="21" t="s">
        <v>57</v>
      </c>
      <c r="B189" s="21" t="s">
        <v>787</v>
      </c>
    </row>
    <row r="190" customFormat="false" ht="15" hidden="false" customHeight="false" outlineLevel="0" collapsed="false">
      <c r="A190" s="21" t="s">
        <v>57</v>
      </c>
      <c r="B190" s="21" t="s">
        <v>1282</v>
      </c>
    </row>
    <row r="191" customFormat="false" ht="15" hidden="false" customHeight="false" outlineLevel="0" collapsed="false">
      <c r="A191" s="21" t="s">
        <v>57</v>
      </c>
      <c r="B191" s="21" t="s">
        <v>985</v>
      </c>
    </row>
    <row r="192" customFormat="false" ht="15" hidden="false" customHeight="false" outlineLevel="0" collapsed="false">
      <c r="A192" s="21" t="s">
        <v>57</v>
      </c>
      <c r="B192" s="21" t="s">
        <v>644</v>
      </c>
    </row>
    <row r="193" customFormat="false" ht="15" hidden="false" customHeight="false" outlineLevel="0" collapsed="false">
      <c r="A193" s="21" t="s">
        <v>57</v>
      </c>
      <c r="B193" s="21" t="s">
        <v>484</v>
      </c>
    </row>
    <row r="194" customFormat="false" ht="15" hidden="false" customHeight="false" outlineLevel="0" collapsed="false">
      <c r="A194" s="21" t="s">
        <v>57</v>
      </c>
      <c r="B194" s="21" t="s">
        <v>631</v>
      </c>
    </row>
    <row r="195" customFormat="false" ht="15" hidden="false" customHeight="false" outlineLevel="0" collapsed="false">
      <c r="A195" s="21" t="s">
        <v>57</v>
      </c>
      <c r="B195" s="21" t="s">
        <v>667</v>
      </c>
    </row>
    <row r="196" customFormat="false" ht="15" hidden="false" customHeight="false" outlineLevel="0" collapsed="false">
      <c r="A196" s="21" t="s">
        <v>57</v>
      </c>
      <c r="B196" s="21" t="s">
        <v>642</v>
      </c>
    </row>
    <row r="197" customFormat="false" ht="15" hidden="false" customHeight="false" outlineLevel="0" collapsed="false">
      <c r="A197" s="21" t="s">
        <v>57</v>
      </c>
      <c r="B197" s="21" t="s">
        <v>740</v>
      </c>
    </row>
    <row r="198" customFormat="false" ht="15" hidden="false" customHeight="false" outlineLevel="0" collapsed="false">
      <c r="A198" s="21" t="s">
        <v>57</v>
      </c>
      <c r="B198" s="21" t="s">
        <v>744</v>
      </c>
    </row>
    <row r="199" customFormat="false" ht="15" hidden="false" customHeight="false" outlineLevel="0" collapsed="false">
      <c r="A199" s="21" t="s">
        <v>57</v>
      </c>
      <c r="B199" s="21" t="s">
        <v>1306</v>
      </c>
    </row>
    <row r="200" customFormat="false" ht="15" hidden="false" customHeight="false" outlineLevel="0" collapsed="false">
      <c r="A200" s="21" t="s">
        <v>57</v>
      </c>
      <c r="B200" s="21" t="s">
        <v>752</v>
      </c>
    </row>
    <row r="201" customFormat="false" ht="15" hidden="false" customHeight="false" outlineLevel="0" collapsed="false">
      <c r="A201" s="21" t="s">
        <v>57</v>
      </c>
      <c r="B201" s="21" t="s">
        <v>749</v>
      </c>
    </row>
    <row r="202" customFormat="false" ht="15" hidden="false" customHeight="false" outlineLevel="0" collapsed="false">
      <c r="A202" s="21" t="s">
        <v>57</v>
      </c>
      <c r="B202" s="21" t="s">
        <v>742</v>
      </c>
    </row>
    <row r="203" customFormat="false" ht="15" hidden="false" customHeight="false" outlineLevel="0" collapsed="false">
      <c r="A203" s="21" t="s">
        <v>57</v>
      </c>
      <c r="B203" s="21" t="s">
        <v>802</v>
      </c>
    </row>
    <row r="204" customFormat="false" ht="15" hidden="false" customHeight="false" outlineLevel="0" collapsed="false">
      <c r="A204" s="21" t="s">
        <v>57</v>
      </c>
      <c r="B204" s="21" t="s">
        <v>765</v>
      </c>
    </row>
    <row r="205" customFormat="false" ht="15" hidden="false" customHeight="false" outlineLevel="0" collapsed="false">
      <c r="A205" s="21" t="s">
        <v>57</v>
      </c>
      <c r="B205" s="21" t="s">
        <v>751</v>
      </c>
    </row>
    <row r="206" customFormat="false" ht="15" hidden="false" customHeight="false" outlineLevel="0" collapsed="false">
      <c r="A206" s="21" t="s">
        <v>57</v>
      </c>
      <c r="B206" s="21" t="s">
        <v>756</v>
      </c>
    </row>
    <row r="207" customFormat="false" ht="15" hidden="false" customHeight="false" outlineLevel="0" collapsed="false">
      <c r="A207" s="21" t="s">
        <v>57</v>
      </c>
      <c r="B207" s="21" t="s">
        <v>733</v>
      </c>
    </row>
    <row r="208" customFormat="false" ht="15" hidden="false" customHeight="false" outlineLevel="0" collapsed="false">
      <c r="A208" s="21" t="s">
        <v>57</v>
      </c>
      <c r="B208" s="21" t="s">
        <v>1313</v>
      </c>
    </row>
    <row r="209" customFormat="false" ht="15" hidden="false" customHeight="false" outlineLevel="0" collapsed="false">
      <c r="A209" s="21" t="s">
        <v>57</v>
      </c>
      <c r="B209" s="21" t="s">
        <v>616</v>
      </c>
    </row>
    <row r="210" customFormat="false" ht="15" hidden="false" customHeight="false" outlineLevel="0" collapsed="false">
      <c r="A210" s="21" t="s">
        <v>57</v>
      </c>
      <c r="B210" s="21" t="s">
        <v>837</v>
      </c>
    </row>
    <row r="211" customFormat="false" ht="15" hidden="false" customHeight="false" outlineLevel="0" collapsed="false">
      <c r="A211" s="21" t="s">
        <v>57</v>
      </c>
      <c r="B211" s="21" t="s">
        <v>757</v>
      </c>
    </row>
    <row r="212" customFormat="false" ht="15" hidden="false" customHeight="false" outlineLevel="0" collapsed="false">
      <c r="A212" s="21" t="s">
        <v>57</v>
      </c>
      <c r="B212" s="21" t="s">
        <v>753</v>
      </c>
    </row>
    <row r="213" customFormat="false" ht="15" hidden="false" customHeight="false" outlineLevel="0" collapsed="false">
      <c r="A213" s="21" t="s">
        <v>57</v>
      </c>
      <c r="B213" s="21" t="s">
        <v>760</v>
      </c>
    </row>
    <row r="214" customFormat="false" ht="15" hidden="false" customHeight="false" outlineLevel="0" collapsed="false">
      <c r="A214" s="21" t="s">
        <v>57</v>
      </c>
      <c r="B214" s="21" t="s">
        <v>77</v>
      </c>
    </row>
    <row r="215" customFormat="false" ht="15" hidden="false" customHeight="false" outlineLevel="0" collapsed="false">
      <c r="A215" s="21" t="s">
        <v>57</v>
      </c>
      <c r="B215" s="21" t="s">
        <v>1311</v>
      </c>
    </row>
    <row r="216" customFormat="false" ht="15" hidden="false" customHeight="false" outlineLevel="0" collapsed="false">
      <c r="A216" s="21" t="s">
        <v>57</v>
      </c>
      <c r="B216" s="21" t="s">
        <v>1283</v>
      </c>
    </row>
    <row r="217" customFormat="false" ht="15" hidden="false" customHeight="false" outlineLevel="0" collapsed="false">
      <c r="A217" s="21" t="s">
        <v>57</v>
      </c>
      <c r="B217" s="21" t="s">
        <v>1279</v>
      </c>
    </row>
    <row r="218" customFormat="false" ht="15" hidden="false" customHeight="false" outlineLevel="0" collapsed="false">
      <c r="A218" s="21" t="s">
        <v>57</v>
      </c>
      <c r="B218" s="21" t="s">
        <v>1284</v>
      </c>
    </row>
    <row r="219" customFormat="false" ht="15" hidden="false" customHeight="false" outlineLevel="0" collapsed="false">
      <c r="A219" s="21" t="s">
        <v>57</v>
      </c>
      <c r="B219" s="21" t="s">
        <v>1299</v>
      </c>
    </row>
    <row r="220" customFormat="false" ht="15" hidden="false" customHeight="false" outlineLevel="0" collapsed="false">
      <c r="A220" s="21" t="s">
        <v>57</v>
      </c>
      <c r="B220" s="21" t="s">
        <v>1304</v>
      </c>
    </row>
    <row r="221" customFormat="false" ht="15" hidden="false" customHeight="false" outlineLevel="0" collapsed="false">
      <c r="A221" s="21" t="s">
        <v>57</v>
      </c>
      <c r="B221" s="21" t="s">
        <v>651</v>
      </c>
    </row>
    <row r="222" customFormat="false" ht="15" hidden="false" customHeight="false" outlineLevel="0" collapsed="false">
      <c r="A222" s="21" t="s">
        <v>57</v>
      </c>
      <c r="B222" s="21" t="s">
        <v>686</v>
      </c>
    </row>
    <row r="223" customFormat="false" ht="15" hidden="false" customHeight="false" outlineLevel="0" collapsed="false">
      <c r="A223" s="21" t="s">
        <v>57</v>
      </c>
      <c r="B223" s="21" t="s">
        <v>1236</v>
      </c>
    </row>
    <row r="224" customFormat="false" ht="15" hidden="false" customHeight="false" outlineLevel="0" collapsed="false">
      <c r="A224" s="21" t="s">
        <v>57</v>
      </c>
      <c r="B224" s="21" t="s">
        <v>1286</v>
      </c>
    </row>
    <row r="225" customFormat="false" ht="15" hidden="false" customHeight="false" outlineLevel="0" collapsed="false">
      <c r="A225" s="21" t="s">
        <v>57</v>
      </c>
      <c r="B225" s="21" t="s">
        <v>1290</v>
      </c>
    </row>
    <row r="226" customFormat="false" ht="15" hidden="false" customHeight="false" outlineLevel="0" collapsed="false">
      <c r="A226" s="21" t="s">
        <v>57</v>
      </c>
      <c r="B226" s="21" t="s">
        <v>1280</v>
      </c>
    </row>
    <row r="227" customFormat="false" ht="15" hidden="false" customHeight="false" outlineLevel="0" collapsed="false">
      <c r="A227" s="21" t="s">
        <v>57</v>
      </c>
      <c r="B227" s="21" t="s">
        <v>767</v>
      </c>
    </row>
    <row r="228" customFormat="false" ht="15" hidden="false" customHeight="false" outlineLevel="0" collapsed="false">
      <c r="A228" s="21" t="s">
        <v>57</v>
      </c>
      <c r="B228" s="21" t="s">
        <v>777</v>
      </c>
    </row>
    <row r="229" customFormat="false" ht="15" hidden="false" customHeight="false" outlineLevel="0" collapsed="false">
      <c r="A229" s="21" t="s">
        <v>57</v>
      </c>
      <c r="B229" s="21" t="s">
        <v>831</v>
      </c>
    </row>
    <row r="230" customFormat="false" ht="15" hidden="false" customHeight="false" outlineLevel="0" collapsed="false">
      <c r="A230" s="21" t="s">
        <v>57</v>
      </c>
      <c r="B230" s="21" t="s">
        <v>613</v>
      </c>
    </row>
    <row r="231" customFormat="false" ht="15" hidden="false" customHeight="false" outlineLevel="0" collapsed="false">
      <c r="A231" s="21" t="s">
        <v>57</v>
      </c>
      <c r="B231" s="21" t="s">
        <v>611</v>
      </c>
    </row>
    <row r="232" customFormat="false" ht="15" hidden="false" customHeight="false" outlineLevel="0" collapsed="false">
      <c r="A232" s="21" t="s">
        <v>57</v>
      </c>
      <c r="B232" s="21" t="s">
        <v>1218</v>
      </c>
    </row>
    <row r="233" customFormat="false" ht="15" hidden="false" customHeight="false" outlineLevel="0" collapsed="false">
      <c r="A233" s="21" t="s">
        <v>57</v>
      </c>
      <c r="B233" s="21" t="s">
        <v>1367</v>
      </c>
    </row>
    <row r="234" customFormat="false" ht="15" hidden="false" customHeight="false" outlineLevel="0" collapsed="false">
      <c r="A234" s="21" t="s">
        <v>57</v>
      </c>
      <c r="B234" s="21" t="s">
        <v>1366</v>
      </c>
    </row>
    <row r="235" customFormat="false" ht="15" hidden="false" customHeight="false" outlineLevel="0" collapsed="false">
      <c r="A235" s="21" t="s">
        <v>57</v>
      </c>
      <c r="B235" s="21" t="s">
        <v>1230</v>
      </c>
    </row>
    <row r="236" customFormat="false" ht="15" hidden="false" customHeight="false" outlineLevel="0" collapsed="false">
      <c r="A236" s="21" t="s">
        <v>57</v>
      </c>
      <c r="B236" s="21" t="s">
        <v>1381</v>
      </c>
    </row>
    <row r="237" customFormat="false" ht="15" hidden="false" customHeight="false" outlineLevel="0" collapsed="false">
      <c r="A237" s="21" t="s">
        <v>57</v>
      </c>
      <c r="B237" s="21" t="s">
        <v>645</v>
      </c>
    </row>
    <row r="238" customFormat="false" ht="15" hidden="false" customHeight="false" outlineLevel="0" collapsed="false">
      <c r="A238" s="21" t="s">
        <v>57</v>
      </c>
      <c r="B238" s="21" t="s">
        <v>638</v>
      </c>
    </row>
    <row r="239" customFormat="false" ht="15" hidden="false" customHeight="false" outlineLevel="0" collapsed="false">
      <c r="A239" s="21" t="s">
        <v>57</v>
      </c>
      <c r="B239" s="21" t="s">
        <v>817</v>
      </c>
    </row>
    <row r="240" customFormat="false" ht="15" hidden="false" customHeight="false" outlineLevel="0" collapsed="false">
      <c r="A240" s="21" t="s">
        <v>57</v>
      </c>
      <c r="B240" s="21" t="s">
        <v>820</v>
      </c>
    </row>
    <row r="241" customFormat="false" ht="15" hidden="false" customHeight="false" outlineLevel="0" collapsed="false">
      <c r="A241" s="21" t="s">
        <v>57</v>
      </c>
      <c r="B241" s="21" t="s">
        <v>738</v>
      </c>
    </row>
    <row r="242" customFormat="false" ht="15" hidden="false" customHeight="false" outlineLevel="0" collapsed="false">
      <c r="A242" s="21" t="s">
        <v>57</v>
      </c>
      <c r="B242" s="21" t="s">
        <v>175</v>
      </c>
    </row>
    <row r="243" customFormat="false" ht="15" hidden="false" customHeight="false" outlineLevel="0" collapsed="false">
      <c r="A243" s="21" t="s">
        <v>57</v>
      </c>
      <c r="B243" s="21" t="s">
        <v>125</v>
      </c>
    </row>
    <row r="244" customFormat="false" ht="15" hidden="false" customHeight="false" outlineLevel="0" collapsed="false">
      <c r="A244" s="21" t="s">
        <v>57</v>
      </c>
      <c r="B244" s="21" t="s">
        <v>935</v>
      </c>
    </row>
    <row r="245" customFormat="false" ht="15" hidden="false" customHeight="false" outlineLevel="0" collapsed="false">
      <c r="A245" s="21" t="s">
        <v>57</v>
      </c>
      <c r="B245" s="21" t="s">
        <v>209</v>
      </c>
    </row>
    <row r="246" customFormat="false" ht="15" hidden="false" customHeight="false" outlineLevel="0" collapsed="false">
      <c r="A246" s="21" t="s">
        <v>57</v>
      </c>
      <c r="B246" s="21" t="s">
        <v>174</v>
      </c>
    </row>
    <row r="247" customFormat="false" ht="15" hidden="false" customHeight="false" outlineLevel="0" collapsed="false">
      <c r="A247" s="21" t="s">
        <v>57</v>
      </c>
      <c r="B247" s="21" t="s">
        <v>677</v>
      </c>
    </row>
    <row r="248" customFormat="false" ht="15" hidden="false" customHeight="false" outlineLevel="0" collapsed="false">
      <c r="A248" s="21" t="s">
        <v>57</v>
      </c>
      <c r="B248" s="21" t="s">
        <v>755</v>
      </c>
    </row>
    <row r="249" customFormat="false" ht="15" hidden="false" customHeight="false" outlineLevel="0" collapsed="false">
      <c r="A249" s="21" t="s">
        <v>57</v>
      </c>
      <c r="B249" s="21" t="s">
        <v>629</v>
      </c>
    </row>
    <row r="250" customFormat="false" ht="15" hidden="false" customHeight="false" outlineLevel="0" collapsed="false">
      <c r="A250" s="21" t="s">
        <v>57</v>
      </c>
      <c r="B250" s="21" t="s">
        <v>172</v>
      </c>
    </row>
    <row r="251" customFormat="false" ht="15" hidden="false" customHeight="false" outlineLevel="0" collapsed="false">
      <c r="A251" s="21" t="s">
        <v>57</v>
      </c>
      <c r="B251" s="21" t="s">
        <v>832</v>
      </c>
    </row>
    <row r="252" customFormat="false" ht="15" hidden="false" customHeight="false" outlineLevel="0" collapsed="false">
      <c r="A252" s="21" t="s">
        <v>57</v>
      </c>
      <c r="B252" s="21" t="s">
        <v>1390</v>
      </c>
    </row>
    <row r="253" customFormat="false" ht="15" hidden="false" customHeight="false" outlineLevel="0" collapsed="false">
      <c r="A253" s="21" t="s">
        <v>57</v>
      </c>
      <c r="B253" s="21" t="s">
        <v>938</v>
      </c>
    </row>
    <row r="254" customFormat="false" ht="15" hidden="false" customHeight="false" outlineLevel="0" collapsed="false">
      <c r="A254" s="21" t="s">
        <v>57</v>
      </c>
      <c r="B254" s="21" t="s">
        <v>936</v>
      </c>
    </row>
    <row r="255" customFormat="false" ht="15" hidden="false" customHeight="false" outlineLevel="0" collapsed="false">
      <c r="A255" s="21" t="s">
        <v>57</v>
      </c>
      <c r="B255" s="21" t="s">
        <v>758</v>
      </c>
    </row>
    <row r="256" customFormat="false" ht="15" hidden="false" customHeight="false" outlineLevel="0" collapsed="false">
      <c r="A256" s="21" t="s">
        <v>57</v>
      </c>
      <c r="B256" s="21" t="s">
        <v>824</v>
      </c>
    </row>
    <row r="257" customFormat="false" ht="15" hidden="false" customHeight="false" outlineLevel="0" collapsed="false">
      <c r="A257" s="21" t="s">
        <v>57</v>
      </c>
      <c r="B257" s="21" t="s">
        <v>821</v>
      </c>
    </row>
    <row r="258" customFormat="false" ht="15" hidden="false" customHeight="false" outlineLevel="0" collapsed="false">
      <c r="A258" s="21" t="s">
        <v>57</v>
      </c>
      <c r="B258" s="21" t="s">
        <v>825</v>
      </c>
    </row>
    <row r="259" customFormat="false" ht="15" hidden="false" customHeight="false" outlineLevel="0" collapsed="false">
      <c r="A259" s="21" t="s">
        <v>57</v>
      </c>
      <c r="B259" s="21" t="s">
        <v>823</v>
      </c>
    </row>
    <row r="260" customFormat="false" ht="15" hidden="false" customHeight="false" outlineLevel="0" collapsed="false">
      <c r="A260" s="21" t="s">
        <v>57</v>
      </c>
      <c r="B260" s="21" t="s">
        <v>675</v>
      </c>
    </row>
    <row r="261" customFormat="false" ht="15" hidden="false" customHeight="false" outlineLevel="0" collapsed="false">
      <c r="A261" s="21" t="s">
        <v>57</v>
      </c>
      <c r="B261" s="21" t="s">
        <v>674</v>
      </c>
    </row>
    <row r="262" customFormat="false" ht="15" hidden="false" customHeight="false" outlineLevel="0" collapsed="false">
      <c r="A262" s="21" t="s">
        <v>57</v>
      </c>
      <c r="B262" s="21" t="s">
        <v>676</v>
      </c>
    </row>
    <row r="263" customFormat="false" ht="15" hidden="false" customHeight="false" outlineLevel="0" collapsed="false">
      <c r="A263" s="21" t="s">
        <v>57</v>
      </c>
      <c r="B263" s="21" t="s">
        <v>762</v>
      </c>
    </row>
    <row r="264" customFormat="false" ht="15" hidden="false" customHeight="false" outlineLevel="0" collapsed="false">
      <c r="A264" s="21" t="s">
        <v>57</v>
      </c>
      <c r="B264" s="21" t="s">
        <v>763</v>
      </c>
    </row>
    <row r="265" customFormat="false" ht="15" hidden="false" customHeight="false" outlineLevel="0" collapsed="false">
      <c r="A265" s="21" t="s">
        <v>57</v>
      </c>
      <c r="B265" s="21" t="s">
        <v>142</v>
      </c>
    </row>
    <row r="266" customFormat="false" ht="15" hidden="false" customHeight="false" outlineLevel="0" collapsed="false">
      <c r="A266" s="21" t="s">
        <v>57</v>
      </c>
      <c r="B266" s="21" t="s">
        <v>827</v>
      </c>
    </row>
    <row r="267" customFormat="false" ht="15" hidden="false" customHeight="false" outlineLevel="0" collapsed="false">
      <c r="A267" s="21" t="s">
        <v>57</v>
      </c>
      <c r="B267" s="21" t="s">
        <v>1222</v>
      </c>
    </row>
    <row r="268" customFormat="false" ht="15" hidden="false" customHeight="false" outlineLevel="0" collapsed="false">
      <c r="A268" s="21" t="s">
        <v>57</v>
      </c>
      <c r="B268" s="21" t="s">
        <v>729</v>
      </c>
    </row>
    <row r="269" customFormat="false" ht="15" hidden="false" customHeight="false" outlineLevel="0" collapsed="false">
      <c r="A269" s="21" t="s">
        <v>57</v>
      </c>
      <c r="B269" s="21" t="s">
        <v>853</v>
      </c>
    </row>
    <row r="270" customFormat="false" ht="15" hidden="false" customHeight="false" outlineLevel="0" collapsed="false">
      <c r="A270" s="21" t="s">
        <v>57</v>
      </c>
      <c r="B270" s="21" t="s">
        <v>795</v>
      </c>
    </row>
    <row r="271" customFormat="false" ht="15" hidden="false" customHeight="false" outlineLevel="0" collapsed="false">
      <c r="A271" s="21" t="s">
        <v>57</v>
      </c>
      <c r="B271" s="21" t="s">
        <v>135</v>
      </c>
    </row>
    <row r="272" customFormat="false" ht="15" hidden="false" customHeight="false" outlineLevel="0" collapsed="false">
      <c r="A272" s="21" t="s">
        <v>57</v>
      </c>
      <c r="B272" s="21" t="s">
        <v>797</v>
      </c>
    </row>
    <row r="273" customFormat="false" ht="15" hidden="false" customHeight="false" outlineLevel="0" collapsed="false">
      <c r="A273" s="21" t="s">
        <v>57</v>
      </c>
      <c r="B273" s="21" t="s">
        <v>748</v>
      </c>
    </row>
    <row r="274" customFormat="false" ht="15" hidden="false" customHeight="false" outlineLevel="0" collapsed="false">
      <c r="A274" s="21" t="s">
        <v>57</v>
      </c>
      <c r="B274" s="21" t="s">
        <v>845</v>
      </c>
    </row>
    <row r="275" customFormat="false" ht="15" hidden="false" customHeight="false" outlineLevel="0" collapsed="false">
      <c r="A275" s="21" t="s">
        <v>57</v>
      </c>
      <c r="B275" s="21" t="s">
        <v>844</v>
      </c>
    </row>
    <row r="276" customFormat="false" ht="15" hidden="false" customHeight="false" outlineLevel="0" collapsed="false">
      <c r="A276" s="21" t="s">
        <v>57</v>
      </c>
      <c r="B276" s="21" t="s">
        <v>1118</v>
      </c>
    </row>
    <row r="277" customFormat="false" ht="15" hidden="false" customHeight="false" outlineLevel="0" collapsed="false">
      <c r="A277" s="21" t="s">
        <v>57</v>
      </c>
      <c r="B277" s="21" t="s">
        <v>681</v>
      </c>
    </row>
    <row r="278" customFormat="false" ht="15" hidden="false" customHeight="false" outlineLevel="0" collapsed="false">
      <c r="A278" s="21" t="s">
        <v>57</v>
      </c>
      <c r="B278" s="21" t="s">
        <v>679</v>
      </c>
    </row>
    <row r="279" customFormat="false" ht="15" hidden="false" customHeight="false" outlineLevel="0" collapsed="false">
      <c r="A279" s="21" t="s">
        <v>57</v>
      </c>
      <c r="B279" s="21" t="s">
        <v>833</v>
      </c>
    </row>
    <row r="280" customFormat="false" ht="15" hidden="false" customHeight="false" outlineLevel="0" collapsed="false">
      <c r="A280" s="21" t="s">
        <v>57</v>
      </c>
      <c r="B280" s="21" t="s">
        <v>123</v>
      </c>
    </row>
    <row r="281" customFormat="false" ht="15" hidden="false" customHeight="false" outlineLevel="0" collapsed="false">
      <c r="A281" s="21" t="s">
        <v>57</v>
      </c>
      <c r="B281" s="21" t="s">
        <v>994</v>
      </c>
    </row>
    <row r="282" customFormat="false" ht="15" hidden="false" customHeight="false" outlineLevel="0" collapsed="false">
      <c r="A282" s="21" t="s">
        <v>57</v>
      </c>
      <c r="B282" s="21" t="s">
        <v>993</v>
      </c>
    </row>
    <row r="283" customFormat="false" ht="15" hidden="false" customHeight="false" outlineLevel="0" collapsed="false">
      <c r="A283" s="21" t="s">
        <v>57</v>
      </c>
      <c r="B283" s="21" t="s">
        <v>634</v>
      </c>
    </row>
    <row r="284" customFormat="false" ht="15" hidden="false" customHeight="false" outlineLevel="0" collapsed="false">
      <c r="A284" s="21" t="s">
        <v>57</v>
      </c>
      <c r="B284" s="21" t="s">
        <v>1315</v>
      </c>
    </row>
    <row r="285" customFormat="false" ht="15" hidden="false" customHeight="false" outlineLevel="0" collapsed="false">
      <c r="A285" s="21" t="s">
        <v>57</v>
      </c>
      <c r="B285" s="21" t="s">
        <v>649</v>
      </c>
    </row>
    <row r="286" customFormat="false" ht="15" hidden="false" customHeight="false" outlineLevel="0" collapsed="false">
      <c r="A286" s="21" t="s">
        <v>57</v>
      </c>
      <c r="B286" s="21" t="s">
        <v>1276</v>
      </c>
    </row>
    <row r="287" customFormat="false" ht="15" hidden="false" customHeight="false" outlineLevel="0" collapsed="false">
      <c r="A287" s="21" t="s">
        <v>57</v>
      </c>
      <c r="B287" s="21" t="s">
        <v>554</v>
      </c>
    </row>
    <row r="288" customFormat="false" ht="15" hidden="false" customHeight="false" outlineLevel="0" collapsed="false">
      <c r="A288" s="21" t="s">
        <v>57</v>
      </c>
      <c r="B288" s="21" t="s">
        <v>712</v>
      </c>
    </row>
    <row r="289" customFormat="false" ht="15" hidden="false" customHeight="false" outlineLevel="0" collapsed="false">
      <c r="A289" s="21" t="s">
        <v>57</v>
      </c>
      <c r="B289" s="21" t="s">
        <v>709</v>
      </c>
    </row>
    <row r="290" customFormat="false" ht="15" hidden="false" customHeight="false" outlineLevel="0" collapsed="false">
      <c r="A290" s="21" t="s">
        <v>57</v>
      </c>
      <c r="B290" s="21" t="s">
        <v>713</v>
      </c>
    </row>
    <row r="291" customFormat="false" ht="15" hidden="false" customHeight="false" outlineLevel="0" collapsed="false">
      <c r="A291" s="21" t="s">
        <v>57</v>
      </c>
      <c r="B291" s="21" t="s">
        <v>711</v>
      </c>
    </row>
    <row r="292" customFormat="false" ht="15" hidden="false" customHeight="false" outlineLevel="0" collapsed="false">
      <c r="A292" s="21" t="s">
        <v>57</v>
      </c>
      <c r="B292" s="21" t="s">
        <v>708</v>
      </c>
    </row>
    <row r="293" customFormat="false" ht="15" hidden="false" customHeight="false" outlineLevel="0" collapsed="false">
      <c r="A293" s="21" t="s">
        <v>57</v>
      </c>
      <c r="B293" s="21" t="s">
        <v>706</v>
      </c>
    </row>
    <row r="294" customFormat="false" ht="15" hidden="false" customHeight="false" outlineLevel="0" collapsed="false">
      <c r="A294" s="21" t="s">
        <v>57</v>
      </c>
      <c r="B294" s="21" t="s">
        <v>716</v>
      </c>
    </row>
    <row r="295" customFormat="false" ht="15" hidden="false" customHeight="false" outlineLevel="0" collapsed="false">
      <c r="A295" s="21" t="s">
        <v>57</v>
      </c>
      <c r="B295" s="21" t="s">
        <v>718</v>
      </c>
    </row>
    <row r="296" customFormat="false" ht="15" hidden="false" customHeight="false" outlineLevel="0" collapsed="false">
      <c r="A296" s="21" t="s">
        <v>57</v>
      </c>
      <c r="B296" s="21" t="s">
        <v>785</v>
      </c>
    </row>
    <row r="297" customFormat="false" ht="15" hidden="false" customHeight="false" outlineLevel="0" collapsed="false">
      <c r="A297" s="21" t="s">
        <v>57</v>
      </c>
      <c r="B297" s="21" t="s">
        <v>789</v>
      </c>
    </row>
    <row r="298" customFormat="false" ht="15" hidden="false" customHeight="false" outlineLevel="0" collapsed="false">
      <c r="A298" s="21" t="s">
        <v>57</v>
      </c>
      <c r="B298" s="21" t="s">
        <v>220</v>
      </c>
    </row>
    <row r="299" customFormat="false" ht="15" hidden="false" customHeight="false" outlineLevel="0" collapsed="false">
      <c r="A299" s="21" t="s">
        <v>57</v>
      </c>
      <c r="B299" s="21" t="s">
        <v>813</v>
      </c>
    </row>
    <row r="300" customFormat="false" ht="15" hidden="false" customHeight="false" outlineLevel="0" collapsed="false">
      <c r="A300" s="21" t="s">
        <v>57</v>
      </c>
      <c r="B300" s="21" t="s">
        <v>790</v>
      </c>
    </row>
    <row r="301" customFormat="false" ht="15" hidden="false" customHeight="false" outlineLevel="0" collapsed="false">
      <c r="A301" s="21" t="s">
        <v>57</v>
      </c>
      <c r="B301" s="21" t="s">
        <v>974</v>
      </c>
    </row>
    <row r="302" customFormat="false" ht="15" hidden="false" customHeight="false" outlineLevel="0" collapsed="false">
      <c r="A302" s="21" t="s">
        <v>57</v>
      </c>
      <c r="B302" s="21" t="s">
        <v>972</v>
      </c>
    </row>
    <row r="303" customFormat="false" ht="15" hidden="false" customHeight="false" outlineLevel="0" collapsed="false">
      <c r="A303" s="21" t="s">
        <v>57</v>
      </c>
      <c r="B303" s="21" t="s">
        <v>975</v>
      </c>
    </row>
    <row r="304" customFormat="false" ht="15" hidden="false" customHeight="false" outlineLevel="0" collapsed="false">
      <c r="A304" s="21" t="s">
        <v>57</v>
      </c>
      <c r="B304" s="21" t="s">
        <v>696</v>
      </c>
    </row>
    <row r="305" customFormat="false" ht="15" hidden="false" customHeight="false" outlineLevel="0" collapsed="false">
      <c r="A305" s="21" t="s">
        <v>57</v>
      </c>
      <c r="B305" s="21" t="s">
        <v>783</v>
      </c>
    </row>
    <row r="306" customFormat="false" ht="15" hidden="false" customHeight="false" outlineLevel="0" collapsed="false">
      <c r="A306" s="21" t="s">
        <v>57</v>
      </c>
      <c r="B306" s="21" t="s">
        <v>784</v>
      </c>
    </row>
    <row r="307" customFormat="false" ht="15" hidden="false" customHeight="false" outlineLevel="0" collapsed="false">
      <c r="A307" s="21" t="s">
        <v>57</v>
      </c>
      <c r="B307" s="21" t="s">
        <v>782</v>
      </c>
    </row>
    <row r="308" customFormat="false" ht="15" hidden="false" customHeight="false" outlineLevel="0" collapsed="false">
      <c r="A308" s="21" t="s">
        <v>57</v>
      </c>
      <c r="B308" s="21" t="s">
        <v>1150</v>
      </c>
    </row>
    <row r="309" customFormat="false" ht="15" hidden="false" customHeight="false" outlineLevel="0" collapsed="false">
      <c r="A309" s="21" t="s">
        <v>57</v>
      </c>
      <c r="B309" s="21" t="s">
        <v>719</v>
      </c>
    </row>
    <row r="310" customFormat="false" ht="15" hidden="false" customHeight="false" outlineLevel="0" collapsed="false">
      <c r="A310" s="21" t="s">
        <v>57</v>
      </c>
      <c r="B310" s="21" t="s">
        <v>724</v>
      </c>
    </row>
    <row r="311" customFormat="false" ht="15" hidden="false" customHeight="false" outlineLevel="0" collapsed="false">
      <c r="A311" s="21" t="s">
        <v>57</v>
      </c>
      <c r="B311" s="21" t="s">
        <v>722</v>
      </c>
    </row>
    <row r="312" customFormat="false" ht="15" hidden="false" customHeight="false" outlineLevel="0" collapsed="false">
      <c r="A312" s="21" t="s">
        <v>57</v>
      </c>
      <c r="B312" s="21" t="s">
        <v>725</v>
      </c>
    </row>
    <row r="313" customFormat="false" ht="15" hidden="false" customHeight="false" outlineLevel="0" collapsed="false">
      <c r="A313" s="21" t="s">
        <v>57</v>
      </c>
      <c r="B313" s="21" t="s">
        <v>727</v>
      </c>
    </row>
    <row r="314" customFormat="false" ht="15" hidden="false" customHeight="false" outlineLevel="0" collapsed="false">
      <c r="A314" s="21" t="s">
        <v>57</v>
      </c>
      <c r="B314" s="21" t="s">
        <v>115</v>
      </c>
    </row>
    <row r="315" customFormat="false" ht="15" hidden="false" customHeight="false" outlineLevel="0" collapsed="false">
      <c r="A315" s="21" t="s">
        <v>57</v>
      </c>
      <c r="B315" s="21" t="s">
        <v>723</v>
      </c>
    </row>
    <row r="316" customFormat="false" ht="15" hidden="false" customHeight="false" outlineLevel="0" collapsed="false">
      <c r="A316" s="21" t="s">
        <v>57</v>
      </c>
      <c r="B316" s="21" t="s">
        <v>792</v>
      </c>
    </row>
    <row r="317" customFormat="false" ht="15" hidden="false" customHeight="false" outlineLevel="0" collapsed="false">
      <c r="A317" s="21" t="s">
        <v>57</v>
      </c>
      <c r="B317" s="21" t="s">
        <v>671</v>
      </c>
    </row>
    <row r="318" customFormat="false" ht="15" hidden="false" customHeight="false" outlineLevel="0" collapsed="false">
      <c r="A318" s="21" t="s">
        <v>57</v>
      </c>
      <c r="B318" s="21" t="s">
        <v>1291</v>
      </c>
    </row>
    <row r="319" customFormat="false" ht="15" hidden="false" customHeight="false" outlineLevel="0" collapsed="false">
      <c r="A319" s="21" t="s">
        <v>57</v>
      </c>
      <c r="B319" s="21" t="s">
        <v>1287</v>
      </c>
    </row>
    <row r="320" customFormat="false" ht="15" hidden="false" customHeight="false" outlineLevel="0" collapsed="false">
      <c r="A320" s="21" t="s">
        <v>57</v>
      </c>
      <c r="B320" s="21" t="s">
        <v>1293</v>
      </c>
    </row>
    <row r="321" customFormat="false" ht="15" hidden="false" customHeight="false" outlineLevel="0" collapsed="false">
      <c r="A321" s="21" t="s">
        <v>57</v>
      </c>
      <c r="B321" s="21" t="s">
        <v>1289</v>
      </c>
    </row>
    <row r="322" customFormat="false" ht="15" hidden="false" customHeight="false" outlineLevel="0" collapsed="false">
      <c r="A322" s="21" t="s">
        <v>57</v>
      </c>
      <c r="B322" s="21" t="s">
        <v>88</v>
      </c>
    </row>
    <row r="323" customFormat="false" ht="15" hidden="false" customHeight="false" outlineLevel="0" collapsed="false">
      <c r="A323" s="21" t="s">
        <v>57</v>
      </c>
      <c r="B323" s="21" t="s">
        <v>673</v>
      </c>
    </row>
    <row r="324" customFormat="false" ht="15" hidden="false" customHeight="false" outlineLevel="0" collapsed="false">
      <c r="A324" s="21" t="s">
        <v>57</v>
      </c>
      <c r="B324" s="21" t="s">
        <v>814</v>
      </c>
    </row>
    <row r="325" customFormat="false" ht="15" hidden="false" customHeight="false" outlineLevel="0" collapsed="false">
      <c r="A325" s="21" t="s">
        <v>57</v>
      </c>
      <c r="B325" s="21" t="s">
        <v>134</v>
      </c>
    </row>
    <row r="326" customFormat="false" ht="15" hidden="false" customHeight="false" outlineLevel="0" collapsed="false">
      <c r="A326" s="21" t="s">
        <v>57</v>
      </c>
      <c r="B326" s="21" t="s">
        <v>772</v>
      </c>
    </row>
    <row r="327" customFormat="false" ht="15" hidden="false" customHeight="false" outlineLevel="0" collapsed="false">
      <c r="A327" s="21" t="s">
        <v>57</v>
      </c>
      <c r="B327" s="21" t="s">
        <v>773</v>
      </c>
    </row>
    <row r="328" customFormat="false" ht="15" hidden="false" customHeight="false" outlineLevel="0" collapsed="false">
      <c r="A328" s="21" t="s">
        <v>57</v>
      </c>
      <c r="B328" s="21" t="s">
        <v>119</v>
      </c>
    </row>
    <row r="329" customFormat="false" ht="15" hidden="false" customHeight="false" outlineLevel="0" collapsed="false">
      <c r="A329" s="21" t="s">
        <v>57</v>
      </c>
      <c r="B329" s="21" t="s">
        <v>805</v>
      </c>
    </row>
    <row r="330" customFormat="false" ht="15" hidden="false" customHeight="false" outlineLevel="0" collapsed="false">
      <c r="A330" s="21" t="s">
        <v>57</v>
      </c>
      <c r="B330" s="21" t="s">
        <v>826</v>
      </c>
    </row>
    <row r="331" customFormat="false" ht="15" hidden="false" customHeight="false" outlineLevel="0" collapsed="false">
      <c r="A331" s="21" t="s">
        <v>57</v>
      </c>
      <c r="B331" s="21" t="s">
        <v>804</v>
      </c>
    </row>
    <row r="332" customFormat="false" ht="15" hidden="false" customHeight="false" outlineLevel="0" collapsed="false">
      <c r="A332" s="21" t="s">
        <v>57</v>
      </c>
      <c r="B332" s="21" t="s">
        <v>848</v>
      </c>
    </row>
    <row r="333" customFormat="false" ht="15" hidden="false" customHeight="false" outlineLevel="0" collapsed="false">
      <c r="A333" s="21" t="s">
        <v>57</v>
      </c>
      <c r="B333" s="21" t="s">
        <v>1145</v>
      </c>
    </row>
    <row r="334" customFormat="false" ht="15" hidden="false" customHeight="false" outlineLevel="0" collapsed="false">
      <c r="A334" s="21" t="s">
        <v>57</v>
      </c>
      <c r="B334" s="21" t="s">
        <v>640</v>
      </c>
    </row>
    <row r="335" customFormat="false" ht="15" hidden="false" customHeight="false" outlineLevel="0" collapsed="false">
      <c r="A335" s="21" t="s">
        <v>57</v>
      </c>
      <c r="B335" s="21" t="s">
        <v>86</v>
      </c>
    </row>
    <row r="336" customFormat="false" ht="15" hidden="false" customHeight="false" outlineLevel="0" collapsed="false">
      <c r="A336" s="21" t="s">
        <v>57</v>
      </c>
      <c r="B336" s="21" t="s">
        <v>133</v>
      </c>
    </row>
    <row r="337" customFormat="false" ht="15" hidden="false" customHeight="false" outlineLevel="0" collapsed="false">
      <c r="A337" s="21" t="s">
        <v>57</v>
      </c>
      <c r="B337" s="21" t="s">
        <v>691</v>
      </c>
    </row>
    <row r="338" customFormat="false" ht="15" hidden="false" customHeight="false" outlineLevel="0" collapsed="false">
      <c r="A338" s="21" t="s">
        <v>57</v>
      </c>
      <c r="B338" s="21" t="s">
        <v>811</v>
      </c>
    </row>
    <row r="339" customFormat="false" ht="15" hidden="false" customHeight="false" outlineLevel="0" collapsed="false">
      <c r="A339" s="21" t="s">
        <v>57</v>
      </c>
      <c r="B339" s="21" t="s">
        <v>632</v>
      </c>
    </row>
    <row r="340" customFormat="false" ht="15" hidden="false" customHeight="false" outlineLevel="0" collapsed="false">
      <c r="A340" s="21" t="s">
        <v>57</v>
      </c>
      <c r="B340" s="21" t="s">
        <v>226</v>
      </c>
    </row>
    <row r="341" customFormat="false" ht="15" hidden="false" customHeight="false" outlineLevel="0" collapsed="false">
      <c r="A341" s="21" t="s">
        <v>57</v>
      </c>
      <c r="B341" s="21" t="s">
        <v>599</v>
      </c>
    </row>
    <row r="342" customFormat="false" ht="15" hidden="false" customHeight="false" outlineLevel="0" collapsed="false">
      <c r="A342" s="21" t="s">
        <v>57</v>
      </c>
      <c r="B342" s="21" t="s">
        <v>521</v>
      </c>
    </row>
    <row r="343" customFormat="false" ht="15" hidden="false" customHeight="false" outlineLevel="0" collapsed="false">
      <c r="A343" s="21" t="s">
        <v>57</v>
      </c>
      <c r="B343" s="21" t="s">
        <v>153</v>
      </c>
    </row>
    <row r="344" customFormat="false" ht="15" hidden="false" customHeight="false" outlineLevel="0" collapsed="false">
      <c r="A344" s="21" t="s">
        <v>57</v>
      </c>
      <c r="B344" s="21" t="s">
        <v>1143</v>
      </c>
    </row>
    <row r="345" customFormat="false" ht="15" hidden="false" customHeight="false" outlineLevel="0" collapsed="false">
      <c r="A345" s="21" t="s">
        <v>57</v>
      </c>
      <c r="B345" s="21" t="s">
        <v>720</v>
      </c>
    </row>
    <row r="346" customFormat="false" ht="15" hidden="false" customHeight="false" outlineLevel="0" collapsed="false">
      <c r="A346" s="21" t="s">
        <v>57</v>
      </c>
      <c r="B346" s="21" t="s">
        <v>1006</v>
      </c>
    </row>
    <row r="347" customFormat="false" ht="15" hidden="false" customHeight="false" outlineLevel="0" collapsed="false">
      <c r="A347" s="21" t="s">
        <v>57</v>
      </c>
      <c r="B347" s="21" t="s">
        <v>978</v>
      </c>
    </row>
    <row r="348" customFormat="false" ht="15" hidden="false" customHeight="false" outlineLevel="0" collapsed="false">
      <c r="A348" s="21" t="s">
        <v>57</v>
      </c>
      <c r="B348" s="21" t="s">
        <v>980</v>
      </c>
    </row>
    <row r="349" customFormat="false" ht="15" hidden="false" customHeight="false" outlineLevel="0" collapsed="false">
      <c r="A349" s="21" t="s">
        <v>57</v>
      </c>
      <c r="B349" s="21" t="s">
        <v>850</v>
      </c>
    </row>
    <row r="350" customFormat="false" ht="15" hidden="false" customHeight="false" outlineLevel="0" collapsed="false">
      <c r="A350" s="21" t="s">
        <v>57</v>
      </c>
      <c r="B350" s="21" t="s">
        <v>849</v>
      </c>
    </row>
    <row r="351" customFormat="false" ht="15" hidden="false" customHeight="false" outlineLevel="0" collapsed="false">
      <c r="A351" s="21" t="s">
        <v>57</v>
      </c>
      <c r="B351" s="21" t="s">
        <v>218</v>
      </c>
    </row>
    <row r="352" customFormat="false" ht="15" hidden="false" customHeight="false" outlineLevel="0" collapsed="false">
      <c r="A352" s="21" t="s">
        <v>57</v>
      </c>
      <c r="B352" s="21" t="s">
        <v>851</v>
      </c>
    </row>
    <row r="353" customFormat="false" ht="15" hidden="false" customHeight="false" outlineLevel="0" collapsed="false">
      <c r="A353" s="21" t="s">
        <v>57</v>
      </c>
      <c r="B353" s="21" t="s">
        <v>852</v>
      </c>
    </row>
    <row r="354" customFormat="false" ht="15" hidden="false" customHeight="false" outlineLevel="0" collapsed="false">
      <c r="A354" s="21" t="s">
        <v>57</v>
      </c>
      <c r="B354" s="21" t="s">
        <v>745</v>
      </c>
    </row>
    <row r="355" customFormat="false" ht="15" hidden="false" customHeight="false" outlineLevel="0" collapsed="false">
      <c r="A355" s="21" t="s">
        <v>57</v>
      </c>
      <c r="B355" s="21" t="s">
        <v>746</v>
      </c>
    </row>
    <row r="356" customFormat="false" ht="15" hidden="false" customHeight="false" outlineLevel="0" collapsed="false">
      <c r="A356" s="21" t="s">
        <v>57</v>
      </c>
      <c r="B356" s="21" t="s">
        <v>388</v>
      </c>
    </row>
    <row r="357" customFormat="false" ht="15" hidden="false" customHeight="false" outlineLevel="0" collapsed="false">
      <c r="A357" s="21" t="s">
        <v>57</v>
      </c>
      <c r="B357" s="21" t="s">
        <v>855</v>
      </c>
    </row>
    <row r="358" customFormat="false" ht="15" hidden="false" customHeight="false" outlineLevel="0" collapsed="false">
      <c r="A358" s="21" t="s">
        <v>57</v>
      </c>
      <c r="B358" s="21" t="s">
        <v>1116</v>
      </c>
    </row>
    <row r="359" customFormat="false" ht="15" hidden="false" customHeight="false" outlineLevel="0" collapsed="false">
      <c r="A359" s="21" t="s">
        <v>57</v>
      </c>
      <c r="B359" s="21" t="s">
        <v>1117</v>
      </c>
    </row>
    <row r="360" customFormat="false" ht="15" hidden="false" customHeight="false" outlineLevel="0" collapsed="false">
      <c r="A360" s="21" t="s">
        <v>57</v>
      </c>
      <c r="B360" s="21" t="s">
        <v>856</v>
      </c>
    </row>
    <row r="361" customFormat="false" ht="15" hidden="false" customHeight="false" outlineLevel="0" collapsed="false">
      <c r="A361" s="21" t="s">
        <v>57</v>
      </c>
      <c r="B361" s="21" t="s">
        <v>636</v>
      </c>
    </row>
    <row r="362" customFormat="false" ht="15" hidden="false" customHeight="false" outlineLevel="0" collapsed="false">
      <c r="A362" s="21" t="s">
        <v>57</v>
      </c>
      <c r="B362" s="21" t="s">
        <v>662</v>
      </c>
    </row>
    <row r="363" customFormat="false" ht="15" hidden="false" customHeight="false" outlineLevel="0" collapsed="false">
      <c r="A363" s="21" t="s">
        <v>57</v>
      </c>
      <c r="B363" s="21" t="s">
        <v>663</v>
      </c>
    </row>
    <row r="364" customFormat="false" ht="15" hidden="false" customHeight="false" outlineLevel="0" collapsed="false">
      <c r="A364" s="21" t="s">
        <v>57</v>
      </c>
      <c r="B364" s="21" t="s">
        <v>661</v>
      </c>
    </row>
    <row r="365" customFormat="false" ht="15" hidden="false" customHeight="false" outlineLevel="0" collapsed="false">
      <c r="A365" s="21" t="s">
        <v>57</v>
      </c>
      <c r="B365" s="21" t="s">
        <v>664</v>
      </c>
    </row>
    <row r="366" customFormat="false" ht="15" hidden="false" customHeight="false" outlineLevel="0" collapsed="false">
      <c r="A366" s="21" t="s">
        <v>57</v>
      </c>
      <c r="B366" s="21" t="s">
        <v>819</v>
      </c>
    </row>
    <row r="367" customFormat="false" ht="15" hidden="false" customHeight="false" outlineLevel="0" collapsed="false">
      <c r="A367" s="21" t="s">
        <v>57</v>
      </c>
      <c r="B367" s="21" t="s">
        <v>1112</v>
      </c>
    </row>
    <row r="368" customFormat="false" ht="15" hidden="false" customHeight="false" outlineLevel="0" collapsed="false">
      <c r="A368" s="21" t="s">
        <v>57</v>
      </c>
      <c r="B368" s="21" t="s">
        <v>593</v>
      </c>
    </row>
    <row r="369" customFormat="false" ht="15" hidden="false" customHeight="false" outlineLevel="0" collapsed="false">
      <c r="A369" s="21" t="s">
        <v>57</v>
      </c>
      <c r="B369" s="21" t="s">
        <v>838</v>
      </c>
    </row>
    <row r="370" customFormat="false" ht="15" hidden="false" customHeight="false" outlineLevel="0" collapsed="false">
      <c r="A370" s="21" t="s">
        <v>57</v>
      </c>
      <c r="B370" s="21" t="s">
        <v>1294</v>
      </c>
    </row>
    <row r="371" customFormat="false" ht="15" hidden="false" customHeight="false" outlineLevel="0" collapsed="false">
      <c r="A371" s="21" t="s">
        <v>57</v>
      </c>
      <c r="B371" s="21" t="s">
        <v>181</v>
      </c>
    </row>
    <row r="372" customFormat="false" ht="15" hidden="false" customHeight="false" outlineLevel="0" collapsed="false">
      <c r="A372" s="21" t="s">
        <v>57</v>
      </c>
      <c r="B372" s="21" t="s">
        <v>1301</v>
      </c>
    </row>
    <row r="373" customFormat="false" ht="15" hidden="false" customHeight="false" outlineLevel="0" collapsed="false">
      <c r="A373" s="21" t="s">
        <v>57</v>
      </c>
      <c r="B373" s="21" t="s">
        <v>764</v>
      </c>
    </row>
    <row r="374" customFormat="false" ht="15" hidden="false" customHeight="false" outlineLevel="0" collapsed="false">
      <c r="A374" s="21" t="s">
        <v>57</v>
      </c>
      <c r="B374" s="21" t="s">
        <v>592</v>
      </c>
    </row>
    <row r="375" customFormat="false" ht="15" hidden="false" customHeight="false" outlineLevel="0" collapsed="false">
      <c r="A375" s="21" t="s">
        <v>57</v>
      </c>
      <c r="B375" s="21" t="s">
        <v>732</v>
      </c>
    </row>
    <row r="376" customFormat="false" ht="15" hidden="false" customHeight="false" outlineLevel="0" collapsed="false">
      <c r="A376" s="21" t="s">
        <v>57</v>
      </c>
      <c r="B376" s="21" t="s">
        <v>731</v>
      </c>
    </row>
    <row r="377" customFormat="false" ht="15" hidden="false" customHeight="false" outlineLevel="0" collapsed="false">
      <c r="A377" s="21" t="s">
        <v>57</v>
      </c>
      <c r="B377" s="21" t="s">
        <v>734</v>
      </c>
    </row>
    <row r="378" customFormat="false" ht="15" hidden="false" customHeight="false" outlineLevel="0" collapsed="false">
      <c r="A378" s="21" t="s">
        <v>57</v>
      </c>
      <c r="B378" s="21" t="s">
        <v>735</v>
      </c>
    </row>
    <row r="379" customFormat="false" ht="15" hidden="false" customHeight="false" outlineLevel="0" collapsed="false">
      <c r="A379" s="21" t="s">
        <v>57</v>
      </c>
      <c r="B379" s="21" t="s">
        <v>461</v>
      </c>
    </row>
    <row r="380" customFormat="false" ht="15" hidden="false" customHeight="false" outlineLevel="0" collapsed="false">
      <c r="A380" s="21" t="s">
        <v>57</v>
      </c>
      <c r="B380" s="21" t="s">
        <v>739</v>
      </c>
    </row>
    <row r="381" customFormat="false" ht="15" hidden="false" customHeight="false" outlineLevel="0" collapsed="false">
      <c r="A381" s="21" t="s">
        <v>57</v>
      </c>
      <c r="B381" s="21" t="s">
        <v>736</v>
      </c>
    </row>
    <row r="382" customFormat="false" ht="15" hidden="false" customHeight="false" outlineLevel="0" collapsed="false">
      <c r="A382" s="21" t="s">
        <v>57</v>
      </c>
      <c r="B382" s="21" t="s">
        <v>683</v>
      </c>
    </row>
    <row r="383" customFormat="false" ht="15" hidden="false" customHeight="false" outlineLevel="0" collapsed="false">
      <c r="A383" s="21" t="s">
        <v>57</v>
      </c>
      <c r="B383" s="21" t="s">
        <v>126</v>
      </c>
    </row>
    <row r="384" customFormat="false" ht="15" hidden="false" customHeight="false" outlineLevel="0" collapsed="false">
      <c r="A384" s="21" t="s">
        <v>57</v>
      </c>
      <c r="B384" s="21" t="s">
        <v>847</v>
      </c>
    </row>
    <row r="385" customFormat="false" ht="15" hidden="false" customHeight="false" outlineLevel="0" collapsed="false">
      <c r="A385" s="21" t="s">
        <v>57</v>
      </c>
      <c r="B385" s="21" t="s">
        <v>793</v>
      </c>
    </row>
    <row r="386" customFormat="false" ht="15" hidden="false" customHeight="false" outlineLevel="0" collapsed="false">
      <c r="A386" s="21" t="s">
        <v>57</v>
      </c>
      <c r="B386" s="21" t="s">
        <v>1292</v>
      </c>
    </row>
    <row r="387" customFormat="false" ht="15" hidden="false" customHeight="false" outlineLevel="0" collapsed="false">
      <c r="A387" s="21" t="s">
        <v>57</v>
      </c>
      <c r="B387" s="21" t="s">
        <v>562</v>
      </c>
    </row>
    <row r="388" customFormat="false" ht="15" hidden="false" customHeight="false" outlineLevel="0" collapsed="false">
      <c r="A388" s="21" t="s">
        <v>57</v>
      </c>
      <c r="B388" s="21" t="s">
        <v>835</v>
      </c>
    </row>
    <row r="389" customFormat="false" ht="15" hidden="false" customHeight="false" outlineLevel="0" collapsed="false">
      <c r="A389" s="21" t="s">
        <v>57</v>
      </c>
      <c r="B389" s="21" t="s">
        <v>834</v>
      </c>
    </row>
    <row r="390" customFormat="false" ht="15" hidden="false" customHeight="false" outlineLevel="0" collapsed="false">
      <c r="A390" s="21" t="s">
        <v>57</v>
      </c>
      <c r="B390" s="21" t="s">
        <v>107</v>
      </c>
    </row>
    <row r="391" customFormat="false" ht="15" hidden="false" customHeight="false" outlineLevel="0" collapsed="false">
      <c r="A391" s="21" t="s">
        <v>57</v>
      </c>
      <c r="B391" s="21" t="s">
        <v>1151</v>
      </c>
    </row>
    <row r="392" customFormat="false" ht="15" hidden="false" customHeight="false" outlineLevel="0" collapsed="false">
      <c r="A392" s="21" t="s">
        <v>57</v>
      </c>
      <c r="B392" s="21" t="s">
        <v>1309</v>
      </c>
    </row>
    <row r="393" customFormat="false" ht="15" hidden="false" customHeight="false" outlineLevel="0" collapsed="false">
      <c r="A393" s="21" t="s">
        <v>57</v>
      </c>
      <c r="B393" s="21" t="s">
        <v>206</v>
      </c>
    </row>
    <row r="394" customFormat="false" ht="15" hidden="false" customHeight="false" outlineLevel="0" collapsed="false">
      <c r="A394" s="21" t="s">
        <v>57</v>
      </c>
      <c r="B394" s="21" t="s">
        <v>1152</v>
      </c>
    </row>
    <row r="395" customFormat="false" ht="15" hidden="false" customHeight="false" outlineLevel="0" collapsed="false">
      <c r="A395" s="21" t="s">
        <v>57</v>
      </c>
      <c r="B395" s="21" t="s">
        <v>493</v>
      </c>
    </row>
    <row r="396" customFormat="false" ht="15" hidden="false" customHeight="false" outlineLevel="0" collapsed="false">
      <c r="A396" s="21" t="s">
        <v>57</v>
      </c>
      <c r="B396" s="21" t="s">
        <v>648</v>
      </c>
    </row>
    <row r="397" customFormat="false" ht="15" hidden="false" customHeight="false" outlineLevel="0" collapsed="false">
      <c r="A397" s="21" t="s">
        <v>57</v>
      </c>
      <c r="B397" s="21" t="s">
        <v>658</v>
      </c>
    </row>
    <row r="398" customFormat="false" ht="15" hidden="false" customHeight="false" outlineLevel="0" collapsed="false">
      <c r="A398" s="21" t="s">
        <v>57</v>
      </c>
      <c r="B398" s="21" t="s">
        <v>768</v>
      </c>
    </row>
    <row r="399" customFormat="false" ht="15" hidden="false" customHeight="false" outlineLevel="0" collapsed="false">
      <c r="A399" s="21" t="s">
        <v>57</v>
      </c>
      <c r="B399" s="21" t="s">
        <v>770</v>
      </c>
    </row>
    <row r="400" customFormat="false" ht="15" hidden="false" customHeight="false" outlineLevel="0" collapsed="false">
      <c r="A400" s="21" t="s">
        <v>57</v>
      </c>
      <c r="B400" s="21" t="s">
        <v>1297</v>
      </c>
    </row>
    <row r="401" customFormat="false" ht="15" hidden="false" customHeight="false" outlineLevel="0" collapsed="false">
      <c r="A401" s="21" t="s">
        <v>57</v>
      </c>
      <c r="B401" s="21" t="s">
        <v>1305</v>
      </c>
    </row>
    <row r="402" customFormat="false" ht="15" hidden="false" customHeight="false" outlineLevel="0" collapsed="false">
      <c r="A402" s="21" t="s">
        <v>57</v>
      </c>
      <c r="B402" s="21" t="s">
        <v>668</v>
      </c>
    </row>
    <row r="403" customFormat="false" ht="15" hidden="false" customHeight="false" outlineLevel="0" collapsed="false">
      <c r="A403" s="21" t="s">
        <v>57</v>
      </c>
      <c r="B403" s="21" t="s">
        <v>846</v>
      </c>
    </row>
    <row r="404" customFormat="false" ht="15" hidden="false" customHeight="false" outlineLevel="0" collapsed="false">
      <c r="A404" s="21" t="s">
        <v>57</v>
      </c>
      <c r="B404" s="21" t="s">
        <v>801</v>
      </c>
    </row>
    <row r="405" customFormat="false" ht="15" hidden="false" customHeight="false" outlineLevel="0" collapsed="false">
      <c r="A405" s="21" t="s">
        <v>57</v>
      </c>
      <c r="B405" s="21" t="s">
        <v>816</v>
      </c>
    </row>
    <row r="406" customFormat="false" ht="15" hidden="false" customHeight="false" outlineLevel="0" collapsed="false">
      <c r="A406" s="21" t="s">
        <v>57</v>
      </c>
      <c r="B406" s="21" t="s">
        <v>836</v>
      </c>
    </row>
    <row r="407" customFormat="false" ht="15" hidden="false" customHeight="false" outlineLevel="0" collapsed="false">
      <c r="A407" s="21" t="s">
        <v>57</v>
      </c>
      <c r="B407" s="21" t="s">
        <v>580</v>
      </c>
    </row>
    <row r="408" customFormat="false" ht="15" hidden="false" customHeight="false" outlineLevel="0" collapsed="false">
      <c r="A408" s="21" t="s">
        <v>57</v>
      </c>
      <c r="B408" s="21" t="s">
        <v>654</v>
      </c>
    </row>
    <row r="409" customFormat="false" ht="15" hidden="false" customHeight="false" outlineLevel="0" collapsed="false">
      <c r="A409" s="21" t="s">
        <v>57</v>
      </c>
      <c r="B409" s="21" t="s">
        <v>669</v>
      </c>
    </row>
    <row r="410" customFormat="false" ht="15" hidden="false" customHeight="false" outlineLevel="0" collapsed="false">
      <c r="A410" s="21" t="s">
        <v>57</v>
      </c>
      <c r="B410" s="21" t="s">
        <v>1296</v>
      </c>
    </row>
    <row r="411" customFormat="false" ht="15" hidden="false" customHeight="false" outlineLevel="0" collapsed="false">
      <c r="A411" s="21" t="s">
        <v>57</v>
      </c>
      <c r="B411" s="21" t="s">
        <v>1300</v>
      </c>
    </row>
    <row r="412" customFormat="false" ht="15" hidden="false" customHeight="false" outlineLevel="0" collapsed="false">
      <c r="A412" s="21" t="s">
        <v>57</v>
      </c>
      <c r="B412" s="21" t="s">
        <v>647</v>
      </c>
    </row>
    <row r="413" customFormat="false" ht="15" hidden="false" customHeight="false" outlineLevel="0" collapsed="false">
      <c r="A413" s="21" t="s">
        <v>57</v>
      </c>
      <c r="B413" s="21" t="s">
        <v>1308</v>
      </c>
    </row>
    <row r="414" customFormat="false" ht="15" hidden="false" customHeight="false" outlineLevel="0" collapsed="false">
      <c r="A414" s="21" t="s">
        <v>57</v>
      </c>
      <c r="B414" s="21" t="s">
        <v>1295</v>
      </c>
    </row>
    <row r="415" customFormat="false" ht="15" hidden="false" customHeight="false" outlineLevel="0" collapsed="false">
      <c r="A415" s="21" t="s">
        <v>57</v>
      </c>
      <c r="B415" s="21" t="s">
        <v>1122</v>
      </c>
    </row>
    <row r="416" customFormat="false" ht="15" hidden="false" customHeight="false" outlineLevel="0" collapsed="false">
      <c r="A416" s="21" t="s">
        <v>57</v>
      </c>
      <c r="B416" s="21" t="s">
        <v>1144</v>
      </c>
    </row>
    <row r="417" customFormat="false" ht="15" hidden="false" customHeight="false" outlineLevel="0" collapsed="false">
      <c r="A417" s="21" t="s">
        <v>57</v>
      </c>
      <c r="B417" s="21" t="s">
        <v>1146</v>
      </c>
    </row>
    <row r="418" customFormat="false" ht="15" hidden="false" customHeight="false" outlineLevel="0" collapsed="false">
      <c r="A418" s="21" t="s">
        <v>57</v>
      </c>
      <c r="B418" s="21" t="s">
        <v>1147</v>
      </c>
    </row>
    <row r="419" customFormat="false" ht="15" hidden="false" customHeight="false" outlineLevel="0" collapsed="false">
      <c r="A419" s="21" t="s">
        <v>57</v>
      </c>
      <c r="B419" s="21" t="s">
        <v>1149</v>
      </c>
    </row>
    <row r="420" customFormat="false" ht="15" hidden="false" customHeight="false" outlineLevel="0" collapsed="false">
      <c r="A420" s="21" t="s">
        <v>57</v>
      </c>
      <c r="B420" s="21" t="s">
        <v>791</v>
      </c>
    </row>
    <row r="421" customFormat="false" ht="15" hidden="false" customHeight="false" outlineLevel="0" collapsed="false">
      <c r="A421" s="21" t="s">
        <v>57</v>
      </c>
      <c r="B421" s="21" t="s">
        <v>113</v>
      </c>
    </row>
    <row r="422" customFormat="false" ht="15" hidden="false" customHeight="false" outlineLevel="0" collapsed="false">
      <c r="A422" s="21" t="s">
        <v>57</v>
      </c>
      <c r="B422" s="21" t="s">
        <v>1142</v>
      </c>
    </row>
    <row r="423" customFormat="false" ht="15" hidden="false" customHeight="false" outlineLevel="0" collapsed="false">
      <c r="A423" s="21" t="s">
        <v>57</v>
      </c>
      <c r="B423" s="21" t="s">
        <v>653</v>
      </c>
    </row>
    <row r="424" customFormat="false" ht="15" hidden="false" customHeight="false" outlineLevel="0" collapsed="false">
      <c r="A424" s="21" t="s">
        <v>57</v>
      </c>
      <c r="B424" s="21" t="s">
        <v>392</v>
      </c>
    </row>
    <row r="425" customFormat="false" ht="15" hidden="false" customHeight="false" outlineLevel="0" collapsed="false">
      <c r="A425" s="21" t="s">
        <v>57</v>
      </c>
      <c r="B425" s="21" t="s">
        <v>660</v>
      </c>
    </row>
    <row r="426" customFormat="false" ht="15" hidden="false" customHeight="false" outlineLevel="0" collapsed="false">
      <c r="A426" s="21" t="s">
        <v>57</v>
      </c>
      <c r="B426" s="21" t="s">
        <v>1317</v>
      </c>
    </row>
    <row r="427" customFormat="false" ht="15" hidden="false" customHeight="false" outlineLevel="0" collapsed="false">
      <c r="A427" s="21" t="s">
        <v>57</v>
      </c>
      <c r="B427" s="21" t="s">
        <v>1314</v>
      </c>
    </row>
    <row r="428" customFormat="false" ht="15" hidden="false" customHeight="false" outlineLevel="0" collapsed="false">
      <c r="A428" s="21" t="s">
        <v>57</v>
      </c>
      <c r="B428" s="21" t="s">
        <v>1277</v>
      </c>
    </row>
    <row r="429" customFormat="false" ht="15" hidden="false" customHeight="false" outlineLevel="0" collapsed="false">
      <c r="A429" s="21" t="s">
        <v>57</v>
      </c>
      <c r="B429" s="21" t="s">
        <v>684</v>
      </c>
    </row>
    <row r="430" customFormat="false" ht="15" hidden="false" customHeight="false" outlineLevel="0" collapsed="false">
      <c r="A430" s="21" t="s">
        <v>57</v>
      </c>
      <c r="B430" s="21" t="s">
        <v>56</v>
      </c>
    </row>
    <row r="431" customFormat="false" ht="15" hidden="false" customHeight="false" outlineLevel="0" collapsed="false">
      <c r="A431" s="21" t="s">
        <v>57</v>
      </c>
      <c r="B431" s="21" t="s">
        <v>96</v>
      </c>
    </row>
    <row r="432" customFormat="false" ht="15" hidden="false" customHeight="false" outlineLevel="0" collapsed="false">
      <c r="A432" s="21" t="s">
        <v>57</v>
      </c>
      <c r="B432" s="21" t="s">
        <v>1316</v>
      </c>
    </row>
    <row r="433" customFormat="false" ht="15" hidden="false" customHeight="false" outlineLevel="0" collapsed="false">
      <c r="A433" s="21" t="s">
        <v>57</v>
      </c>
      <c r="B433" s="21" t="s">
        <v>1310</v>
      </c>
    </row>
    <row r="434" customFormat="false" ht="15" hidden="false" customHeight="false" outlineLevel="0" collapsed="false">
      <c r="A434" s="21" t="s">
        <v>57</v>
      </c>
      <c r="B434" s="21" t="s">
        <v>928</v>
      </c>
    </row>
    <row r="435" customFormat="false" ht="15" hidden="false" customHeight="false" outlineLevel="0" collapsed="false">
      <c r="A435" s="21" t="s">
        <v>57</v>
      </c>
      <c r="B435" s="21" t="s">
        <v>1302</v>
      </c>
    </row>
    <row r="436" customFormat="false" ht="15" hidden="false" customHeight="false" outlineLevel="0" collapsed="false">
      <c r="A436" s="21" t="s">
        <v>57</v>
      </c>
      <c r="B436" s="21" t="s">
        <v>666</v>
      </c>
    </row>
    <row r="437" customFormat="false" ht="15" hidden="false" customHeight="false" outlineLevel="0" collapsed="false">
      <c r="A437" s="21" t="s">
        <v>57</v>
      </c>
      <c r="B437" s="21" t="s">
        <v>692</v>
      </c>
    </row>
    <row r="438" customFormat="false" ht="15" hidden="false" customHeight="false" outlineLevel="0" collapsed="false">
      <c r="A438" s="21" t="s">
        <v>57</v>
      </c>
      <c r="B438" s="21" t="s">
        <v>695</v>
      </c>
    </row>
    <row r="439" customFormat="false" ht="15" hidden="false" customHeight="false" outlineLevel="0" collapsed="false">
      <c r="A439" s="21" t="s">
        <v>57</v>
      </c>
      <c r="B439" s="21" t="s">
        <v>694</v>
      </c>
    </row>
    <row r="440" customFormat="false" ht="15" hidden="false" customHeight="false" outlineLevel="0" collapsed="false">
      <c r="A440" s="21" t="s">
        <v>57</v>
      </c>
      <c r="B440" s="21" t="s">
        <v>1235</v>
      </c>
    </row>
    <row r="441" customFormat="false" ht="15" hidden="false" customHeight="false" outlineLevel="0" collapsed="false">
      <c r="A441" s="21" t="s">
        <v>57</v>
      </c>
      <c r="B441" s="21" t="s">
        <v>1233</v>
      </c>
    </row>
    <row r="442" customFormat="false" ht="15" hidden="false" customHeight="false" outlineLevel="0" collapsed="false">
      <c r="A442" s="21" t="s">
        <v>57</v>
      </c>
      <c r="B442" s="21" t="s">
        <v>600</v>
      </c>
    </row>
    <row r="443" customFormat="false" ht="15" hidden="false" customHeight="false" outlineLevel="0" collapsed="false">
      <c r="A443" s="21" t="s">
        <v>57</v>
      </c>
      <c r="B443" s="21" t="s">
        <v>1090</v>
      </c>
    </row>
    <row r="444" customFormat="false" ht="15" hidden="false" customHeight="false" outlineLevel="0" collapsed="false">
      <c r="A444" s="21" t="s">
        <v>57</v>
      </c>
      <c r="B444" s="21" t="s">
        <v>615</v>
      </c>
    </row>
    <row r="445" customFormat="false" ht="15" hidden="false" customHeight="false" outlineLevel="0" collapsed="false">
      <c r="A445" s="21" t="s">
        <v>57</v>
      </c>
      <c r="B445" s="21" t="s">
        <v>1200</v>
      </c>
    </row>
    <row r="446" customFormat="false" ht="15" hidden="false" customHeight="false" outlineLevel="0" collapsed="false">
      <c r="A446" s="21" t="s">
        <v>57</v>
      </c>
      <c r="B446" s="21" t="s">
        <v>608</v>
      </c>
    </row>
    <row r="447" customFormat="false" ht="15" hidden="false" customHeight="false" outlineLevel="0" collapsed="false">
      <c r="A447" s="21" t="s">
        <v>57</v>
      </c>
      <c r="B447" s="21" t="s">
        <v>1232</v>
      </c>
    </row>
    <row r="448" customFormat="false" ht="15" hidden="false" customHeight="false" outlineLevel="0" collapsed="false">
      <c r="A448" s="21" t="s">
        <v>57</v>
      </c>
      <c r="B448" s="21" t="s">
        <v>609</v>
      </c>
    </row>
    <row r="449" customFormat="false" ht="15" hidden="false" customHeight="false" outlineLevel="0" collapsed="false">
      <c r="A449" s="21" t="s">
        <v>57</v>
      </c>
      <c r="B449" s="21" t="s">
        <v>620</v>
      </c>
    </row>
    <row r="450" customFormat="false" ht="15" hidden="false" customHeight="false" outlineLevel="0" collapsed="false">
      <c r="A450" s="21" t="s">
        <v>57</v>
      </c>
      <c r="B450" s="21" t="s">
        <v>598</v>
      </c>
    </row>
    <row r="451" customFormat="false" ht="15" hidden="false" customHeight="false" outlineLevel="0" collapsed="false">
      <c r="A451" s="21" t="s">
        <v>57</v>
      </c>
      <c r="B451" s="21" t="s">
        <v>595</v>
      </c>
    </row>
    <row r="452" customFormat="false" ht="15" hidden="false" customHeight="false" outlineLevel="0" collapsed="false">
      <c r="A452" s="21" t="s">
        <v>57</v>
      </c>
      <c r="B452" s="21" t="s">
        <v>597</v>
      </c>
    </row>
    <row r="453" customFormat="false" ht="15" hidden="false" customHeight="false" outlineLevel="0" collapsed="false">
      <c r="A453" s="21" t="s">
        <v>57</v>
      </c>
      <c r="B453" s="21" t="s">
        <v>604</v>
      </c>
    </row>
    <row r="454" customFormat="false" ht="15" hidden="false" customHeight="false" outlineLevel="0" collapsed="false">
      <c r="A454" s="21" t="s">
        <v>57</v>
      </c>
      <c r="B454" s="21" t="s">
        <v>566</v>
      </c>
    </row>
    <row r="455" customFormat="false" ht="15" hidden="false" customHeight="false" outlineLevel="0" collapsed="false">
      <c r="A455" s="21" t="s">
        <v>57</v>
      </c>
      <c r="B455" s="21" t="s">
        <v>614</v>
      </c>
    </row>
    <row r="456" customFormat="false" ht="15" hidden="false" customHeight="false" outlineLevel="0" collapsed="false">
      <c r="A456" s="21" t="s">
        <v>57</v>
      </c>
      <c r="B456" s="21" t="s">
        <v>610</v>
      </c>
    </row>
    <row r="457" customFormat="false" ht="15" hidden="false" customHeight="false" outlineLevel="0" collapsed="false">
      <c r="A457" s="21" t="s">
        <v>57</v>
      </c>
      <c r="B457" s="21" t="s">
        <v>607</v>
      </c>
    </row>
    <row r="458" customFormat="false" ht="15" hidden="false" customHeight="false" outlineLevel="0" collapsed="false">
      <c r="A458" s="21" t="s">
        <v>57</v>
      </c>
      <c r="B458" s="21" t="s">
        <v>606</v>
      </c>
    </row>
    <row r="459" customFormat="false" ht="15" hidden="false" customHeight="false" outlineLevel="0" collapsed="false">
      <c r="A459" s="21" t="s">
        <v>57</v>
      </c>
      <c r="B459" s="21" t="s">
        <v>799</v>
      </c>
    </row>
    <row r="460" customFormat="false" ht="15" hidden="false" customHeight="false" outlineLevel="0" collapsed="false">
      <c r="A460" s="21" t="s">
        <v>57</v>
      </c>
      <c r="B460" s="21" t="s">
        <v>1091</v>
      </c>
    </row>
    <row r="461" customFormat="false" ht="15" hidden="false" customHeight="false" outlineLevel="0" collapsed="false">
      <c r="A461" s="21" t="s">
        <v>57</v>
      </c>
      <c r="B461" s="21" t="s">
        <v>625</v>
      </c>
    </row>
    <row r="462" customFormat="false" ht="15" hidden="false" customHeight="false" outlineLevel="0" collapsed="false">
      <c r="A462" s="21" t="s">
        <v>57</v>
      </c>
      <c r="B462" s="21" t="s">
        <v>800</v>
      </c>
    </row>
    <row r="463" customFormat="false" ht="15" hidden="false" customHeight="false" outlineLevel="0" collapsed="false">
      <c r="A463" s="21" t="s">
        <v>57</v>
      </c>
      <c r="B463" s="21" t="s">
        <v>618</v>
      </c>
    </row>
    <row r="464" customFormat="false" ht="15" hidden="false" customHeight="false" outlineLevel="0" collapsed="false">
      <c r="A464" s="21" t="s">
        <v>57</v>
      </c>
      <c r="B464" s="21" t="s">
        <v>1109</v>
      </c>
    </row>
    <row r="465" customFormat="false" ht="15" hidden="false" customHeight="false" outlineLevel="0" collapsed="false">
      <c r="A465" s="21" t="s">
        <v>57</v>
      </c>
      <c r="B465" s="21" t="s">
        <v>1111</v>
      </c>
    </row>
    <row r="466" customFormat="false" ht="15" hidden="false" customHeight="false" outlineLevel="0" collapsed="false">
      <c r="A466" s="21" t="s">
        <v>57</v>
      </c>
      <c r="B466" s="21" t="s">
        <v>1105</v>
      </c>
    </row>
    <row r="467" customFormat="false" ht="15" hidden="false" customHeight="false" outlineLevel="0" collapsed="false">
      <c r="A467" s="21" t="s">
        <v>57</v>
      </c>
      <c r="B467" s="21" t="s">
        <v>1107</v>
      </c>
    </row>
    <row r="468" customFormat="false" ht="15" hidden="false" customHeight="false" outlineLevel="0" collapsed="false">
      <c r="A468" s="21" t="s">
        <v>57</v>
      </c>
      <c r="B468" s="21" t="s">
        <v>622</v>
      </c>
    </row>
    <row r="469" customFormat="false" ht="15" hidden="false" customHeight="false" outlineLevel="0" collapsed="false">
      <c r="A469" s="21" t="s">
        <v>57</v>
      </c>
      <c r="B469" s="21" t="s">
        <v>624</v>
      </c>
    </row>
    <row r="470" customFormat="false" ht="15" hidden="false" customHeight="false" outlineLevel="0" collapsed="false">
      <c r="A470" s="21" t="s">
        <v>57</v>
      </c>
      <c r="B470" s="21" t="s">
        <v>1108</v>
      </c>
    </row>
    <row r="471" customFormat="false" ht="15" hidden="false" customHeight="false" outlineLevel="0" collapsed="false">
      <c r="A471" s="21" t="s">
        <v>40</v>
      </c>
      <c r="B471" s="21" t="s">
        <v>1335</v>
      </c>
    </row>
    <row r="472" customFormat="false" ht="15" hidden="false" customHeight="false" outlineLevel="0" collapsed="false">
      <c r="A472" s="21" t="s">
        <v>40</v>
      </c>
      <c r="B472" s="21" t="s">
        <v>530</v>
      </c>
    </row>
    <row r="473" customFormat="false" ht="15" hidden="false" customHeight="false" outlineLevel="0" collapsed="false">
      <c r="A473" s="21" t="s">
        <v>40</v>
      </c>
      <c r="B473" s="21" t="s">
        <v>886</v>
      </c>
    </row>
    <row r="474" customFormat="false" ht="15" hidden="false" customHeight="false" outlineLevel="0" collapsed="false">
      <c r="A474" s="21" t="s">
        <v>40</v>
      </c>
      <c r="B474" s="21" t="s">
        <v>533</v>
      </c>
    </row>
    <row r="475" customFormat="false" ht="15" hidden="false" customHeight="false" outlineLevel="0" collapsed="false">
      <c r="A475" s="21" t="s">
        <v>40</v>
      </c>
      <c r="B475" s="21" t="s">
        <v>532</v>
      </c>
    </row>
    <row r="476" customFormat="false" ht="15" hidden="false" customHeight="false" outlineLevel="0" collapsed="false">
      <c r="A476" s="21" t="s">
        <v>40</v>
      </c>
      <c r="B476" s="21" t="s">
        <v>39</v>
      </c>
    </row>
    <row r="477" customFormat="false" ht="15" hidden="false" customHeight="false" outlineLevel="0" collapsed="false">
      <c r="A477" s="21" t="s">
        <v>40</v>
      </c>
      <c r="B477" s="21" t="s">
        <v>536</v>
      </c>
    </row>
    <row r="478" customFormat="false" ht="15" hidden="false" customHeight="false" outlineLevel="0" collapsed="false">
      <c r="A478" s="21" t="s">
        <v>68</v>
      </c>
      <c r="B478" s="21" t="s">
        <v>1085</v>
      </c>
    </row>
    <row r="479" customFormat="false" ht="15" hidden="false" customHeight="false" outlineLevel="0" collapsed="false">
      <c r="A479" s="21" t="s">
        <v>68</v>
      </c>
      <c r="B479" s="21" t="s">
        <v>1126</v>
      </c>
    </row>
    <row r="480" customFormat="false" ht="15" hidden="false" customHeight="false" outlineLevel="0" collapsed="false">
      <c r="A480" s="21" t="s">
        <v>68</v>
      </c>
      <c r="B480" s="21" t="s">
        <v>1131</v>
      </c>
    </row>
    <row r="481" customFormat="false" ht="15" hidden="false" customHeight="false" outlineLevel="0" collapsed="false">
      <c r="A481" s="21" t="s">
        <v>68</v>
      </c>
      <c r="B481" s="21" t="s">
        <v>1344</v>
      </c>
    </row>
    <row r="482" customFormat="false" ht="15" hidden="false" customHeight="false" outlineLevel="0" collapsed="false">
      <c r="A482" s="21" t="s">
        <v>68</v>
      </c>
      <c r="B482" s="21" t="s">
        <v>1062</v>
      </c>
    </row>
    <row r="483" customFormat="false" ht="15" hidden="false" customHeight="false" outlineLevel="0" collapsed="false">
      <c r="A483" s="21" t="s">
        <v>68</v>
      </c>
      <c r="B483" s="21" t="s">
        <v>1064</v>
      </c>
    </row>
    <row r="484" customFormat="false" ht="15" hidden="false" customHeight="false" outlineLevel="0" collapsed="false">
      <c r="A484" s="21" t="s">
        <v>68</v>
      </c>
      <c r="B484" s="21" t="s">
        <v>922</v>
      </c>
    </row>
    <row r="485" customFormat="false" ht="15" hidden="false" customHeight="false" outlineLevel="0" collapsed="false">
      <c r="A485" s="21" t="s">
        <v>68</v>
      </c>
      <c r="B485" s="21" t="s">
        <v>1186</v>
      </c>
    </row>
    <row r="486" customFormat="false" ht="15" hidden="false" customHeight="false" outlineLevel="0" collapsed="false">
      <c r="A486" s="21" t="s">
        <v>68</v>
      </c>
      <c r="B486" s="21" t="s">
        <v>1068</v>
      </c>
    </row>
    <row r="487" customFormat="false" ht="15" hidden="false" customHeight="false" outlineLevel="0" collapsed="false">
      <c r="A487" s="21" t="s">
        <v>68</v>
      </c>
      <c r="B487" s="21" t="s">
        <v>924</v>
      </c>
    </row>
    <row r="488" customFormat="false" ht="15" hidden="false" customHeight="false" outlineLevel="0" collapsed="false">
      <c r="A488" s="21" t="s">
        <v>68</v>
      </c>
      <c r="B488" s="21" t="s">
        <v>1268</v>
      </c>
    </row>
    <row r="489" customFormat="false" ht="15" hidden="false" customHeight="false" outlineLevel="0" collapsed="false">
      <c r="A489" s="21" t="s">
        <v>68</v>
      </c>
      <c r="B489" s="21" t="s">
        <v>1187</v>
      </c>
    </row>
    <row r="490" customFormat="false" ht="15" hidden="false" customHeight="false" outlineLevel="0" collapsed="false">
      <c r="A490" s="21" t="s">
        <v>68</v>
      </c>
      <c r="B490" s="21" t="s">
        <v>1053</v>
      </c>
    </row>
    <row r="491" customFormat="false" ht="15" hidden="false" customHeight="false" outlineLevel="0" collapsed="false">
      <c r="A491" s="21" t="s">
        <v>68</v>
      </c>
      <c r="B491" s="21" t="s">
        <v>1183</v>
      </c>
    </row>
    <row r="492" customFormat="false" ht="15" hidden="false" customHeight="false" outlineLevel="0" collapsed="false">
      <c r="A492" s="21" t="s">
        <v>68</v>
      </c>
      <c r="B492" s="21" t="s">
        <v>1059</v>
      </c>
    </row>
    <row r="493" customFormat="false" ht="15" hidden="false" customHeight="false" outlineLevel="0" collapsed="false">
      <c r="A493" s="21" t="s">
        <v>68</v>
      </c>
      <c r="B493" s="21" t="s">
        <v>1060</v>
      </c>
    </row>
    <row r="494" customFormat="false" ht="15" hidden="false" customHeight="false" outlineLevel="0" collapsed="false">
      <c r="A494" s="21" t="s">
        <v>68</v>
      </c>
      <c r="B494" s="21" t="s">
        <v>1185</v>
      </c>
    </row>
    <row r="495" customFormat="false" ht="15" hidden="false" customHeight="false" outlineLevel="0" collapsed="false">
      <c r="A495" s="21" t="s">
        <v>68</v>
      </c>
      <c r="B495" s="21" t="s">
        <v>1275</v>
      </c>
    </row>
    <row r="496" customFormat="false" ht="15" hidden="false" customHeight="false" outlineLevel="0" collapsed="false">
      <c r="A496" s="21" t="s">
        <v>68</v>
      </c>
      <c r="B496" s="21" t="s">
        <v>1274</v>
      </c>
    </row>
    <row r="497" customFormat="false" ht="15" hidden="false" customHeight="false" outlineLevel="0" collapsed="false">
      <c r="A497" s="21" t="s">
        <v>68</v>
      </c>
      <c r="B497" s="21" t="s">
        <v>1271</v>
      </c>
    </row>
    <row r="498" customFormat="false" ht="15" hidden="false" customHeight="false" outlineLevel="0" collapsed="false">
      <c r="A498" s="21" t="s">
        <v>68</v>
      </c>
      <c r="B498" s="21" t="s">
        <v>213</v>
      </c>
    </row>
    <row r="499" customFormat="false" ht="15" hidden="false" customHeight="false" outlineLevel="0" collapsed="false">
      <c r="A499" s="21" t="s">
        <v>68</v>
      </c>
      <c r="B499" s="21" t="s">
        <v>1073</v>
      </c>
    </row>
    <row r="500" customFormat="false" ht="15" hidden="false" customHeight="false" outlineLevel="0" collapsed="false">
      <c r="A500" s="21" t="s">
        <v>68</v>
      </c>
      <c r="B500" s="21" t="s">
        <v>1261</v>
      </c>
    </row>
    <row r="501" customFormat="false" ht="15" hidden="false" customHeight="false" outlineLevel="0" collapsed="false">
      <c r="A501" s="21" t="s">
        <v>68</v>
      </c>
      <c r="B501" s="21" t="s">
        <v>198</v>
      </c>
    </row>
    <row r="502" customFormat="false" ht="15" hidden="false" customHeight="false" outlineLevel="0" collapsed="false">
      <c r="A502" s="21" t="s">
        <v>68</v>
      </c>
      <c r="B502" s="21" t="s">
        <v>1075</v>
      </c>
    </row>
    <row r="503" customFormat="false" ht="15" hidden="false" customHeight="false" outlineLevel="0" collapsed="false">
      <c r="A503" s="21" t="s">
        <v>68</v>
      </c>
      <c r="B503" s="21" t="s">
        <v>1254</v>
      </c>
    </row>
    <row r="504" customFormat="false" ht="15" hidden="false" customHeight="false" outlineLevel="0" collapsed="false">
      <c r="A504" s="21" t="s">
        <v>68</v>
      </c>
      <c r="B504" s="21" t="s">
        <v>1320</v>
      </c>
    </row>
    <row r="505" customFormat="false" ht="15" hidden="false" customHeight="false" outlineLevel="0" collapsed="false">
      <c r="A505" s="21" t="s">
        <v>68</v>
      </c>
      <c r="B505" s="21" t="s">
        <v>1318</v>
      </c>
    </row>
    <row r="506" customFormat="false" ht="15" hidden="false" customHeight="false" outlineLevel="0" collapsed="false">
      <c r="A506" s="21" t="s">
        <v>68</v>
      </c>
      <c r="B506" s="21" t="s">
        <v>952</v>
      </c>
    </row>
    <row r="507" customFormat="false" ht="15" hidden="false" customHeight="false" outlineLevel="0" collapsed="false">
      <c r="A507" s="21" t="s">
        <v>68</v>
      </c>
      <c r="B507" s="21" t="s">
        <v>223</v>
      </c>
    </row>
    <row r="508" customFormat="false" ht="15" hidden="false" customHeight="false" outlineLevel="0" collapsed="false">
      <c r="A508" s="21" t="s">
        <v>68</v>
      </c>
      <c r="B508" s="21" t="s">
        <v>1066</v>
      </c>
    </row>
    <row r="509" customFormat="false" ht="15" hidden="false" customHeight="false" outlineLevel="0" collapsed="false">
      <c r="A509" s="21" t="s">
        <v>68</v>
      </c>
      <c r="B509" s="21" t="s">
        <v>1067</v>
      </c>
    </row>
    <row r="510" customFormat="false" ht="15" hidden="false" customHeight="false" outlineLevel="0" collapsed="false">
      <c r="A510" s="21" t="s">
        <v>68</v>
      </c>
      <c r="B510" s="21" t="s">
        <v>1069</v>
      </c>
    </row>
    <row r="511" customFormat="false" ht="15" hidden="false" customHeight="false" outlineLevel="0" collapsed="false">
      <c r="A511" s="21" t="s">
        <v>68</v>
      </c>
      <c r="B511" s="21" t="s">
        <v>1264</v>
      </c>
    </row>
    <row r="512" customFormat="false" ht="15" hidden="false" customHeight="false" outlineLevel="0" collapsed="false">
      <c r="A512" s="21" t="s">
        <v>68</v>
      </c>
      <c r="B512" s="21" t="s">
        <v>1258</v>
      </c>
    </row>
    <row r="513" customFormat="false" ht="15" hidden="false" customHeight="false" outlineLevel="0" collapsed="false">
      <c r="A513" s="21" t="s">
        <v>68</v>
      </c>
      <c r="B513" s="21" t="s">
        <v>1269</v>
      </c>
    </row>
    <row r="514" customFormat="false" ht="15" hidden="false" customHeight="false" outlineLevel="0" collapsed="false">
      <c r="A514" s="21" t="s">
        <v>68</v>
      </c>
      <c r="B514" s="21" t="s">
        <v>1270</v>
      </c>
    </row>
    <row r="515" customFormat="false" ht="15" hidden="false" customHeight="false" outlineLevel="0" collapsed="false">
      <c r="A515" s="21" t="s">
        <v>68</v>
      </c>
      <c r="B515" s="21" t="s">
        <v>1071</v>
      </c>
    </row>
    <row r="516" customFormat="false" ht="15" hidden="false" customHeight="false" outlineLevel="0" collapsed="false">
      <c r="A516" s="21" t="s">
        <v>68</v>
      </c>
      <c r="B516" s="21" t="s">
        <v>1076</v>
      </c>
    </row>
    <row r="517" customFormat="false" ht="15" hidden="false" customHeight="false" outlineLevel="0" collapsed="false">
      <c r="A517" s="21" t="s">
        <v>68</v>
      </c>
      <c r="B517" s="21" t="s">
        <v>1260</v>
      </c>
    </row>
    <row r="518" customFormat="false" ht="15" hidden="false" customHeight="false" outlineLevel="0" collapsed="false">
      <c r="A518" s="21" t="s">
        <v>68</v>
      </c>
      <c r="B518" s="21" t="s">
        <v>1188</v>
      </c>
    </row>
    <row r="519" customFormat="false" ht="15" hidden="false" customHeight="false" outlineLevel="0" collapsed="false">
      <c r="A519" s="21" t="s">
        <v>68</v>
      </c>
      <c r="B519" s="21" t="s">
        <v>815</v>
      </c>
    </row>
    <row r="520" customFormat="false" ht="15" hidden="false" customHeight="false" outlineLevel="0" collapsed="false">
      <c r="A520" s="21" t="s">
        <v>68</v>
      </c>
      <c r="B520" s="21" t="s">
        <v>1035</v>
      </c>
    </row>
    <row r="521" customFormat="false" ht="15" hidden="false" customHeight="false" outlineLevel="0" collapsed="false">
      <c r="A521" s="21" t="s">
        <v>68</v>
      </c>
      <c r="B521" s="21" t="s">
        <v>1046</v>
      </c>
    </row>
    <row r="522" customFormat="false" ht="15" hidden="false" customHeight="false" outlineLevel="0" collapsed="false">
      <c r="A522" s="21" t="s">
        <v>68</v>
      </c>
      <c r="B522" s="21" t="s">
        <v>1124</v>
      </c>
    </row>
    <row r="523" customFormat="false" ht="15" hidden="false" customHeight="false" outlineLevel="0" collapsed="false">
      <c r="A523" s="21" t="s">
        <v>68</v>
      </c>
      <c r="B523" s="21" t="s">
        <v>1121</v>
      </c>
    </row>
    <row r="524" customFormat="false" ht="15" hidden="false" customHeight="false" outlineLevel="0" collapsed="false">
      <c r="A524" s="21" t="s">
        <v>68</v>
      </c>
      <c r="B524" s="21" t="s">
        <v>1252</v>
      </c>
    </row>
    <row r="525" customFormat="false" ht="15" hidden="false" customHeight="false" outlineLevel="0" collapsed="false">
      <c r="A525" s="21" t="s">
        <v>68</v>
      </c>
      <c r="B525" s="21" t="s">
        <v>1099</v>
      </c>
    </row>
    <row r="526" customFormat="false" ht="15" hidden="false" customHeight="false" outlineLevel="0" collapsed="false">
      <c r="A526" s="21" t="s">
        <v>68</v>
      </c>
      <c r="B526" s="21" t="s">
        <v>193</v>
      </c>
    </row>
    <row r="527" customFormat="false" ht="15" hidden="false" customHeight="false" outlineLevel="0" collapsed="false">
      <c r="A527" s="21" t="s">
        <v>68</v>
      </c>
      <c r="B527" s="21" t="s">
        <v>1157</v>
      </c>
    </row>
    <row r="528" customFormat="false" ht="15" hidden="false" customHeight="false" outlineLevel="0" collapsed="false">
      <c r="A528" s="21" t="s">
        <v>68</v>
      </c>
      <c r="B528" s="21" t="s">
        <v>1255</v>
      </c>
    </row>
    <row r="529" customFormat="false" ht="15" hidden="false" customHeight="false" outlineLevel="0" collapsed="false">
      <c r="A529" s="21" t="s">
        <v>68</v>
      </c>
      <c r="B529" s="21" t="s">
        <v>1168</v>
      </c>
    </row>
    <row r="530" customFormat="false" ht="15" hidden="false" customHeight="false" outlineLevel="0" collapsed="false">
      <c r="A530" s="21" t="s">
        <v>68</v>
      </c>
      <c r="B530" s="21" t="s">
        <v>1125</v>
      </c>
    </row>
    <row r="531" customFormat="false" ht="15" hidden="false" customHeight="false" outlineLevel="0" collapsed="false">
      <c r="A531" s="21" t="s">
        <v>68</v>
      </c>
      <c r="B531" s="21" t="s">
        <v>211</v>
      </c>
    </row>
    <row r="532" customFormat="false" ht="15" hidden="false" customHeight="false" outlineLevel="0" collapsed="false">
      <c r="A532" s="21" t="s">
        <v>68</v>
      </c>
      <c r="B532" s="21" t="s">
        <v>1031</v>
      </c>
    </row>
    <row r="533" customFormat="false" ht="15" hidden="false" customHeight="false" outlineLevel="0" collapsed="false">
      <c r="A533" s="21" t="s">
        <v>68</v>
      </c>
      <c r="B533" s="21" t="s">
        <v>1170</v>
      </c>
    </row>
    <row r="534" customFormat="false" ht="15" hidden="false" customHeight="false" outlineLevel="0" collapsed="false">
      <c r="A534" s="21" t="s">
        <v>68</v>
      </c>
      <c r="B534" s="21" t="s">
        <v>1032</v>
      </c>
    </row>
    <row r="535" customFormat="false" ht="15" hidden="false" customHeight="false" outlineLevel="0" collapsed="false">
      <c r="A535" s="21" t="s">
        <v>68</v>
      </c>
      <c r="B535" s="21" t="s">
        <v>1159</v>
      </c>
    </row>
    <row r="536" customFormat="false" ht="15" hidden="false" customHeight="false" outlineLevel="0" collapsed="false">
      <c r="A536" s="21" t="s">
        <v>68</v>
      </c>
      <c r="B536" s="21" t="s">
        <v>1128</v>
      </c>
    </row>
    <row r="537" customFormat="false" ht="15" hidden="false" customHeight="false" outlineLevel="0" collapsed="false">
      <c r="A537" s="21" t="s">
        <v>68</v>
      </c>
      <c r="B537" s="21" t="s">
        <v>1130</v>
      </c>
    </row>
    <row r="538" customFormat="false" ht="15" hidden="false" customHeight="false" outlineLevel="0" collapsed="false">
      <c r="A538" s="21" t="s">
        <v>68</v>
      </c>
      <c r="B538" s="21" t="s">
        <v>1055</v>
      </c>
    </row>
    <row r="539" customFormat="false" ht="15" hidden="false" customHeight="false" outlineLevel="0" collapsed="false">
      <c r="A539" s="21" t="s">
        <v>68</v>
      </c>
      <c r="B539" s="21" t="s">
        <v>1341</v>
      </c>
    </row>
    <row r="540" customFormat="false" ht="15" hidden="false" customHeight="false" outlineLevel="0" collapsed="false">
      <c r="A540" s="21" t="s">
        <v>68</v>
      </c>
      <c r="B540" s="21" t="s">
        <v>1346</v>
      </c>
    </row>
    <row r="541" customFormat="false" ht="15" hidden="false" customHeight="false" outlineLevel="0" collapsed="false">
      <c r="A541" s="21" t="s">
        <v>68</v>
      </c>
      <c r="B541" s="21" t="s">
        <v>1342</v>
      </c>
    </row>
    <row r="542" customFormat="false" ht="15" hidden="false" customHeight="false" outlineLevel="0" collapsed="false">
      <c r="A542" s="21" t="s">
        <v>68</v>
      </c>
      <c r="B542" s="21" t="s">
        <v>1257</v>
      </c>
    </row>
    <row r="543" customFormat="false" ht="15" hidden="false" customHeight="false" outlineLevel="0" collapsed="false">
      <c r="A543" s="21" t="s">
        <v>68</v>
      </c>
      <c r="B543" s="21" t="s">
        <v>1339</v>
      </c>
    </row>
    <row r="544" customFormat="false" ht="15" hidden="false" customHeight="false" outlineLevel="0" collapsed="false">
      <c r="A544" s="21" t="s">
        <v>68</v>
      </c>
      <c r="B544" s="21" t="s">
        <v>1136</v>
      </c>
    </row>
    <row r="545" customFormat="false" ht="15" hidden="false" customHeight="false" outlineLevel="0" collapsed="false">
      <c r="A545" s="21" t="s">
        <v>68</v>
      </c>
      <c r="B545" s="21" t="s">
        <v>1057</v>
      </c>
    </row>
    <row r="546" customFormat="false" ht="15" hidden="false" customHeight="false" outlineLevel="0" collapsed="false">
      <c r="A546" s="21" t="s">
        <v>68</v>
      </c>
      <c r="B546" s="21" t="s">
        <v>537</v>
      </c>
    </row>
    <row r="547" customFormat="false" ht="15" hidden="false" customHeight="false" outlineLevel="0" collapsed="false">
      <c r="A547" s="21" t="s">
        <v>68</v>
      </c>
      <c r="B547" s="21" t="s">
        <v>148</v>
      </c>
    </row>
    <row r="548" customFormat="false" ht="15" hidden="false" customHeight="false" outlineLevel="0" collapsed="false">
      <c r="A548" s="21" t="s">
        <v>68</v>
      </c>
      <c r="B548" s="21" t="s">
        <v>539</v>
      </c>
    </row>
    <row r="549" customFormat="false" ht="15" hidden="false" customHeight="false" outlineLevel="0" collapsed="false">
      <c r="A549" s="21" t="s">
        <v>68</v>
      </c>
      <c r="B549" s="21" t="s">
        <v>1135</v>
      </c>
    </row>
    <row r="550" customFormat="false" ht="15" hidden="false" customHeight="false" outlineLevel="0" collapsed="false">
      <c r="A550" s="21" t="s">
        <v>68</v>
      </c>
      <c r="B550" s="21" t="s">
        <v>538</v>
      </c>
    </row>
    <row r="551" customFormat="false" ht="15" hidden="false" customHeight="false" outlineLevel="0" collapsed="false">
      <c r="A551" s="21" t="s">
        <v>68</v>
      </c>
      <c r="B551" s="21" t="s">
        <v>1160</v>
      </c>
    </row>
    <row r="552" customFormat="false" ht="15" hidden="false" customHeight="false" outlineLevel="0" collapsed="false">
      <c r="A552" s="21" t="s">
        <v>68</v>
      </c>
      <c r="B552" s="21" t="s">
        <v>170</v>
      </c>
    </row>
    <row r="553" customFormat="false" ht="15" hidden="false" customHeight="false" outlineLevel="0" collapsed="false">
      <c r="A553" s="21" t="s">
        <v>68</v>
      </c>
      <c r="B553" s="21" t="s">
        <v>1029</v>
      </c>
    </row>
    <row r="554" customFormat="false" ht="15" hidden="false" customHeight="false" outlineLevel="0" collapsed="false">
      <c r="A554" s="21" t="s">
        <v>68</v>
      </c>
      <c r="B554" s="21" t="s">
        <v>1165</v>
      </c>
    </row>
    <row r="555" customFormat="false" ht="15" hidden="false" customHeight="false" outlineLevel="0" collapsed="false">
      <c r="A555" s="21" t="s">
        <v>68</v>
      </c>
      <c r="B555" s="21" t="s">
        <v>1043</v>
      </c>
    </row>
    <row r="556" customFormat="false" ht="15" hidden="false" customHeight="false" outlineLevel="0" collapsed="false">
      <c r="A556" s="21" t="s">
        <v>68</v>
      </c>
      <c r="B556" s="21" t="s">
        <v>1048</v>
      </c>
    </row>
    <row r="557" customFormat="false" ht="15" hidden="false" customHeight="false" outlineLevel="0" collapsed="false">
      <c r="A557" s="21" t="s">
        <v>68</v>
      </c>
      <c r="B557" s="21" t="s">
        <v>1321</v>
      </c>
    </row>
    <row r="558" customFormat="false" ht="15" hidden="false" customHeight="false" outlineLevel="0" collapsed="false">
      <c r="A558" s="21" t="s">
        <v>68</v>
      </c>
      <c r="B558" s="21" t="s">
        <v>1177</v>
      </c>
    </row>
    <row r="559" customFormat="false" ht="15" hidden="false" customHeight="false" outlineLevel="0" collapsed="false">
      <c r="A559" s="21" t="s">
        <v>68</v>
      </c>
      <c r="B559" s="21" t="s">
        <v>1045</v>
      </c>
    </row>
    <row r="560" customFormat="false" ht="15" hidden="false" customHeight="false" outlineLevel="0" collapsed="false">
      <c r="A560" s="21" t="s">
        <v>68</v>
      </c>
      <c r="B560" s="21" t="s">
        <v>1326</v>
      </c>
    </row>
    <row r="561" customFormat="false" ht="15" hidden="false" customHeight="false" outlineLevel="0" collapsed="false">
      <c r="A561" s="21" t="s">
        <v>68</v>
      </c>
      <c r="B561" s="21" t="s">
        <v>1191</v>
      </c>
    </row>
    <row r="562" customFormat="false" ht="15" hidden="false" customHeight="false" outlineLevel="0" collapsed="false">
      <c r="A562" s="21" t="s">
        <v>68</v>
      </c>
      <c r="B562" s="21" t="s">
        <v>164</v>
      </c>
    </row>
    <row r="563" customFormat="false" ht="15" hidden="false" customHeight="false" outlineLevel="0" collapsed="false">
      <c r="A563" s="21" t="s">
        <v>68</v>
      </c>
      <c r="B563" s="21" t="s">
        <v>1181</v>
      </c>
    </row>
    <row r="564" customFormat="false" ht="15" hidden="false" customHeight="false" outlineLevel="0" collapsed="false">
      <c r="A564" s="21" t="s">
        <v>68</v>
      </c>
      <c r="B564" s="21" t="s">
        <v>1203</v>
      </c>
    </row>
    <row r="565" customFormat="false" ht="15" hidden="false" customHeight="false" outlineLevel="0" collapsed="false">
      <c r="A565" s="21" t="s">
        <v>68</v>
      </c>
      <c r="B565" s="21" t="s">
        <v>1036</v>
      </c>
    </row>
    <row r="566" customFormat="false" ht="15" hidden="false" customHeight="false" outlineLevel="0" collapsed="false">
      <c r="A566" s="21" t="s">
        <v>68</v>
      </c>
      <c r="B566" s="21" t="s">
        <v>1196</v>
      </c>
    </row>
    <row r="567" customFormat="false" ht="15" hidden="false" customHeight="false" outlineLevel="0" collapsed="false">
      <c r="A567" s="21" t="s">
        <v>68</v>
      </c>
      <c r="B567" s="21" t="s">
        <v>1093</v>
      </c>
    </row>
    <row r="568" customFormat="false" ht="15" hidden="false" customHeight="false" outlineLevel="0" collapsed="false">
      <c r="A568" s="21" t="s">
        <v>68</v>
      </c>
      <c r="B568" s="21" t="s">
        <v>67</v>
      </c>
    </row>
    <row r="569" customFormat="false" ht="15" hidden="false" customHeight="false" outlineLevel="0" collapsed="false">
      <c r="A569" s="21" t="s">
        <v>68</v>
      </c>
      <c r="B569" s="21" t="s">
        <v>1096</v>
      </c>
    </row>
    <row r="570" customFormat="false" ht="15" hidden="false" customHeight="false" outlineLevel="0" collapsed="false">
      <c r="A570" s="21" t="s">
        <v>47</v>
      </c>
      <c r="B570" s="21" t="s">
        <v>513</v>
      </c>
    </row>
    <row r="571" customFormat="false" ht="15" hidden="false" customHeight="false" outlineLevel="0" collapsed="false">
      <c r="A571" s="21" t="s">
        <v>47</v>
      </c>
      <c r="B571" s="21" t="s">
        <v>518</v>
      </c>
    </row>
    <row r="572" customFormat="false" ht="15" hidden="false" customHeight="false" outlineLevel="0" collapsed="false">
      <c r="A572" s="21" t="s">
        <v>47</v>
      </c>
      <c r="B572" s="21" t="s">
        <v>515</v>
      </c>
    </row>
    <row r="573" customFormat="false" ht="15" hidden="false" customHeight="false" outlineLevel="0" collapsed="false">
      <c r="A573" s="21" t="s">
        <v>47</v>
      </c>
      <c r="B573" s="21" t="s">
        <v>514</v>
      </c>
    </row>
    <row r="574" customFormat="false" ht="15" hidden="false" customHeight="false" outlineLevel="0" collapsed="false">
      <c r="A574" s="21" t="s">
        <v>47</v>
      </c>
      <c r="B574" s="21" t="s">
        <v>520</v>
      </c>
    </row>
    <row r="575" customFormat="false" ht="15" hidden="false" customHeight="false" outlineLevel="0" collapsed="false">
      <c r="A575" s="21" t="s">
        <v>47</v>
      </c>
      <c r="B575" s="21" t="s">
        <v>376</v>
      </c>
    </row>
    <row r="576" customFormat="false" ht="15" hidden="false" customHeight="false" outlineLevel="0" collapsed="false">
      <c r="A576" s="21" t="s">
        <v>47</v>
      </c>
      <c r="B576" s="21" t="s">
        <v>477</v>
      </c>
    </row>
    <row r="577" customFormat="false" ht="15" hidden="false" customHeight="false" outlineLevel="0" collapsed="false">
      <c r="A577" s="21" t="s">
        <v>47</v>
      </c>
      <c r="B577" s="21" t="s">
        <v>470</v>
      </c>
    </row>
    <row r="578" customFormat="false" ht="15" hidden="false" customHeight="false" outlineLevel="0" collapsed="false">
      <c r="A578" s="21" t="s">
        <v>47</v>
      </c>
      <c r="B578" s="21" t="s">
        <v>473</v>
      </c>
    </row>
    <row r="579" customFormat="false" ht="15" hidden="false" customHeight="false" outlineLevel="0" collapsed="false">
      <c r="A579" s="21" t="s">
        <v>47</v>
      </c>
      <c r="B579" s="21" t="s">
        <v>479</v>
      </c>
    </row>
    <row r="580" customFormat="false" ht="15" hidden="false" customHeight="false" outlineLevel="0" collapsed="false">
      <c r="A580" s="21" t="s">
        <v>47</v>
      </c>
      <c r="B580" s="21" t="s">
        <v>469</v>
      </c>
    </row>
    <row r="581" customFormat="false" ht="15" hidden="false" customHeight="false" outlineLevel="0" collapsed="false">
      <c r="A581" s="21" t="s">
        <v>47</v>
      </c>
      <c r="B581" s="21" t="s">
        <v>478</v>
      </c>
    </row>
    <row r="582" customFormat="false" ht="15" hidden="false" customHeight="false" outlineLevel="0" collapsed="false">
      <c r="A582" s="21" t="s">
        <v>47</v>
      </c>
      <c r="B582" s="21" t="s">
        <v>467</v>
      </c>
    </row>
    <row r="583" customFormat="false" ht="15" hidden="false" customHeight="false" outlineLevel="0" collapsed="false">
      <c r="A583" s="21" t="s">
        <v>47</v>
      </c>
      <c r="B583" s="21" t="s">
        <v>407</v>
      </c>
    </row>
    <row r="584" customFormat="false" ht="15" hidden="false" customHeight="false" outlineLevel="0" collapsed="false">
      <c r="A584" s="21" t="s">
        <v>47</v>
      </c>
      <c r="B584" s="21" t="s">
        <v>503</v>
      </c>
    </row>
    <row r="585" customFormat="false" ht="15" hidden="false" customHeight="false" outlineLevel="0" collapsed="false">
      <c r="A585" s="21" t="s">
        <v>47</v>
      </c>
      <c r="B585" s="21" t="s">
        <v>476</v>
      </c>
    </row>
    <row r="586" customFormat="false" ht="15" hidden="false" customHeight="false" outlineLevel="0" collapsed="false">
      <c r="A586" s="21" t="s">
        <v>47</v>
      </c>
      <c r="B586" s="21" t="s">
        <v>506</v>
      </c>
    </row>
    <row r="587" customFormat="false" ht="15" hidden="false" customHeight="false" outlineLevel="0" collapsed="false">
      <c r="A587" s="21" t="s">
        <v>47</v>
      </c>
      <c r="B587" s="21" t="s">
        <v>46</v>
      </c>
    </row>
    <row r="588" customFormat="false" ht="15" hidden="false" customHeight="false" outlineLevel="0" collapsed="false">
      <c r="A588" s="21" t="s">
        <v>47</v>
      </c>
      <c r="B588" s="21" t="s">
        <v>502</v>
      </c>
    </row>
    <row r="589" customFormat="false" ht="15" hidden="false" customHeight="false" outlineLevel="0" collapsed="false">
      <c r="A589" s="21" t="s">
        <v>47</v>
      </c>
      <c r="B589" s="21" t="s">
        <v>505</v>
      </c>
    </row>
    <row r="590" customFormat="false" ht="15" hidden="false" customHeight="false" outlineLevel="0" collapsed="false">
      <c r="A590" s="21" t="s">
        <v>47</v>
      </c>
      <c r="B590" s="21" t="s">
        <v>504</v>
      </c>
    </row>
    <row r="591" customFormat="false" ht="15" hidden="false" customHeight="false" outlineLevel="0" collapsed="false">
      <c r="A591" s="21" t="s">
        <v>47</v>
      </c>
      <c r="B591" s="21" t="s">
        <v>475</v>
      </c>
    </row>
    <row r="592" customFormat="false" ht="15" hidden="false" customHeight="false" outlineLevel="0" collapsed="false">
      <c r="A592" s="21" t="s">
        <v>47</v>
      </c>
      <c r="B592" s="21" t="s">
        <v>510</v>
      </c>
    </row>
    <row r="593" customFormat="false" ht="15" hidden="false" customHeight="false" outlineLevel="0" collapsed="false">
      <c r="A593" s="21" t="s">
        <v>47</v>
      </c>
      <c r="B593" s="21" t="s">
        <v>418</v>
      </c>
    </row>
    <row r="594" customFormat="false" ht="15" hidden="false" customHeight="false" outlineLevel="0" collapsed="false">
      <c r="A594" s="21" t="s">
        <v>47</v>
      </c>
      <c r="B594" s="21" t="s">
        <v>511</v>
      </c>
    </row>
    <row r="595" customFormat="false" ht="15" hidden="false" customHeight="false" outlineLevel="0" collapsed="false">
      <c r="A595" s="21" t="s">
        <v>47</v>
      </c>
      <c r="B595" s="21" t="s">
        <v>512</v>
      </c>
    </row>
    <row r="596" customFormat="false" ht="15" hidden="false" customHeight="false" outlineLevel="0" collapsed="false">
      <c r="A596" s="21" t="s">
        <v>47</v>
      </c>
      <c r="B596" s="21" t="s">
        <v>509</v>
      </c>
    </row>
    <row r="597" customFormat="false" ht="15" hidden="false" customHeight="false" outlineLevel="0" collapsed="false">
      <c r="A597" s="21" t="s">
        <v>47</v>
      </c>
      <c r="B597" s="21" t="s">
        <v>390</v>
      </c>
    </row>
    <row r="598" customFormat="false" ht="15" hidden="false" customHeight="false" outlineLevel="0" collapsed="false">
      <c r="A598" s="21" t="s">
        <v>47</v>
      </c>
      <c r="B598" s="21" t="s">
        <v>401</v>
      </c>
    </row>
    <row r="599" customFormat="false" ht="15" hidden="false" customHeight="false" outlineLevel="0" collapsed="false">
      <c r="A599" s="21" t="s">
        <v>47</v>
      </c>
      <c r="B599" s="21" t="s">
        <v>519</v>
      </c>
    </row>
    <row r="600" customFormat="false" ht="15" hidden="false" customHeight="false" outlineLevel="0" collapsed="false">
      <c r="A600" s="21" t="s">
        <v>524</v>
      </c>
      <c r="B600" s="21" t="s">
        <v>540</v>
      </c>
    </row>
    <row r="601" customFormat="false" ht="15" hidden="false" customHeight="false" outlineLevel="0" collapsed="false">
      <c r="A601" s="21" t="s">
        <v>524</v>
      </c>
      <c r="B601" s="21" t="s">
        <v>541</v>
      </c>
    </row>
    <row r="602" customFormat="false" ht="15" hidden="false" customHeight="false" outlineLevel="0" collapsed="false">
      <c r="A602" s="21" t="s">
        <v>524</v>
      </c>
      <c r="B602" s="21" t="s">
        <v>523</v>
      </c>
    </row>
    <row r="603" customFormat="false" ht="15" hidden="false" customHeight="false" outlineLevel="0" collapsed="false">
      <c r="A603" s="21" t="s">
        <v>524</v>
      </c>
      <c r="B603" s="21" t="s">
        <v>535</v>
      </c>
    </row>
    <row r="604" customFormat="false" ht="15" hidden="false" customHeight="false" outlineLevel="0" collapsed="false">
      <c r="A604" s="21" t="s">
        <v>524</v>
      </c>
      <c r="B604" s="21" t="s">
        <v>542</v>
      </c>
    </row>
    <row r="605" customFormat="false" ht="15" hidden="false" customHeight="false" outlineLevel="0" collapsed="false">
      <c r="A605" s="21" t="s">
        <v>156</v>
      </c>
      <c r="B605" s="21" t="s">
        <v>1155</v>
      </c>
    </row>
    <row r="606" customFormat="false" ht="15" hidden="false" customHeight="false" outlineLevel="0" collapsed="false">
      <c r="A606" s="21" t="s">
        <v>156</v>
      </c>
      <c r="B606" s="21" t="s">
        <v>522</v>
      </c>
    </row>
    <row r="607" customFormat="false" ht="15" hidden="false" customHeight="false" outlineLevel="0" collapsed="false">
      <c r="A607" s="21" t="s">
        <v>156</v>
      </c>
      <c r="B607" s="21" t="s">
        <v>464</v>
      </c>
    </row>
    <row r="608" customFormat="false" ht="15" hidden="false" customHeight="false" outlineLevel="0" collapsed="false">
      <c r="A608" s="21" t="s">
        <v>156</v>
      </c>
      <c r="B608" s="21" t="s">
        <v>483</v>
      </c>
    </row>
    <row r="609" customFormat="false" ht="15" hidden="false" customHeight="false" outlineLevel="0" collapsed="false">
      <c r="A609" s="21" t="s">
        <v>156</v>
      </c>
      <c r="B609" s="21" t="s">
        <v>1134</v>
      </c>
    </row>
    <row r="610" customFormat="false" ht="15" hidden="false" customHeight="false" outlineLevel="0" collapsed="false">
      <c r="A610" s="21" t="s">
        <v>156</v>
      </c>
      <c r="B610" s="21" t="s">
        <v>155</v>
      </c>
    </row>
    <row r="611" customFormat="false" ht="15" hidden="false" customHeight="false" outlineLevel="0" collapsed="false">
      <c r="A611" s="21" t="s">
        <v>156</v>
      </c>
      <c r="B611" s="21" t="s">
        <v>1140</v>
      </c>
    </row>
    <row r="612" customFormat="false" ht="15" hidden="false" customHeight="false" outlineLevel="0" collapsed="false">
      <c r="A612" s="21" t="s">
        <v>34</v>
      </c>
      <c r="B612" s="21" t="s">
        <v>869</v>
      </c>
    </row>
    <row r="613" customFormat="false" ht="15" hidden="false" customHeight="false" outlineLevel="0" collapsed="false">
      <c r="A613" s="21" t="s">
        <v>34</v>
      </c>
      <c r="B613" s="21" t="s">
        <v>583</v>
      </c>
    </row>
    <row r="614" customFormat="false" ht="15" hidden="false" customHeight="false" outlineLevel="0" collapsed="false">
      <c r="A614" s="21" t="s">
        <v>34</v>
      </c>
      <c r="B614" s="21" t="s">
        <v>33</v>
      </c>
    </row>
    <row r="615" customFormat="false" ht="15" hidden="false" customHeight="false" outlineLevel="0" collapsed="false">
      <c r="A615" s="21" t="s">
        <v>34</v>
      </c>
      <c r="B615" s="21" t="s">
        <v>582</v>
      </c>
    </row>
    <row r="616" customFormat="false" ht="15" hidden="false" customHeight="false" outlineLevel="0" collapsed="false">
      <c r="A616" s="21" t="s">
        <v>34</v>
      </c>
      <c r="B616" s="21" t="s">
        <v>874</v>
      </c>
    </row>
    <row r="617" customFormat="false" ht="15" hidden="false" customHeight="false" outlineLevel="0" collapsed="false">
      <c r="A617" s="21" t="s">
        <v>34</v>
      </c>
      <c r="B617" s="21" t="s">
        <v>581</v>
      </c>
    </row>
    <row r="618" customFormat="false" ht="15" hidden="false" customHeight="false" outlineLevel="0" collapsed="false">
      <c r="A618" s="21" t="s">
        <v>34</v>
      </c>
      <c r="B618" s="21" t="s">
        <v>586</v>
      </c>
    </row>
    <row r="619" customFormat="false" ht="15" hidden="false" customHeight="false" outlineLevel="0" collapsed="false">
      <c r="A619" s="21" t="s">
        <v>34</v>
      </c>
      <c r="B619" s="21" t="s">
        <v>591</v>
      </c>
    </row>
    <row r="620" customFormat="false" ht="15" hidden="false" customHeight="false" outlineLevel="0" collapsed="false">
      <c r="A620" s="21" t="s">
        <v>34</v>
      </c>
      <c r="B620" s="21" t="s">
        <v>383</v>
      </c>
    </row>
    <row r="621" customFormat="false" ht="15" hidden="false" customHeight="false" outlineLevel="0" collapsed="false">
      <c r="A621" s="21" t="s">
        <v>34</v>
      </c>
      <c r="B621" s="21" t="s">
        <v>875</v>
      </c>
    </row>
    <row r="622" customFormat="false" ht="15" hidden="false" customHeight="false" outlineLevel="0" collapsed="false">
      <c r="A622" s="21" t="s">
        <v>34</v>
      </c>
      <c r="B622" s="21" t="s">
        <v>864</v>
      </c>
    </row>
    <row r="623" customFormat="false" ht="15" hidden="false" customHeight="false" outlineLevel="0" collapsed="false">
      <c r="A623" s="21" t="s">
        <v>34</v>
      </c>
      <c r="B623" s="21" t="s">
        <v>861</v>
      </c>
    </row>
    <row r="624" customFormat="false" ht="15" hidden="false" customHeight="false" outlineLevel="0" collapsed="false">
      <c r="A624" s="21" t="s">
        <v>34</v>
      </c>
      <c r="B624" s="21" t="s">
        <v>577</v>
      </c>
    </row>
    <row r="625" customFormat="false" ht="15" hidden="false" customHeight="false" outlineLevel="0" collapsed="false">
      <c r="A625" s="21" t="s">
        <v>34</v>
      </c>
      <c r="B625" s="21" t="s">
        <v>585</v>
      </c>
    </row>
    <row r="626" customFormat="false" ht="15" hidden="false" customHeight="false" outlineLevel="0" collapsed="false">
      <c r="A626" s="21" t="s">
        <v>34</v>
      </c>
      <c r="B626" s="21" t="s">
        <v>578</v>
      </c>
    </row>
    <row r="627" customFormat="false" ht="15" hidden="false" customHeight="false" outlineLevel="0" collapsed="false">
      <c r="A627" s="21" t="s">
        <v>34</v>
      </c>
      <c r="B627" s="21" t="s">
        <v>1372</v>
      </c>
    </row>
    <row r="628" customFormat="false" ht="15" hidden="false" customHeight="false" outlineLevel="0" collapsed="false">
      <c r="A628" s="21" t="s">
        <v>34</v>
      </c>
      <c r="B628" s="21" t="s">
        <v>1376</v>
      </c>
    </row>
    <row r="629" customFormat="false" ht="15" hidden="false" customHeight="false" outlineLevel="0" collapsed="false">
      <c r="A629" s="21" t="s">
        <v>34</v>
      </c>
      <c r="B629" s="21" t="s">
        <v>569</v>
      </c>
    </row>
    <row r="630" customFormat="false" ht="15" hidden="false" customHeight="false" outlineLevel="0" collapsed="false">
      <c r="A630" s="21" t="s">
        <v>34</v>
      </c>
      <c r="B630" s="21" t="s">
        <v>1373</v>
      </c>
    </row>
    <row r="631" customFormat="false" ht="15" hidden="false" customHeight="false" outlineLevel="0" collapsed="false">
      <c r="A631" s="21" t="s">
        <v>34</v>
      </c>
      <c r="B631" s="21" t="s">
        <v>575</v>
      </c>
    </row>
    <row r="632" customFormat="false" ht="15" hidden="false" customHeight="false" outlineLevel="0" collapsed="false">
      <c r="A632" s="21" t="s">
        <v>34</v>
      </c>
      <c r="B632" s="21" t="s">
        <v>1209</v>
      </c>
    </row>
    <row r="633" customFormat="false" ht="15" hidden="false" customHeight="false" outlineLevel="0" collapsed="false">
      <c r="A633" s="21" t="s">
        <v>472</v>
      </c>
      <c r="B633" s="21" t="s">
        <v>471</v>
      </c>
    </row>
    <row r="634" customFormat="false" ht="15" hidden="false" customHeight="false" outlineLevel="0" collapsed="false">
      <c r="A634" s="21" t="s">
        <v>472</v>
      </c>
      <c r="B634" s="21" t="s">
        <v>1327</v>
      </c>
    </row>
    <row r="635" customFormat="false" ht="15" hidden="false" customHeight="false" outlineLevel="0" collapsed="false">
      <c r="A635" s="21" t="s">
        <v>472</v>
      </c>
      <c r="B635" s="21" t="s">
        <v>897</v>
      </c>
    </row>
    <row r="636" customFormat="false" ht="15" hidden="false" customHeight="false" outlineLevel="0" collapsed="false">
      <c r="A636" s="21" t="s">
        <v>472</v>
      </c>
      <c r="B636" s="21" t="s">
        <v>1263</v>
      </c>
    </row>
    <row r="637" customFormat="false" ht="15" hidden="false" customHeight="false" outlineLevel="0" collapsed="false">
      <c r="A637" s="21" t="s">
        <v>472</v>
      </c>
      <c r="B637" s="21" t="s">
        <v>896</v>
      </c>
    </row>
    <row r="638" customFormat="false" ht="15" hidden="false" customHeight="false" outlineLevel="0" collapsed="false">
      <c r="A638" s="21" t="s">
        <v>472</v>
      </c>
      <c r="B638" s="21" t="s">
        <v>1251</v>
      </c>
    </row>
    <row r="639" customFormat="false" ht="15" hidden="false" customHeight="false" outlineLevel="0" collapsed="false">
      <c r="A639" s="21" t="s">
        <v>472</v>
      </c>
      <c r="B639" s="21" t="s">
        <v>1034</v>
      </c>
    </row>
    <row r="640" customFormat="false" ht="15" hidden="false" customHeight="false" outlineLevel="0" collapsed="false">
      <c r="A640" s="21" t="s">
        <v>472</v>
      </c>
      <c r="B640" s="21" t="s">
        <v>1213</v>
      </c>
    </row>
    <row r="641" customFormat="false" ht="15" hidden="false" customHeight="false" outlineLevel="0" collapsed="false">
      <c r="A641" s="21" t="s">
        <v>472</v>
      </c>
      <c r="B641" s="21" t="s">
        <v>1215</v>
      </c>
    </row>
    <row r="642" customFormat="false" ht="15" hidden="false" customHeight="false" outlineLevel="0" collapsed="false">
      <c r="A642" s="21" t="s">
        <v>472</v>
      </c>
      <c r="B642" s="21" t="s">
        <v>1214</v>
      </c>
    </row>
    <row r="643" customFormat="false" ht="15" hidden="false" customHeight="false" outlineLevel="0" collapsed="false">
      <c r="A643" s="21" t="s">
        <v>472</v>
      </c>
      <c r="B643" s="21" t="s">
        <v>492</v>
      </c>
    </row>
    <row r="644" customFormat="false" ht="15" hidden="false" customHeight="false" outlineLevel="0" collapsed="false">
      <c r="A644" s="21" t="s">
        <v>472</v>
      </c>
      <c r="B644" s="21" t="s">
        <v>501</v>
      </c>
    </row>
    <row r="645" customFormat="false" ht="15" hidden="false" customHeight="false" outlineLevel="0" collapsed="false">
      <c r="A645" s="21" t="s">
        <v>472</v>
      </c>
      <c r="B645" s="21" t="s">
        <v>940</v>
      </c>
    </row>
    <row r="646" customFormat="false" ht="15" hidden="false" customHeight="false" outlineLevel="0" collapsed="false">
      <c r="A646" s="21" t="s">
        <v>472</v>
      </c>
      <c r="B646" s="21" t="s">
        <v>1383</v>
      </c>
    </row>
    <row r="647" customFormat="false" ht="15" hidden="false" customHeight="false" outlineLevel="0" collapsed="false">
      <c r="A647" s="21" t="s">
        <v>472</v>
      </c>
      <c r="B647" s="21" t="s">
        <v>1228</v>
      </c>
    </row>
    <row r="648" customFormat="false" ht="15" hidden="false" customHeight="false" outlineLevel="0" collapsed="false">
      <c r="A648" s="21" t="s">
        <v>110</v>
      </c>
      <c r="B648" s="21" t="s">
        <v>1359</v>
      </c>
    </row>
    <row r="649" customFormat="false" ht="15" hidden="false" customHeight="false" outlineLevel="0" collapsed="false">
      <c r="A649" s="21" t="s">
        <v>110</v>
      </c>
      <c r="B649" s="21" t="s">
        <v>1361</v>
      </c>
    </row>
    <row r="650" customFormat="false" ht="15" hidden="false" customHeight="false" outlineLevel="0" collapsed="false">
      <c r="A650" s="21" t="s">
        <v>110</v>
      </c>
      <c r="B650" s="21" t="s">
        <v>1352</v>
      </c>
    </row>
    <row r="651" customFormat="false" ht="15" hidden="false" customHeight="false" outlineLevel="0" collapsed="false">
      <c r="A651" s="21" t="s">
        <v>110</v>
      </c>
      <c r="B651" s="21" t="s">
        <v>556</v>
      </c>
    </row>
    <row r="652" customFormat="false" ht="15" hidden="false" customHeight="false" outlineLevel="0" collapsed="false">
      <c r="A652" s="21" t="s">
        <v>110</v>
      </c>
      <c r="B652" s="21" t="s">
        <v>1388</v>
      </c>
    </row>
    <row r="653" customFormat="false" ht="15" hidden="false" customHeight="false" outlineLevel="0" collapsed="false">
      <c r="A653" s="21" t="s">
        <v>110</v>
      </c>
      <c r="B653" s="21" t="s">
        <v>1351</v>
      </c>
    </row>
    <row r="654" customFormat="false" ht="15" hidden="false" customHeight="false" outlineLevel="0" collapsed="false">
      <c r="A654" s="21" t="s">
        <v>110</v>
      </c>
      <c r="B654" s="21" t="s">
        <v>121</v>
      </c>
    </row>
    <row r="655" customFormat="false" ht="15" hidden="false" customHeight="false" outlineLevel="0" collapsed="false">
      <c r="A655" s="21" t="s">
        <v>110</v>
      </c>
      <c r="B655" s="21" t="s">
        <v>1354</v>
      </c>
    </row>
    <row r="656" customFormat="false" ht="15" hidden="false" customHeight="false" outlineLevel="0" collapsed="false">
      <c r="A656" s="21" t="s">
        <v>110</v>
      </c>
      <c r="B656" s="21" t="s">
        <v>1349</v>
      </c>
    </row>
    <row r="657" customFormat="false" ht="15" hidden="false" customHeight="false" outlineLevel="0" collapsed="false">
      <c r="A657" s="21" t="s">
        <v>110</v>
      </c>
      <c r="B657" s="21" t="s">
        <v>1358</v>
      </c>
    </row>
    <row r="658" customFormat="false" ht="15" hidden="false" customHeight="false" outlineLevel="0" collapsed="false">
      <c r="A658" s="21" t="s">
        <v>110</v>
      </c>
      <c r="B658" s="21" t="s">
        <v>1356</v>
      </c>
    </row>
    <row r="659" customFormat="false" ht="15" hidden="false" customHeight="false" outlineLevel="0" collapsed="false">
      <c r="A659" s="21" t="s">
        <v>110</v>
      </c>
      <c r="B659" s="21" t="s">
        <v>203</v>
      </c>
    </row>
    <row r="660" customFormat="false" ht="15" hidden="false" customHeight="false" outlineLevel="0" collapsed="false">
      <c r="A660" s="21" t="s">
        <v>110</v>
      </c>
      <c r="B660" s="21" t="s">
        <v>1138</v>
      </c>
    </row>
    <row r="661" customFormat="false" ht="15" hidden="false" customHeight="false" outlineLevel="0" collapsed="false">
      <c r="A661" s="21" t="s">
        <v>110</v>
      </c>
      <c r="B661" s="21" t="s">
        <v>560</v>
      </c>
    </row>
    <row r="662" customFormat="false" ht="15" hidden="false" customHeight="false" outlineLevel="0" collapsed="false">
      <c r="A662" s="21" t="s">
        <v>110</v>
      </c>
      <c r="B662" s="21" t="s">
        <v>481</v>
      </c>
    </row>
    <row r="663" customFormat="false" ht="15" hidden="false" customHeight="false" outlineLevel="0" collapsed="false">
      <c r="A663" s="21" t="s">
        <v>110</v>
      </c>
      <c r="B663" s="21" t="s">
        <v>872</v>
      </c>
    </row>
    <row r="664" customFormat="false" ht="15" hidden="false" customHeight="false" outlineLevel="0" collapsed="false">
      <c r="A664" s="21" t="s">
        <v>110</v>
      </c>
      <c r="B664" s="21" t="s">
        <v>558</v>
      </c>
    </row>
    <row r="665" customFormat="false" ht="15" hidden="false" customHeight="false" outlineLevel="0" collapsed="false">
      <c r="A665" s="21" t="s">
        <v>110</v>
      </c>
      <c r="B665" s="21" t="s">
        <v>564</v>
      </c>
    </row>
    <row r="666" customFormat="false" ht="15" hidden="false" customHeight="false" outlineLevel="0" collapsed="false">
      <c r="A666" s="21" t="s">
        <v>110</v>
      </c>
      <c r="B666" s="21" t="s">
        <v>1384</v>
      </c>
    </row>
    <row r="667" customFormat="false" ht="15" hidden="false" customHeight="false" outlineLevel="0" collapsed="false">
      <c r="A667" s="21" t="s">
        <v>110</v>
      </c>
      <c r="B667" s="21" t="s">
        <v>1364</v>
      </c>
    </row>
    <row r="668" customFormat="false" ht="15" hidden="false" customHeight="false" outlineLevel="0" collapsed="false">
      <c r="A668" s="21" t="s">
        <v>110</v>
      </c>
      <c r="B668" s="21" t="s">
        <v>1374</v>
      </c>
    </row>
    <row r="669" customFormat="false" ht="15" hidden="false" customHeight="false" outlineLevel="0" collapsed="false">
      <c r="A669" s="21" t="s">
        <v>110</v>
      </c>
      <c r="B669" s="21" t="s">
        <v>1362</v>
      </c>
    </row>
    <row r="670" customFormat="false" ht="15" hidden="false" customHeight="false" outlineLevel="0" collapsed="false">
      <c r="A670" s="21" t="s">
        <v>110</v>
      </c>
      <c r="B670" s="21" t="s">
        <v>191</v>
      </c>
    </row>
    <row r="671" customFormat="false" ht="15" hidden="false" customHeight="false" outlineLevel="0" collapsed="false">
      <c r="A671" s="21" t="s">
        <v>110</v>
      </c>
      <c r="B671" s="21" t="s">
        <v>109</v>
      </c>
    </row>
    <row r="672" customFormat="false" ht="15" hidden="false" customHeight="false" outlineLevel="0" collapsed="false">
      <c r="A672" s="21" t="s">
        <v>110</v>
      </c>
      <c r="B672" s="21" t="s">
        <v>1363</v>
      </c>
    </row>
    <row r="673" customFormat="false" ht="15" hidden="false" customHeight="false" outlineLevel="0" collapsed="false">
      <c r="A673" s="21" t="s">
        <v>1226</v>
      </c>
      <c r="B673" s="21" t="s">
        <v>1225</v>
      </c>
    </row>
    <row r="674" customFormat="false" ht="15" hidden="false" customHeight="false" outlineLevel="0" collapsed="false">
      <c r="A674" s="21" t="s">
        <v>51</v>
      </c>
      <c r="B674" s="21" t="s">
        <v>494</v>
      </c>
    </row>
    <row r="675" customFormat="false" ht="15" hidden="false" customHeight="false" outlineLevel="0" collapsed="false">
      <c r="A675" s="21" t="s">
        <v>51</v>
      </c>
      <c r="B675" s="21" t="s">
        <v>382</v>
      </c>
    </row>
    <row r="676" customFormat="false" ht="15" hidden="false" customHeight="false" outlineLevel="0" collapsed="false">
      <c r="A676" s="21" t="s">
        <v>51</v>
      </c>
      <c r="B676" s="21" t="s">
        <v>50</v>
      </c>
    </row>
    <row r="677" customFormat="false" ht="15" hidden="false" customHeight="false" outlineLevel="0" collapsed="false">
      <c r="A677" s="21" t="s">
        <v>397</v>
      </c>
      <c r="B677" s="21" t="s">
        <v>434</v>
      </c>
    </row>
    <row r="678" customFormat="false" ht="15" hidden="false" customHeight="false" outlineLevel="0" collapsed="false">
      <c r="A678" s="21" t="s">
        <v>397</v>
      </c>
      <c r="B678" s="21" t="s">
        <v>443</v>
      </c>
    </row>
    <row r="679" customFormat="false" ht="15" hidden="false" customHeight="false" outlineLevel="0" collapsed="false">
      <c r="A679" s="21" t="s">
        <v>397</v>
      </c>
      <c r="B679" s="21" t="s">
        <v>396</v>
      </c>
    </row>
    <row r="680" customFormat="false" ht="15" hidden="false" customHeight="false" outlineLevel="0" collapsed="false">
      <c r="A680" s="21" t="s">
        <v>397</v>
      </c>
      <c r="B680" s="21" t="s">
        <v>400</v>
      </c>
    </row>
    <row r="681" customFormat="false" ht="15" hidden="false" customHeight="false" outlineLevel="0" collapsed="false">
      <c r="A681" s="21" t="s">
        <v>62</v>
      </c>
      <c r="B681" s="21" t="s">
        <v>61</v>
      </c>
    </row>
    <row r="682" customFormat="false" ht="15" hidden="false" customHeight="false" outlineLevel="0" collapsed="false">
      <c r="A682" s="21" t="s">
        <v>885</v>
      </c>
      <c r="B682" s="21" t="s">
        <v>1087</v>
      </c>
    </row>
    <row r="683" customFormat="false" ht="15" hidden="false" customHeight="false" outlineLevel="0" collapsed="false">
      <c r="A683" s="21" t="s">
        <v>885</v>
      </c>
      <c r="B683" s="21" t="s">
        <v>1229</v>
      </c>
    </row>
    <row r="684" customFormat="false" ht="15" hidden="false" customHeight="false" outlineLevel="0" collapsed="false">
      <c r="A684" s="21" t="s">
        <v>885</v>
      </c>
      <c r="B684" s="21" t="s">
        <v>884</v>
      </c>
    </row>
    <row r="685" customFormat="false" ht="15" hidden="false" customHeight="false" outlineLevel="0" collapsed="false">
      <c r="A685" s="21" t="s">
        <v>885</v>
      </c>
      <c r="B685" s="21" t="s">
        <v>1227</v>
      </c>
    </row>
    <row r="686" customFormat="false" ht="15" hidden="false" customHeight="false" outlineLevel="0" collapsed="false">
      <c r="A686" s="21" t="s">
        <v>10</v>
      </c>
      <c r="B686" s="21" t="s">
        <v>412</v>
      </c>
    </row>
    <row r="687" customFormat="false" ht="15" hidden="false" customHeight="false" outlineLevel="0" collapsed="false">
      <c r="A687" s="21" t="s">
        <v>10</v>
      </c>
      <c r="B687" s="21" t="s">
        <v>251</v>
      </c>
    </row>
    <row r="688" customFormat="false" ht="15" hidden="false" customHeight="false" outlineLevel="0" collapsed="false">
      <c r="A688" s="21" t="s">
        <v>10</v>
      </c>
      <c r="B688" s="21" t="s">
        <v>414</v>
      </c>
    </row>
    <row r="689" customFormat="false" ht="15" hidden="false" customHeight="false" outlineLevel="0" collapsed="false">
      <c r="A689" s="21" t="s">
        <v>10</v>
      </c>
      <c r="B689" s="21" t="s">
        <v>413</v>
      </c>
    </row>
    <row r="690" customFormat="false" ht="15" hidden="false" customHeight="false" outlineLevel="0" collapsed="false">
      <c r="A690" s="21" t="s">
        <v>10</v>
      </c>
      <c r="B690" s="21" t="s">
        <v>99</v>
      </c>
    </row>
    <row r="691" customFormat="false" ht="15" hidden="false" customHeight="false" outlineLevel="0" collapsed="false">
      <c r="A691" s="21" t="s">
        <v>10</v>
      </c>
      <c r="B691" s="21" t="s">
        <v>424</v>
      </c>
    </row>
    <row r="692" customFormat="false" ht="15" hidden="false" customHeight="false" outlineLevel="0" collapsed="false">
      <c r="A692" s="21" t="s">
        <v>10</v>
      </c>
      <c r="B692" s="21" t="s">
        <v>379</v>
      </c>
    </row>
    <row r="693" customFormat="false" ht="15" hidden="false" customHeight="false" outlineLevel="0" collapsed="false">
      <c r="A693" s="21" t="s">
        <v>10</v>
      </c>
      <c r="B693" s="21" t="s">
        <v>1393</v>
      </c>
    </row>
    <row r="694" customFormat="false" ht="15" hidden="false" customHeight="false" outlineLevel="0" collapsed="false">
      <c r="A694" s="21" t="s">
        <v>10</v>
      </c>
      <c r="B694" s="21" t="s">
        <v>391</v>
      </c>
    </row>
    <row r="695" customFormat="false" ht="15" hidden="false" customHeight="false" outlineLevel="0" collapsed="false">
      <c r="A695" s="21" t="s">
        <v>10</v>
      </c>
      <c r="B695" s="21" t="s">
        <v>1375</v>
      </c>
    </row>
    <row r="696" customFormat="false" ht="15" hidden="false" customHeight="false" outlineLevel="0" collapsed="false">
      <c r="A696" s="21" t="s">
        <v>10</v>
      </c>
      <c r="B696" s="21" t="s">
        <v>235</v>
      </c>
    </row>
    <row r="697" customFormat="false" ht="15" hidden="false" customHeight="false" outlineLevel="0" collapsed="false">
      <c r="A697" s="21" t="s">
        <v>10</v>
      </c>
      <c r="B697" s="21" t="s">
        <v>444</v>
      </c>
    </row>
    <row r="698" customFormat="false" ht="15" hidden="false" customHeight="false" outlineLevel="0" collapsed="false">
      <c r="A698" s="21" t="s">
        <v>10</v>
      </c>
      <c r="B698" s="21" t="s">
        <v>446</v>
      </c>
    </row>
    <row r="699" customFormat="false" ht="15" hidden="false" customHeight="false" outlineLevel="0" collapsed="false">
      <c r="A699" s="21" t="s">
        <v>10</v>
      </c>
      <c r="B699" s="21" t="s">
        <v>283</v>
      </c>
    </row>
    <row r="700" customFormat="false" ht="15" hidden="false" customHeight="false" outlineLevel="0" collapsed="false">
      <c r="A700" s="21" t="s">
        <v>10</v>
      </c>
      <c r="B700" s="21" t="s">
        <v>329</v>
      </c>
    </row>
    <row r="701" customFormat="false" ht="15" hidden="false" customHeight="false" outlineLevel="0" collapsed="false">
      <c r="A701" s="21" t="s">
        <v>10</v>
      </c>
      <c r="B701" s="21" t="s">
        <v>292</v>
      </c>
    </row>
    <row r="702" customFormat="false" ht="15" hidden="false" customHeight="false" outlineLevel="0" collapsed="false">
      <c r="A702" s="21" t="s">
        <v>10</v>
      </c>
      <c r="B702" s="21" t="s">
        <v>281</v>
      </c>
    </row>
    <row r="703" customFormat="false" ht="15" hidden="false" customHeight="false" outlineLevel="0" collapsed="false">
      <c r="A703" s="21" t="s">
        <v>10</v>
      </c>
      <c r="B703" s="21" t="s">
        <v>348</v>
      </c>
    </row>
    <row r="704" customFormat="false" ht="15" hidden="false" customHeight="false" outlineLevel="0" collapsed="false">
      <c r="A704" s="21" t="s">
        <v>10</v>
      </c>
      <c r="B704" s="21" t="s">
        <v>279</v>
      </c>
    </row>
    <row r="705" customFormat="false" ht="15" hidden="false" customHeight="false" outlineLevel="0" collapsed="false">
      <c r="A705" s="21" t="s">
        <v>10</v>
      </c>
      <c r="B705" s="21" t="s">
        <v>1153</v>
      </c>
    </row>
    <row r="706" customFormat="false" ht="15" hidden="false" customHeight="false" outlineLevel="0" collapsed="false">
      <c r="A706" s="21" t="s">
        <v>10</v>
      </c>
      <c r="B706" s="21" t="s">
        <v>543</v>
      </c>
    </row>
    <row r="707" customFormat="false" ht="15" hidden="false" customHeight="false" outlineLevel="0" collapsed="false">
      <c r="A707" s="21" t="s">
        <v>10</v>
      </c>
      <c r="B707" s="21" t="s">
        <v>294</v>
      </c>
    </row>
    <row r="708" customFormat="false" ht="15" hidden="false" customHeight="false" outlineLevel="0" collapsed="false">
      <c r="A708" s="21" t="s">
        <v>10</v>
      </c>
      <c r="B708" s="21" t="s">
        <v>288</v>
      </c>
    </row>
    <row r="709" customFormat="false" ht="15" hidden="false" customHeight="false" outlineLevel="0" collapsed="false">
      <c r="A709" s="21" t="s">
        <v>10</v>
      </c>
      <c r="B709" s="21" t="s">
        <v>1190</v>
      </c>
    </row>
    <row r="710" customFormat="false" ht="15" hidden="false" customHeight="false" outlineLevel="0" collapsed="false">
      <c r="A710" s="21" t="s">
        <v>10</v>
      </c>
      <c r="B710" s="21" t="s">
        <v>74</v>
      </c>
    </row>
    <row r="711" customFormat="false" ht="15" hidden="false" customHeight="false" outlineLevel="0" collapsed="false">
      <c r="A711" s="21" t="s">
        <v>10</v>
      </c>
      <c r="B711" s="21" t="s">
        <v>1026</v>
      </c>
    </row>
    <row r="712" customFormat="false" ht="15" hidden="false" customHeight="false" outlineLevel="0" collapsed="false">
      <c r="A712" s="21" t="s">
        <v>10</v>
      </c>
      <c r="B712" s="21" t="s">
        <v>333</v>
      </c>
    </row>
    <row r="713" customFormat="false" ht="15" hidden="false" customHeight="false" outlineLevel="0" collapsed="false">
      <c r="A713" s="21" t="s">
        <v>10</v>
      </c>
      <c r="B713" s="21" t="s">
        <v>1240</v>
      </c>
    </row>
    <row r="714" customFormat="false" ht="15" hidden="false" customHeight="false" outlineLevel="0" collapsed="false">
      <c r="A714" s="21" t="s">
        <v>10</v>
      </c>
      <c r="B714" s="21" t="s">
        <v>1038</v>
      </c>
    </row>
    <row r="715" customFormat="false" ht="15" hidden="false" customHeight="false" outlineLevel="0" collapsed="false">
      <c r="A715" s="21" t="s">
        <v>10</v>
      </c>
      <c r="B715" s="21" t="s">
        <v>890</v>
      </c>
    </row>
    <row r="716" customFormat="false" ht="15" hidden="false" customHeight="false" outlineLevel="0" collapsed="false">
      <c r="A716" s="21" t="s">
        <v>10</v>
      </c>
      <c r="B716" s="21" t="s">
        <v>948</v>
      </c>
    </row>
    <row r="717" customFormat="false" ht="15" hidden="false" customHeight="false" outlineLevel="0" collapsed="false">
      <c r="A717" s="21" t="s">
        <v>10</v>
      </c>
      <c r="B717" s="21" t="s">
        <v>265</v>
      </c>
    </row>
    <row r="718" customFormat="false" ht="15" hidden="false" customHeight="false" outlineLevel="0" collapsed="false">
      <c r="A718" s="21" t="s">
        <v>10</v>
      </c>
      <c r="B718" s="21" t="s">
        <v>320</v>
      </c>
    </row>
    <row r="719" customFormat="false" ht="15" hidden="false" customHeight="false" outlineLevel="0" collapsed="false">
      <c r="A719" s="21" t="s">
        <v>10</v>
      </c>
      <c r="B719" s="21" t="s">
        <v>545</v>
      </c>
    </row>
    <row r="720" customFormat="false" ht="15" hidden="false" customHeight="false" outlineLevel="0" collapsed="false">
      <c r="A720" s="21" t="s">
        <v>10</v>
      </c>
      <c r="B720" s="21" t="s">
        <v>491</v>
      </c>
    </row>
    <row r="721" customFormat="false" ht="15" hidden="false" customHeight="false" outlineLevel="0" collapsed="false">
      <c r="A721" s="21" t="s">
        <v>10</v>
      </c>
      <c r="B721" s="21" t="s">
        <v>449</v>
      </c>
    </row>
    <row r="722" customFormat="false" ht="15" hidden="false" customHeight="false" outlineLevel="0" collapsed="false">
      <c r="A722" s="21" t="s">
        <v>10</v>
      </c>
      <c r="B722" s="21" t="s">
        <v>573</v>
      </c>
    </row>
    <row r="723" customFormat="false" ht="15" hidden="false" customHeight="false" outlineLevel="0" collapsed="false">
      <c r="A723" s="21" t="s">
        <v>10</v>
      </c>
      <c r="B723" s="21" t="s">
        <v>415</v>
      </c>
    </row>
    <row r="724" customFormat="false" ht="15" hidden="false" customHeight="false" outlineLevel="0" collapsed="false">
      <c r="A724" s="21" t="s">
        <v>10</v>
      </c>
      <c r="B724" s="21" t="s">
        <v>417</v>
      </c>
    </row>
    <row r="725" customFormat="false" ht="15" hidden="false" customHeight="false" outlineLevel="0" collapsed="false">
      <c r="A725" s="21" t="s">
        <v>10</v>
      </c>
      <c r="B725" s="21" t="s">
        <v>364</v>
      </c>
    </row>
    <row r="726" customFormat="false" ht="15" hidden="false" customHeight="false" outlineLevel="0" collapsed="false">
      <c r="A726" s="21" t="s">
        <v>10</v>
      </c>
      <c r="B726" s="21" t="s">
        <v>369</v>
      </c>
    </row>
    <row r="727" customFormat="false" ht="15" hidden="false" customHeight="false" outlineLevel="0" collapsed="false">
      <c r="A727" s="21" t="s">
        <v>10</v>
      </c>
      <c r="B727" s="21" t="s">
        <v>368</v>
      </c>
    </row>
    <row r="728" customFormat="false" ht="15" hidden="false" customHeight="false" outlineLevel="0" collapsed="false">
      <c r="A728" s="21" t="s">
        <v>10</v>
      </c>
      <c r="B728" s="21" t="s">
        <v>353</v>
      </c>
    </row>
    <row r="729" customFormat="false" ht="15" hidden="false" customHeight="false" outlineLevel="0" collapsed="false">
      <c r="A729" s="21" t="s">
        <v>10</v>
      </c>
      <c r="B729" s="21" t="s">
        <v>356</v>
      </c>
    </row>
    <row r="730" customFormat="false" ht="15" hidden="false" customHeight="false" outlineLevel="0" collapsed="false">
      <c r="A730" s="21" t="s">
        <v>10</v>
      </c>
      <c r="B730" s="21" t="s">
        <v>421</v>
      </c>
    </row>
    <row r="731" customFormat="false" ht="15" hidden="false" customHeight="false" outlineLevel="0" collapsed="false">
      <c r="A731" s="21" t="s">
        <v>10</v>
      </c>
      <c r="B731" s="21" t="s">
        <v>370</v>
      </c>
    </row>
    <row r="732" customFormat="false" ht="15" hidden="false" customHeight="false" outlineLevel="0" collapsed="false">
      <c r="A732" s="21" t="s">
        <v>10</v>
      </c>
      <c r="B732" s="21" t="s">
        <v>357</v>
      </c>
    </row>
    <row r="733" customFormat="false" ht="15" hidden="false" customHeight="false" outlineLevel="0" collapsed="false">
      <c r="A733" s="21" t="s">
        <v>10</v>
      </c>
      <c r="B733" s="21" t="s">
        <v>1369</v>
      </c>
    </row>
    <row r="734" customFormat="false" ht="15" hidden="false" customHeight="false" outlineLevel="0" collapsed="false">
      <c r="A734" s="21" t="s">
        <v>10</v>
      </c>
      <c r="B734" s="21" t="s">
        <v>275</v>
      </c>
    </row>
    <row r="735" customFormat="false" ht="15" hidden="false" customHeight="false" outlineLevel="0" collapsed="false">
      <c r="A735" s="21" t="s">
        <v>10</v>
      </c>
      <c r="B735" s="21" t="s">
        <v>151</v>
      </c>
    </row>
    <row r="736" customFormat="false" ht="15" hidden="false" customHeight="false" outlineLevel="0" collapsed="false">
      <c r="A736" s="21" t="s">
        <v>10</v>
      </c>
      <c r="B736" s="21" t="s">
        <v>332</v>
      </c>
    </row>
    <row r="737" customFormat="false" ht="15" hidden="false" customHeight="false" outlineLevel="0" collapsed="false">
      <c r="A737" s="21" t="s">
        <v>10</v>
      </c>
      <c r="B737" s="21" t="s">
        <v>454</v>
      </c>
    </row>
    <row r="738" customFormat="false" ht="15" hidden="false" customHeight="false" outlineLevel="0" collapsed="false">
      <c r="A738" s="21" t="s">
        <v>10</v>
      </c>
      <c r="B738" s="21" t="s">
        <v>455</v>
      </c>
    </row>
    <row r="739" customFormat="false" ht="15" hidden="false" customHeight="false" outlineLevel="0" collapsed="false">
      <c r="A739" s="21" t="s">
        <v>10</v>
      </c>
      <c r="B739" s="21" t="s">
        <v>277</v>
      </c>
    </row>
    <row r="740" customFormat="false" ht="15" hidden="false" customHeight="false" outlineLevel="0" collapsed="false">
      <c r="A740" s="21" t="s">
        <v>10</v>
      </c>
      <c r="B740" s="21" t="s">
        <v>351</v>
      </c>
    </row>
    <row r="741" customFormat="false" ht="15" hidden="false" customHeight="false" outlineLevel="0" collapsed="false">
      <c r="A741" s="21" t="s">
        <v>10</v>
      </c>
      <c r="B741" s="21" t="s">
        <v>352</v>
      </c>
    </row>
    <row r="742" customFormat="false" ht="15" hidden="false" customHeight="false" outlineLevel="0" collapsed="false">
      <c r="A742" s="21" t="s">
        <v>10</v>
      </c>
      <c r="B742" s="21" t="s">
        <v>290</v>
      </c>
    </row>
    <row r="743" customFormat="false" ht="15" hidden="false" customHeight="false" outlineLevel="0" collapsed="false">
      <c r="A743" s="21" t="s">
        <v>10</v>
      </c>
      <c r="B743" s="21" t="s">
        <v>257</v>
      </c>
    </row>
    <row r="744" customFormat="false" ht="15" hidden="false" customHeight="false" outlineLevel="0" collapsed="false">
      <c r="A744" s="21" t="s">
        <v>10</v>
      </c>
      <c r="B744" s="21" t="s">
        <v>432</v>
      </c>
    </row>
    <row r="745" customFormat="false" ht="15" hidden="false" customHeight="false" outlineLevel="0" collapsed="false">
      <c r="A745" s="21" t="s">
        <v>10</v>
      </c>
      <c r="B745" s="21" t="s">
        <v>297</v>
      </c>
    </row>
    <row r="746" customFormat="false" ht="15" hidden="false" customHeight="false" outlineLevel="0" collapsed="false">
      <c r="A746" s="21" t="s">
        <v>10</v>
      </c>
      <c r="B746" s="21" t="s">
        <v>295</v>
      </c>
    </row>
    <row r="747" customFormat="false" ht="15" hidden="false" customHeight="false" outlineLevel="0" collapsed="false">
      <c r="A747" s="21" t="s">
        <v>10</v>
      </c>
      <c r="B747" s="21" t="s">
        <v>285</v>
      </c>
    </row>
    <row r="748" customFormat="false" ht="15" hidden="false" customHeight="false" outlineLevel="0" collapsed="false">
      <c r="A748" s="21" t="s">
        <v>10</v>
      </c>
      <c r="B748" s="21" t="s">
        <v>308</v>
      </c>
    </row>
    <row r="749" customFormat="false" ht="15" hidden="false" customHeight="false" outlineLevel="0" collapsed="false">
      <c r="A749" s="21" t="s">
        <v>10</v>
      </c>
      <c r="B749" s="21" t="s">
        <v>189</v>
      </c>
    </row>
    <row r="750" customFormat="false" ht="15" hidden="false" customHeight="false" outlineLevel="0" collapsed="false">
      <c r="A750" s="21" t="s">
        <v>10</v>
      </c>
      <c r="B750" s="21" t="s">
        <v>117</v>
      </c>
    </row>
    <row r="751" customFormat="false" ht="15" hidden="false" customHeight="false" outlineLevel="0" collapsed="false">
      <c r="A751" s="21" t="s">
        <v>10</v>
      </c>
      <c r="B751" s="21" t="s">
        <v>169</v>
      </c>
    </row>
    <row r="752" customFormat="false" ht="15" hidden="false" customHeight="false" outlineLevel="0" collapsed="false">
      <c r="A752" s="21" t="s">
        <v>10</v>
      </c>
      <c r="B752" s="21" t="s">
        <v>310</v>
      </c>
    </row>
    <row r="753" customFormat="false" ht="15" hidden="false" customHeight="false" outlineLevel="0" collapsed="false">
      <c r="A753" s="21" t="s">
        <v>10</v>
      </c>
      <c r="B753" s="21" t="s">
        <v>145</v>
      </c>
    </row>
    <row r="754" customFormat="false" ht="15" hidden="false" customHeight="false" outlineLevel="0" collapsed="false">
      <c r="A754" s="21" t="s">
        <v>10</v>
      </c>
      <c r="B754" s="21" t="s">
        <v>307</v>
      </c>
    </row>
    <row r="755" customFormat="false" ht="15" hidden="false" customHeight="false" outlineLevel="0" collapsed="false">
      <c r="A755" s="21" t="s">
        <v>10</v>
      </c>
      <c r="B755" s="21" t="s">
        <v>318</v>
      </c>
    </row>
    <row r="756" customFormat="false" ht="15" hidden="false" customHeight="false" outlineLevel="0" collapsed="false">
      <c r="A756" s="21" t="s">
        <v>10</v>
      </c>
      <c r="B756" s="21" t="s">
        <v>9</v>
      </c>
    </row>
    <row r="757" customFormat="false" ht="15" hidden="false" customHeight="false" outlineLevel="0" collapsed="false">
      <c r="A757" s="21" t="s">
        <v>10</v>
      </c>
      <c r="B757" s="21" t="s">
        <v>319</v>
      </c>
    </row>
    <row r="758" customFormat="false" ht="15" hidden="false" customHeight="false" outlineLevel="0" collapsed="false">
      <c r="A758" s="21" t="s">
        <v>10</v>
      </c>
      <c r="B758" s="21" t="s">
        <v>404</v>
      </c>
    </row>
    <row r="759" customFormat="false" ht="15" hidden="false" customHeight="false" outlineLevel="0" collapsed="false">
      <c r="A759" s="21" t="s">
        <v>10</v>
      </c>
      <c r="B759" s="21" t="s">
        <v>402</v>
      </c>
    </row>
    <row r="760" customFormat="false" ht="15" hidden="false" customHeight="false" outlineLevel="0" collapsed="false">
      <c r="A760" s="21" t="s">
        <v>10</v>
      </c>
      <c r="B760" s="21" t="s">
        <v>405</v>
      </c>
    </row>
    <row r="761" customFormat="false" ht="15" hidden="false" customHeight="false" outlineLevel="0" collapsed="false">
      <c r="A761" s="21" t="s">
        <v>10</v>
      </c>
      <c r="B761" s="21" t="s">
        <v>408</v>
      </c>
    </row>
    <row r="762" customFormat="false" ht="15" hidden="false" customHeight="false" outlineLevel="0" collapsed="false">
      <c r="A762" s="21" t="s">
        <v>10</v>
      </c>
      <c r="B762" s="21" t="s">
        <v>410</v>
      </c>
    </row>
    <row r="763" customFormat="false" ht="15" hidden="false" customHeight="false" outlineLevel="0" collapsed="false">
      <c r="A763" s="21" t="s">
        <v>10</v>
      </c>
      <c r="B763" s="21" t="s">
        <v>270</v>
      </c>
    </row>
    <row r="764" customFormat="false" ht="15" hidden="false" customHeight="false" outlineLevel="0" collapsed="false">
      <c r="A764" s="21" t="s">
        <v>10</v>
      </c>
      <c r="B764" s="21" t="s">
        <v>338</v>
      </c>
    </row>
    <row r="765" customFormat="false" ht="15" hidden="false" customHeight="false" outlineLevel="0" collapsed="false">
      <c r="A765" s="21" t="s">
        <v>10</v>
      </c>
      <c r="B765" s="21" t="s">
        <v>260</v>
      </c>
    </row>
    <row r="766" customFormat="false" ht="15" hidden="false" customHeight="false" outlineLevel="0" collapsed="false">
      <c r="A766" s="21" t="s">
        <v>10</v>
      </c>
      <c r="B766" s="21" t="s">
        <v>347</v>
      </c>
    </row>
    <row r="767" customFormat="false" ht="15" hidden="false" customHeight="false" outlineLevel="0" collapsed="false">
      <c r="A767" s="21" t="s">
        <v>10</v>
      </c>
      <c r="B767" s="21" t="s">
        <v>339</v>
      </c>
    </row>
    <row r="768" customFormat="false" ht="15" hidden="false" customHeight="false" outlineLevel="0" collapsed="false">
      <c r="A768" s="21" t="s">
        <v>10</v>
      </c>
      <c r="B768" s="21" t="s">
        <v>312</v>
      </c>
    </row>
    <row r="769" customFormat="false" ht="15" hidden="false" customHeight="false" outlineLevel="0" collapsed="false">
      <c r="A769" s="21" t="s">
        <v>10</v>
      </c>
      <c r="B769" s="21" t="s">
        <v>299</v>
      </c>
    </row>
    <row r="770" customFormat="false" ht="15" hidden="false" customHeight="false" outlineLevel="0" collapsed="false">
      <c r="A770" s="21" t="s">
        <v>10</v>
      </c>
      <c r="B770" s="21" t="s">
        <v>327</v>
      </c>
    </row>
    <row r="771" customFormat="false" ht="15" hidden="false" customHeight="false" outlineLevel="0" collapsed="false">
      <c r="A771" s="21" t="s">
        <v>10</v>
      </c>
      <c r="B771" s="21" t="s">
        <v>447</v>
      </c>
    </row>
    <row r="772" customFormat="false" ht="15" hidden="false" customHeight="false" outlineLevel="0" collapsed="false">
      <c r="A772" s="21" t="s">
        <v>10</v>
      </c>
      <c r="B772" s="21" t="s">
        <v>448</v>
      </c>
    </row>
    <row r="773" customFormat="false" ht="15" hidden="false" customHeight="false" outlineLevel="0" collapsed="false">
      <c r="A773" s="21" t="s">
        <v>10</v>
      </c>
      <c r="B773" s="21" t="s">
        <v>451</v>
      </c>
    </row>
    <row r="774" customFormat="false" ht="15" hidden="false" customHeight="false" outlineLevel="0" collapsed="false">
      <c r="A774" s="21" t="s">
        <v>10</v>
      </c>
      <c r="B774" s="21" t="s">
        <v>452</v>
      </c>
    </row>
    <row r="775" customFormat="false" ht="15" hidden="false" customHeight="false" outlineLevel="0" collapsed="false">
      <c r="A775" s="21" t="s">
        <v>10</v>
      </c>
      <c r="B775" s="21" t="s">
        <v>19</v>
      </c>
    </row>
    <row r="776" customFormat="false" ht="15" hidden="false" customHeight="false" outlineLevel="0" collapsed="false">
      <c r="A776" s="21" t="s">
        <v>10</v>
      </c>
      <c r="B776" s="21" t="s">
        <v>453</v>
      </c>
    </row>
    <row r="777" customFormat="false" ht="15" hidden="false" customHeight="false" outlineLevel="0" collapsed="false">
      <c r="A777" s="21" t="s">
        <v>10</v>
      </c>
      <c r="B777" s="21" t="s">
        <v>247</v>
      </c>
    </row>
    <row r="778" customFormat="false" ht="15" hidden="false" customHeight="false" outlineLevel="0" collapsed="false">
      <c r="A778" s="21" t="s">
        <v>10</v>
      </c>
      <c r="B778" s="21" t="s">
        <v>430</v>
      </c>
    </row>
    <row r="779" customFormat="false" ht="15" hidden="false" customHeight="false" outlineLevel="0" collapsed="false">
      <c r="A779" s="21" t="s">
        <v>10</v>
      </c>
      <c r="B779" s="21" t="s">
        <v>394</v>
      </c>
    </row>
    <row r="780" customFormat="false" ht="15" hidden="false" customHeight="false" outlineLevel="0" collapsed="false">
      <c r="A780" s="21" t="s">
        <v>10</v>
      </c>
      <c r="B780" s="21" t="s">
        <v>143</v>
      </c>
    </row>
    <row r="781" customFormat="false" ht="15" hidden="false" customHeight="false" outlineLevel="0" collapsed="false">
      <c r="A781" s="21" t="s">
        <v>10</v>
      </c>
      <c r="B781" s="21" t="s">
        <v>305</v>
      </c>
    </row>
    <row r="782" customFormat="false" ht="15" hidden="false" customHeight="false" outlineLevel="0" collapsed="false">
      <c r="A782" s="21" t="s">
        <v>457</v>
      </c>
      <c r="B782" s="21" t="s">
        <v>456</v>
      </c>
    </row>
    <row r="783" customFormat="false" ht="15" hidden="false" customHeight="false" outlineLevel="0" collapsed="false">
      <c r="A783" s="21" t="s">
        <v>457</v>
      </c>
      <c r="B783" s="21" t="s">
        <v>1017</v>
      </c>
    </row>
    <row r="784" customFormat="false" ht="15" hidden="false" customHeight="false" outlineLevel="0" collapsed="false">
      <c r="A784" s="21" t="s">
        <v>457</v>
      </c>
      <c r="B784" s="21" t="s">
        <v>525</v>
      </c>
    </row>
    <row r="785" customFormat="false" ht="15" hidden="false" customHeight="false" outlineLevel="0" collapsed="false">
      <c r="A785" s="21" t="s">
        <v>457</v>
      </c>
      <c r="B785" s="21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2026-09-28T11:13:44Z</dcterms:created>
  <dc:creator>openpyxl</dc:creator>
  <dc:description/>
  <dc:language>en-US</dc:language>
  <cp:lastModifiedBy/>
  <dcterms:modified xsi:type="dcterms:W3CDTF">2026-09-28T11:13:45Z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